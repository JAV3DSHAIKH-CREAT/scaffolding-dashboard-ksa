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hare Folder\01. Scaffolding\"/>
    </mc:Choice>
  </mc:AlternateContent>
  <bookViews>
    <workbookView xWindow="0" yWindow="0" windowWidth="28800" windowHeight="13470" tabRatio="924" firstSheet="7" activeTab="33"/>
  </bookViews>
  <sheets>
    <sheet name="M. SEND FROM JUBAIL TO SITE" sheetId="5" state="hidden" r:id="rId1"/>
    <sheet name="MATERIAL FROM JUBAIL" sheetId="7" state="hidden" r:id="rId2"/>
    <sheet name="NEW PURCHASE MATERIAL" sheetId="29" state="hidden" r:id="rId3"/>
    <sheet name="CROSS CHECK EXCEL VS HILTI" sheetId="32" state="hidden" r:id="rId4"/>
    <sheet name="S015 JAFFURA IN check" sheetId="40" state="hidden" r:id="rId5"/>
    <sheet name="WEIGHT CHECKER" sheetId="41" state="hidden" r:id="rId6"/>
    <sheet name="S016 JAFFURA IN" sheetId="50" state="hidden" r:id="rId7"/>
    <sheet name="S016 JAFFURA OUT" sheetId="49" r:id="rId8"/>
    <sheet name="YARD IN (2)" sheetId="51" state="hidden" r:id="rId9"/>
    <sheet name="Sheet2" sheetId="52" state="hidden" r:id="rId10"/>
    <sheet name="RENTAL MATERIAL IN" sheetId="26" state="hidden" r:id="rId11"/>
    <sheet name="RENTAL MATERIAL OUT" sheetId="27" state="hidden" r:id="rId12"/>
    <sheet name="JAFFURA-NMP-01 IN" sheetId="13" state="hidden" r:id="rId13"/>
    <sheet name="JAFFURA-NMP-01 OUT" sheetId="14" state="hidden" r:id="rId14"/>
    <sheet name="ABU DHABI OUT (2)" sheetId="54" state="hidden" r:id="rId15"/>
    <sheet name="ABU DHABI IN" sheetId="19" state="hidden" r:id="rId16"/>
    <sheet name="ABU DHABI OUT" sheetId="18" state="hidden" r:id="rId17"/>
    <sheet name="TMP_PDF" sheetId="55" state="hidden" r:id="rId18"/>
    <sheet name="S019 JAFURRA IN" sheetId="21" state="hidden" r:id="rId19"/>
    <sheet name="S019 JAFURRA OUT" sheetId="28" state="hidden" r:id="rId20"/>
    <sheet name="Sheet1" sheetId="56" state="hidden" r:id="rId21"/>
    <sheet name="S012 OYUN IN" sheetId="16" state="hidden" r:id="rId22"/>
    <sheet name="S012 OYUN OUT" sheetId="17" state="hidden" r:id="rId23"/>
    <sheet name="S022 FADHALI IN" sheetId="12" state="hidden" r:id="rId24"/>
    <sheet name="S022 FADHALI OUT" sheetId="11" state="hidden" r:id="rId25"/>
    <sheet name="S015 JAFFURA IN" sheetId="30" state="hidden" r:id="rId26"/>
    <sheet name="S015 JAFFURA OUT" sheetId="31" state="hidden" r:id="rId27"/>
    <sheet name="S020 DAMMAM IN" sheetId="33" state="hidden" r:id="rId28"/>
    <sheet name="S020 DAMMAM OUT" sheetId="34" state="hidden" r:id="rId29"/>
    <sheet name="S013 MARJAN IN" sheetId="37" r:id="rId30"/>
    <sheet name="S013 MARJAN OUT" sheetId="38" r:id="rId31"/>
    <sheet name="YARD IN" sheetId="15" r:id="rId32"/>
    <sheet name="YARD OUT" sheetId="4" r:id="rId33"/>
    <sheet name="SCAFFOLDING MATERIAL OVERALL" sheetId="1" r:id="rId34"/>
    <sheet name="TONNAGE CHART" sheetId="48" state="hidden" r:id="rId35"/>
    <sheet name="Amiral Project Jubail PKG - 4 " sheetId="36" state="hidden" r:id="rId36"/>
    <sheet name="Sheet6" sheetId="47" state="hidden" r:id="rId37"/>
  </sheets>
  <functionGroups builtInGroupCount="18"/>
  <externalReferences>
    <externalReference r:id="rId38"/>
  </externalReferences>
  <definedNames>
    <definedName name="_xlnm._FilterDatabase" localSheetId="15" hidden="1">'ABU DHABI IN'!$A$4:$F$4</definedName>
    <definedName name="_xlnm._FilterDatabase" localSheetId="16" hidden="1">'ABU DHABI OUT'!$A$4:$DP$179</definedName>
    <definedName name="_xlnm._FilterDatabase" localSheetId="14" hidden="1">'ABU DHABI OUT (2)'!$A$4:$AD$179</definedName>
    <definedName name="_xlnm._FilterDatabase" localSheetId="35" hidden="1">'Amiral Project Jubail PKG - 4 '!$B$23:$G$39</definedName>
    <definedName name="_xlnm._FilterDatabase" localSheetId="3" hidden="1">'CROSS CHECK EXCEL VS HILTI'!$A$4:$H$170</definedName>
    <definedName name="_xlnm._FilterDatabase" localSheetId="12" hidden="1">'JAFFURA-NMP-01 IN'!$A$4:$K$163</definedName>
    <definedName name="_xlnm._FilterDatabase" localSheetId="13" hidden="1">'JAFFURA-NMP-01 OUT'!$A$4:$X$163</definedName>
    <definedName name="_xlnm._FilterDatabase" localSheetId="0" hidden="1">'M. SEND FROM JUBAIL TO SITE'!$A$4:$GG$163</definedName>
    <definedName name="_xlnm._FilterDatabase" localSheetId="1" hidden="1">'MATERIAL FROM JUBAIL'!$A$4:$DJ$178</definedName>
    <definedName name="_xlnm._FilterDatabase" localSheetId="2" hidden="1">'NEW PURCHASE MATERIAL'!$A$4:$O$163</definedName>
    <definedName name="_xlnm._FilterDatabase" localSheetId="10" hidden="1">'RENTAL MATERIAL IN'!$A$4:$M$4</definedName>
    <definedName name="_xlnm._FilterDatabase" localSheetId="11" hidden="1">'RENTAL MATERIAL OUT'!$A$4:$BM$4</definedName>
    <definedName name="_xlnm._FilterDatabase" localSheetId="21" hidden="1">'S012 OYUN IN'!$A$4:$J$187</definedName>
    <definedName name="_xlnm._FilterDatabase" localSheetId="22" hidden="1">'S012 OYUN OUT'!$A$4:$AQ$186</definedName>
    <definedName name="_xlnm._FilterDatabase" localSheetId="29" hidden="1">'S013 MARJAN IN'!$A$4:$QA$187</definedName>
    <definedName name="_xlnm._FilterDatabase" localSheetId="30" hidden="1">'S013 MARJAN OUT'!$A$4:$YX$174</definedName>
    <definedName name="_xlnm._FilterDatabase" localSheetId="25" hidden="1">'S015 JAFFURA IN'!$A$4:$AG$186</definedName>
    <definedName name="_xlnm._FilterDatabase" localSheetId="4" hidden="1">'S015 JAFFURA IN check'!$A$4:$P$179</definedName>
    <definedName name="_xlnm._FilterDatabase" localSheetId="26" hidden="1">'S015 JAFFURA OUT'!$A$4:$DE$163</definedName>
    <definedName name="_xlnm._FilterDatabase" localSheetId="6" hidden="1">'S016 JAFFURA IN'!$A$4:$N$4</definedName>
    <definedName name="_xlnm._FilterDatabase" localSheetId="7" hidden="1">'S016 JAFFURA OUT'!$A$4:$N$4</definedName>
    <definedName name="_xlnm._FilterDatabase" localSheetId="18" hidden="1">'S019 JAFURRA IN'!$A$4:$E$4</definedName>
    <definedName name="_xlnm._FilterDatabase" localSheetId="19" hidden="1">'S019 JAFURRA OUT'!$A$4:$K$187</definedName>
    <definedName name="_xlnm._FilterDatabase" localSheetId="27" hidden="1">'S020 DAMMAM IN'!$A$4:$E$170</definedName>
    <definedName name="_xlnm._FilterDatabase" localSheetId="28" hidden="1">'S020 DAMMAM OUT'!$A$4:$S$179</definedName>
    <definedName name="_xlnm._FilterDatabase" localSheetId="23" hidden="1">'S022 FADHALI IN'!$A$4:$N$4</definedName>
    <definedName name="_xlnm._FilterDatabase" localSheetId="24" hidden="1">'S022 FADHALI OUT'!$A$4:$BX$187</definedName>
    <definedName name="_xlnm._FilterDatabase" localSheetId="33" hidden="1">'SCAFFOLDING MATERIAL OVERALL'!$A$6:$R$188</definedName>
    <definedName name="_xlnm._FilterDatabase" localSheetId="31" hidden="1">'YARD IN'!$A$3:$JZ$188</definedName>
    <definedName name="_xlnm._FilterDatabase" localSheetId="8" hidden="1">'YARD IN (2)'!$A$4:$S$27</definedName>
    <definedName name="_xlnm._FilterDatabase" localSheetId="32" hidden="1">'YARD OUT'!$A$4:$CK$187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1" l="1"/>
  <c r="D1" i="54" l="1"/>
  <c r="YZ24" i="38" l="1"/>
  <c r="YZ84" i="38"/>
  <c r="YZ125" i="38"/>
  <c r="YY6" i="38"/>
  <c r="YZ6" i="38" s="1"/>
  <c r="YY7" i="38"/>
  <c r="YZ7" i="38" s="1"/>
  <c r="YY8" i="38"/>
  <c r="YZ8" i="38" s="1"/>
  <c r="YY9" i="38"/>
  <c r="YZ9" i="38" s="1"/>
  <c r="YY10" i="38"/>
  <c r="YZ10" i="38" s="1"/>
  <c r="YY11" i="38"/>
  <c r="YZ11" i="38" s="1"/>
  <c r="YY12" i="38"/>
  <c r="YZ12" i="38" s="1"/>
  <c r="YY13" i="38"/>
  <c r="YZ13" i="38" s="1"/>
  <c r="YY14" i="38"/>
  <c r="YZ14" i="38" s="1"/>
  <c r="YY15" i="38"/>
  <c r="YZ15" i="38" s="1"/>
  <c r="YY16" i="38"/>
  <c r="YZ16" i="38" s="1"/>
  <c r="YY17" i="38"/>
  <c r="YZ17" i="38" s="1"/>
  <c r="YY18" i="38"/>
  <c r="YZ18" i="38" s="1"/>
  <c r="YY19" i="38"/>
  <c r="YZ19" i="38" s="1"/>
  <c r="YY20" i="38"/>
  <c r="YZ20" i="38" s="1"/>
  <c r="YY21" i="38"/>
  <c r="YZ21" i="38" s="1"/>
  <c r="YY22" i="38"/>
  <c r="YZ22" i="38" s="1"/>
  <c r="YY23" i="38"/>
  <c r="YZ23" i="38" s="1"/>
  <c r="YY25" i="38"/>
  <c r="YZ25" i="38" s="1"/>
  <c r="YY26" i="38"/>
  <c r="YZ26" i="38" s="1"/>
  <c r="YY27" i="38"/>
  <c r="YZ27" i="38" s="1"/>
  <c r="YY28" i="38"/>
  <c r="YZ28" i="38" s="1"/>
  <c r="YY29" i="38"/>
  <c r="YZ29" i="38" s="1"/>
  <c r="YY30" i="38"/>
  <c r="YZ30" i="38" s="1"/>
  <c r="YY31" i="38"/>
  <c r="YZ31" i="38" s="1"/>
  <c r="YY32" i="38"/>
  <c r="YZ32" i="38" s="1"/>
  <c r="YY33" i="38"/>
  <c r="YZ33" i="38" s="1"/>
  <c r="YY34" i="38"/>
  <c r="YZ34" i="38" s="1"/>
  <c r="YY35" i="38"/>
  <c r="YZ35" i="38" s="1"/>
  <c r="YY36" i="38"/>
  <c r="YZ36" i="38" s="1"/>
  <c r="YY37" i="38"/>
  <c r="YZ37" i="38" s="1"/>
  <c r="YY38" i="38"/>
  <c r="YZ38" i="38" s="1"/>
  <c r="YY39" i="38"/>
  <c r="YZ39" i="38" s="1"/>
  <c r="YY40" i="38"/>
  <c r="YZ40" i="38" s="1"/>
  <c r="YY41" i="38"/>
  <c r="YZ41" i="38" s="1"/>
  <c r="YY42" i="38"/>
  <c r="YZ42" i="38" s="1"/>
  <c r="YY43" i="38"/>
  <c r="YZ43" i="38" s="1"/>
  <c r="YY44" i="38"/>
  <c r="YZ44" i="38" s="1"/>
  <c r="YY45" i="38"/>
  <c r="YZ45" i="38" s="1"/>
  <c r="YY46" i="38"/>
  <c r="YZ46" i="38" s="1"/>
  <c r="YY47" i="38"/>
  <c r="YZ47" i="38" s="1"/>
  <c r="YY48" i="38"/>
  <c r="YZ48" i="38" s="1"/>
  <c r="YY49" i="38"/>
  <c r="YZ49" i="38" s="1"/>
  <c r="YY50" i="38"/>
  <c r="YZ50" i="38" s="1"/>
  <c r="YY51" i="38"/>
  <c r="YZ51" i="38" s="1"/>
  <c r="YY52" i="38"/>
  <c r="YZ52" i="38" s="1"/>
  <c r="YY53" i="38"/>
  <c r="YZ53" i="38" s="1"/>
  <c r="YY54" i="38"/>
  <c r="YZ54" i="38" s="1"/>
  <c r="YY55" i="38"/>
  <c r="YZ55" i="38" s="1"/>
  <c r="YY56" i="38"/>
  <c r="YZ56" i="38" s="1"/>
  <c r="YY57" i="38"/>
  <c r="YZ57" i="38" s="1"/>
  <c r="YY58" i="38"/>
  <c r="YZ58" i="38" s="1"/>
  <c r="YY59" i="38"/>
  <c r="YZ59" i="38" s="1"/>
  <c r="YY60" i="38"/>
  <c r="YZ60" i="38" s="1"/>
  <c r="YY61" i="38"/>
  <c r="YZ61" i="38" s="1"/>
  <c r="YY62" i="38"/>
  <c r="YZ62" i="38" s="1"/>
  <c r="YY63" i="38"/>
  <c r="YZ63" i="38" s="1"/>
  <c r="YY64" i="38"/>
  <c r="YZ64" i="38" s="1"/>
  <c r="YY65" i="38"/>
  <c r="YZ65" i="38" s="1"/>
  <c r="YY66" i="38"/>
  <c r="YZ66" i="38" s="1"/>
  <c r="YY67" i="38"/>
  <c r="YZ67" i="38" s="1"/>
  <c r="YY68" i="38"/>
  <c r="YZ68" i="38" s="1"/>
  <c r="YY69" i="38"/>
  <c r="YZ69" i="38" s="1"/>
  <c r="YY70" i="38"/>
  <c r="YZ70" i="38" s="1"/>
  <c r="YY71" i="38"/>
  <c r="YZ71" i="38" s="1"/>
  <c r="YY72" i="38"/>
  <c r="YZ72" i="38" s="1"/>
  <c r="YY73" i="38"/>
  <c r="YZ73" i="38" s="1"/>
  <c r="YY74" i="38"/>
  <c r="YZ74" i="38" s="1"/>
  <c r="YY75" i="38"/>
  <c r="YZ75" i="38" s="1"/>
  <c r="YY76" i="38"/>
  <c r="YZ76" i="38" s="1"/>
  <c r="YY77" i="38"/>
  <c r="YZ77" i="38" s="1"/>
  <c r="YY78" i="38"/>
  <c r="YZ78" i="38" s="1"/>
  <c r="YY79" i="38"/>
  <c r="YZ79" i="38" s="1"/>
  <c r="YY80" i="38"/>
  <c r="YZ80" i="38" s="1"/>
  <c r="YY81" i="38"/>
  <c r="YZ81" i="38" s="1"/>
  <c r="YY82" i="38"/>
  <c r="YZ82" i="38" s="1"/>
  <c r="YY83" i="38"/>
  <c r="YZ83" i="38" s="1"/>
  <c r="YY85" i="38"/>
  <c r="YZ85" i="38" s="1"/>
  <c r="YY86" i="38"/>
  <c r="YZ86" i="38" s="1"/>
  <c r="YY87" i="38"/>
  <c r="YZ87" i="38" s="1"/>
  <c r="YY88" i="38"/>
  <c r="YZ88" i="38" s="1"/>
  <c r="YY89" i="38"/>
  <c r="YZ89" i="38" s="1"/>
  <c r="YY90" i="38"/>
  <c r="YZ90" i="38" s="1"/>
  <c r="YY91" i="38"/>
  <c r="YZ91" i="38" s="1"/>
  <c r="YY92" i="38"/>
  <c r="YZ92" i="38" s="1"/>
  <c r="YY93" i="38"/>
  <c r="YZ93" i="38" s="1"/>
  <c r="YY94" i="38"/>
  <c r="YZ94" i="38" s="1"/>
  <c r="YY95" i="38"/>
  <c r="YZ95" i="38" s="1"/>
  <c r="YY96" i="38"/>
  <c r="YZ96" i="38" s="1"/>
  <c r="YY97" i="38"/>
  <c r="YZ97" i="38" s="1"/>
  <c r="YY98" i="38"/>
  <c r="YZ98" i="38" s="1"/>
  <c r="YY99" i="38"/>
  <c r="YZ99" i="38" s="1"/>
  <c r="YY100" i="38"/>
  <c r="YZ100" i="38" s="1"/>
  <c r="YY101" i="38"/>
  <c r="YZ101" i="38" s="1"/>
  <c r="YY102" i="38"/>
  <c r="YZ102" i="38" s="1"/>
  <c r="YY103" i="38"/>
  <c r="YZ103" i="38" s="1"/>
  <c r="YY104" i="38"/>
  <c r="YZ104" i="38" s="1"/>
  <c r="YY105" i="38"/>
  <c r="YZ105" i="38" s="1"/>
  <c r="YY106" i="38"/>
  <c r="YZ106" i="38" s="1"/>
  <c r="YY107" i="38"/>
  <c r="YZ107" i="38" s="1"/>
  <c r="YY108" i="38"/>
  <c r="YZ108" i="38" s="1"/>
  <c r="YY109" i="38"/>
  <c r="YZ109" i="38" s="1"/>
  <c r="YY110" i="38"/>
  <c r="YZ110" i="38" s="1"/>
  <c r="YY111" i="38"/>
  <c r="YZ111" i="38" s="1"/>
  <c r="YY112" i="38"/>
  <c r="YZ112" i="38" s="1"/>
  <c r="YY113" i="38"/>
  <c r="YZ113" i="38" s="1"/>
  <c r="YY114" i="38"/>
  <c r="YZ114" i="38" s="1"/>
  <c r="YY115" i="38"/>
  <c r="YZ115" i="38" s="1"/>
  <c r="YY116" i="38"/>
  <c r="YZ116" i="38" s="1"/>
  <c r="YY117" i="38"/>
  <c r="YZ117" i="38" s="1"/>
  <c r="YY118" i="38"/>
  <c r="YZ118" i="38" s="1"/>
  <c r="YY119" i="38"/>
  <c r="YZ119" i="38" s="1"/>
  <c r="YY120" i="38"/>
  <c r="YZ120" i="38" s="1"/>
  <c r="YY121" i="38"/>
  <c r="YZ121" i="38" s="1"/>
  <c r="YY122" i="38"/>
  <c r="YZ122" i="38" s="1"/>
  <c r="YY123" i="38"/>
  <c r="YZ123" i="38" s="1"/>
  <c r="YY124" i="38"/>
  <c r="YZ124" i="38" s="1"/>
  <c r="YY126" i="38"/>
  <c r="YZ126" i="38" s="1"/>
  <c r="YY127" i="38"/>
  <c r="YZ127" i="38" s="1"/>
  <c r="YY128" i="38"/>
  <c r="YZ128" i="38" s="1"/>
  <c r="YY129" i="38"/>
  <c r="YZ129" i="38" s="1"/>
  <c r="YY130" i="38"/>
  <c r="YZ130" i="38" s="1"/>
  <c r="YY131" i="38"/>
  <c r="YZ131" i="38" s="1"/>
  <c r="YY132" i="38"/>
  <c r="YZ132" i="38" s="1"/>
  <c r="YY133" i="38"/>
  <c r="YZ133" i="38" s="1"/>
  <c r="YY134" i="38"/>
  <c r="YZ134" i="38" s="1"/>
  <c r="YY135" i="38"/>
  <c r="YZ135" i="38" s="1"/>
  <c r="YY136" i="38"/>
  <c r="YZ136" i="38" s="1"/>
  <c r="YY137" i="38"/>
  <c r="YZ137" i="38" s="1"/>
  <c r="YY138" i="38"/>
  <c r="YZ138" i="38" s="1"/>
  <c r="YY139" i="38"/>
  <c r="YZ139" i="38" s="1"/>
  <c r="YY140" i="38"/>
  <c r="YZ140" i="38" s="1"/>
  <c r="YY141" i="38"/>
  <c r="YZ141" i="38" s="1"/>
  <c r="YY142" i="38"/>
  <c r="YZ142" i="38" s="1"/>
  <c r="YY143" i="38"/>
  <c r="YZ143" i="38" s="1"/>
  <c r="YY144" i="38"/>
  <c r="YZ144" i="38" s="1"/>
  <c r="YY145" i="38"/>
  <c r="YZ145" i="38" s="1"/>
  <c r="YY146" i="38"/>
  <c r="YZ146" i="38" s="1"/>
  <c r="YY147" i="38"/>
  <c r="YZ147" i="38" s="1"/>
  <c r="YY148" i="38"/>
  <c r="YZ148" i="38" s="1"/>
  <c r="YY149" i="38"/>
  <c r="YZ149" i="38" s="1"/>
  <c r="YY150" i="38"/>
  <c r="YZ150" i="38" s="1"/>
  <c r="YY151" i="38"/>
  <c r="YZ151" i="38" s="1"/>
  <c r="YY152" i="38"/>
  <c r="YZ152" i="38" s="1"/>
  <c r="YY153" i="38"/>
  <c r="YZ153" i="38" s="1"/>
  <c r="YY154" i="38"/>
  <c r="YZ154" i="38" s="1"/>
  <c r="YY155" i="38"/>
  <c r="YZ155" i="38" s="1"/>
  <c r="YY156" i="38"/>
  <c r="YZ156" i="38" s="1"/>
  <c r="YY157" i="38"/>
  <c r="YZ157" i="38" s="1"/>
  <c r="YY158" i="38"/>
  <c r="YZ158" i="38" s="1"/>
  <c r="YY159" i="38"/>
  <c r="YZ159" i="38" s="1"/>
  <c r="YY160" i="38"/>
  <c r="YZ160" i="38" s="1"/>
  <c r="YY161" i="38"/>
  <c r="YZ161" i="38" s="1"/>
  <c r="YY162" i="38"/>
  <c r="YZ162" i="38" s="1"/>
  <c r="YY163" i="38"/>
  <c r="YZ163" i="38" s="1"/>
  <c r="YY164" i="38"/>
  <c r="YZ164" i="38" s="1"/>
  <c r="YY165" i="38"/>
  <c r="YZ165" i="38" s="1"/>
  <c r="YY166" i="38"/>
  <c r="YZ166" i="38" s="1"/>
  <c r="YY167" i="38"/>
  <c r="YZ167" i="38" s="1"/>
  <c r="YY168" i="38"/>
  <c r="YZ168" i="38" s="1"/>
  <c r="YY169" i="38"/>
  <c r="YZ169" i="38" s="1"/>
  <c r="YY170" i="38"/>
  <c r="YZ170" i="38" s="1"/>
  <c r="YY171" i="38"/>
  <c r="YZ171" i="38" s="1"/>
  <c r="YY172" i="38"/>
  <c r="YZ172" i="38" s="1"/>
  <c r="YY173" i="38"/>
  <c r="YZ173" i="38" s="1"/>
  <c r="YY174" i="38"/>
  <c r="YZ174" i="38" s="1"/>
  <c r="YY175" i="38"/>
  <c r="YZ175" i="38" s="1"/>
  <c r="YY176" i="38"/>
  <c r="YZ176" i="38" s="1"/>
  <c r="YY177" i="38"/>
  <c r="YZ177" i="38" s="1"/>
  <c r="YY178" i="38"/>
  <c r="YZ178" i="38" s="1"/>
  <c r="YY179" i="38"/>
  <c r="YZ179" i="38" s="1"/>
  <c r="YY180" i="38"/>
  <c r="YZ180" i="38" s="1"/>
  <c r="YY181" i="38"/>
  <c r="YZ181" i="38" s="1"/>
  <c r="YY182" i="38"/>
  <c r="YZ182" i="38" s="1"/>
  <c r="YY183" i="38"/>
  <c r="YZ183" i="38" s="1"/>
  <c r="YY184" i="38"/>
  <c r="YZ184" i="38" s="1"/>
  <c r="YY185" i="38"/>
  <c r="YZ185" i="38" s="1"/>
  <c r="YY186" i="38"/>
  <c r="YZ186" i="38" s="1"/>
  <c r="YY187" i="38"/>
  <c r="YZ187" i="38" s="1"/>
  <c r="YY5" i="38"/>
  <c r="YZ5" i="38" s="1"/>
  <c r="YZ2" i="38" l="1"/>
  <c r="D1" i="51"/>
  <c r="J10" i="1" l="1"/>
  <c r="J8" i="1"/>
  <c r="J9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4" i="1"/>
  <c r="J115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2" i="1"/>
  <c r="J183" i="1"/>
  <c r="J184" i="1"/>
  <c r="J185" i="1"/>
  <c r="J186" i="1"/>
  <c r="J187" i="1"/>
  <c r="J188" i="1"/>
  <c r="J189" i="1"/>
  <c r="F8" i="1"/>
  <c r="H8" i="1"/>
  <c r="I8" i="1"/>
  <c r="K8" i="1"/>
  <c r="L8" i="1"/>
  <c r="M8" i="1"/>
  <c r="N8" i="1"/>
  <c r="O8" i="1"/>
  <c r="P8" i="1"/>
  <c r="Q8" i="1"/>
  <c r="F9" i="1"/>
  <c r="H9" i="1"/>
  <c r="I9" i="1"/>
  <c r="K9" i="1"/>
  <c r="L9" i="1"/>
  <c r="M9" i="1"/>
  <c r="N9" i="1"/>
  <c r="O9" i="1"/>
  <c r="P9" i="1"/>
  <c r="Q9" i="1"/>
  <c r="F10" i="1"/>
  <c r="H10" i="1"/>
  <c r="I10" i="1"/>
  <c r="K10" i="1"/>
  <c r="L10" i="1"/>
  <c r="M10" i="1"/>
  <c r="N10" i="1"/>
  <c r="O10" i="1"/>
  <c r="P10" i="1"/>
  <c r="Q10" i="1"/>
  <c r="F11" i="1"/>
  <c r="H11" i="1"/>
  <c r="I11" i="1"/>
  <c r="K11" i="1"/>
  <c r="L11" i="1"/>
  <c r="M11" i="1"/>
  <c r="N11" i="1"/>
  <c r="O11" i="1"/>
  <c r="P11" i="1"/>
  <c r="Q11" i="1"/>
  <c r="F12" i="1"/>
  <c r="H12" i="1"/>
  <c r="I12" i="1"/>
  <c r="K12" i="1"/>
  <c r="L12" i="1"/>
  <c r="M12" i="1"/>
  <c r="N12" i="1"/>
  <c r="O12" i="1"/>
  <c r="P12" i="1"/>
  <c r="Q12" i="1"/>
  <c r="F13" i="1"/>
  <c r="H13" i="1"/>
  <c r="I13" i="1"/>
  <c r="K13" i="1"/>
  <c r="L13" i="1"/>
  <c r="M13" i="1"/>
  <c r="N13" i="1"/>
  <c r="O13" i="1"/>
  <c r="P13" i="1"/>
  <c r="Q13" i="1"/>
  <c r="F14" i="1"/>
  <c r="H14" i="1"/>
  <c r="I14" i="1"/>
  <c r="K14" i="1"/>
  <c r="L14" i="1"/>
  <c r="M14" i="1"/>
  <c r="N14" i="1"/>
  <c r="O14" i="1"/>
  <c r="P14" i="1"/>
  <c r="Q14" i="1"/>
  <c r="F15" i="1"/>
  <c r="H15" i="1"/>
  <c r="I15" i="1"/>
  <c r="K15" i="1"/>
  <c r="L15" i="1"/>
  <c r="M15" i="1"/>
  <c r="N15" i="1"/>
  <c r="O15" i="1"/>
  <c r="P15" i="1"/>
  <c r="Q15" i="1"/>
  <c r="F16" i="1"/>
  <c r="H16" i="1"/>
  <c r="I16" i="1"/>
  <c r="K16" i="1"/>
  <c r="L16" i="1"/>
  <c r="M16" i="1"/>
  <c r="N16" i="1"/>
  <c r="O16" i="1"/>
  <c r="P16" i="1"/>
  <c r="Q16" i="1"/>
  <c r="F17" i="1"/>
  <c r="H17" i="1"/>
  <c r="I17" i="1"/>
  <c r="K17" i="1"/>
  <c r="L17" i="1"/>
  <c r="M17" i="1"/>
  <c r="N17" i="1"/>
  <c r="O17" i="1"/>
  <c r="P17" i="1"/>
  <c r="Q17" i="1"/>
  <c r="F18" i="1"/>
  <c r="H18" i="1"/>
  <c r="I18" i="1"/>
  <c r="K18" i="1"/>
  <c r="L18" i="1"/>
  <c r="M18" i="1"/>
  <c r="N18" i="1"/>
  <c r="O18" i="1"/>
  <c r="P18" i="1"/>
  <c r="Q18" i="1"/>
  <c r="F19" i="1"/>
  <c r="H19" i="1"/>
  <c r="I19" i="1"/>
  <c r="K19" i="1"/>
  <c r="L19" i="1"/>
  <c r="M19" i="1"/>
  <c r="N19" i="1"/>
  <c r="O19" i="1"/>
  <c r="P19" i="1"/>
  <c r="Q19" i="1"/>
  <c r="F20" i="1"/>
  <c r="H20" i="1"/>
  <c r="I20" i="1"/>
  <c r="K20" i="1"/>
  <c r="L20" i="1"/>
  <c r="M20" i="1"/>
  <c r="N20" i="1"/>
  <c r="O20" i="1"/>
  <c r="P20" i="1"/>
  <c r="Q20" i="1"/>
  <c r="F21" i="1"/>
  <c r="H21" i="1"/>
  <c r="I21" i="1"/>
  <c r="K21" i="1"/>
  <c r="L21" i="1"/>
  <c r="M21" i="1"/>
  <c r="N21" i="1"/>
  <c r="O21" i="1"/>
  <c r="P21" i="1"/>
  <c r="Q21" i="1"/>
  <c r="F22" i="1"/>
  <c r="H22" i="1"/>
  <c r="I22" i="1"/>
  <c r="K22" i="1"/>
  <c r="L22" i="1"/>
  <c r="M22" i="1"/>
  <c r="N22" i="1"/>
  <c r="O22" i="1"/>
  <c r="P22" i="1"/>
  <c r="Q22" i="1"/>
  <c r="F23" i="1"/>
  <c r="H23" i="1"/>
  <c r="I23" i="1"/>
  <c r="K23" i="1"/>
  <c r="L23" i="1"/>
  <c r="M23" i="1"/>
  <c r="N23" i="1"/>
  <c r="O23" i="1"/>
  <c r="P23" i="1"/>
  <c r="Q23" i="1"/>
  <c r="F24" i="1"/>
  <c r="H24" i="1"/>
  <c r="I24" i="1"/>
  <c r="K24" i="1"/>
  <c r="L24" i="1"/>
  <c r="M24" i="1"/>
  <c r="N24" i="1"/>
  <c r="O24" i="1"/>
  <c r="P24" i="1"/>
  <c r="Q24" i="1"/>
  <c r="F25" i="1"/>
  <c r="H25" i="1"/>
  <c r="I25" i="1"/>
  <c r="K25" i="1"/>
  <c r="L25" i="1"/>
  <c r="M25" i="1"/>
  <c r="N25" i="1"/>
  <c r="O25" i="1"/>
  <c r="P25" i="1"/>
  <c r="Q25" i="1"/>
  <c r="F26" i="1"/>
  <c r="H26" i="1"/>
  <c r="I26" i="1"/>
  <c r="K26" i="1"/>
  <c r="L26" i="1"/>
  <c r="M26" i="1"/>
  <c r="N26" i="1"/>
  <c r="O26" i="1"/>
  <c r="P26" i="1"/>
  <c r="Q26" i="1"/>
  <c r="F27" i="1"/>
  <c r="H27" i="1"/>
  <c r="I27" i="1"/>
  <c r="K27" i="1"/>
  <c r="L27" i="1"/>
  <c r="M27" i="1"/>
  <c r="N27" i="1"/>
  <c r="O27" i="1"/>
  <c r="P27" i="1"/>
  <c r="Q27" i="1"/>
  <c r="F28" i="1"/>
  <c r="H28" i="1"/>
  <c r="I28" i="1"/>
  <c r="K28" i="1"/>
  <c r="M28" i="1"/>
  <c r="N28" i="1"/>
  <c r="O28" i="1"/>
  <c r="P28" i="1"/>
  <c r="Q28" i="1"/>
  <c r="F29" i="1"/>
  <c r="H29" i="1"/>
  <c r="I29" i="1"/>
  <c r="K29" i="1"/>
  <c r="L29" i="1"/>
  <c r="M29" i="1"/>
  <c r="N29" i="1"/>
  <c r="O29" i="1"/>
  <c r="P29" i="1"/>
  <c r="Q29" i="1"/>
  <c r="F30" i="1"/>
  <c r="H30" i="1"/>
  <c r="I30" i="1"/>
  <c r="K30" i="1"/>
  <c r="M30" i="1"/>
  <c r="N30" i="1"/>
  <c r="O30" i="1"/>
  <c r="P30" i="1"/>
  <c r="Q30" i="1"/>
  <c r="F31" i="1"/>
  <c r="H31" i="1"/>
  <c r="I31" i="1"/>
  <c r="K31" i="1"/>
  <c r="L31" i="1"/>
  <c r="M31" i="1"/>
  <c r="N31" i="1"/>
  <c r="O31" i="1"/>
  <c r="P31" i="1"/>
  <c r="Q31" i="1"/>
  <c r="F32" i="1"/>
  <c r="H32" i="1"/>
  <c r="I32" i="1"/>
  <c r="K32" i="1"/>
  <c r="L32" i="1"/>
  <c r="M32" i="1"/>
  <c r="N32" i="1"/>
  <c r="O32" i="1"/>
  <c r="P32" i="1"/>
  <c r="Q32" i="1"/>
  <c r="F33" i="1"/>
  <c r="H33" i="1"/>
  <c r="I33" i="1"/>
  <c r="K33" i="1"/>
  <c r="L33" i="1"/>
  <c r="M33" i="1"/>
  <c r="N33" i="1"/>
  <c r="O33" i="1"/>
  <c r="P33" i="1"/>
  <c r="Q33" i="1"/>
  <c r="F34" i="1"/>
  <c r="H34" i="1"/>
  <c r="I34" i="1"/>
  <c r="K34" i="1"/>
  <c r="L34" i="1"/>
  <c r="M34" i="1"/>
  <c r="N34" i="1"/>
  <c r="O34" i="1"/>
  <c r="P34" i="1"/>
  <c r="Q34" i="1"/>
  <c r="F35" i="1"/>
  <c r="H35" i="1"/>
  <c r="I35" i="1"/>
  <c r="K35" i="1"/>
  <c r="L35" i="1"/>
  <c r="M35" i="1"/>
  <c r="N35" i="1"/>
  <c r="O35" i="1"/>
  <c r="P35" i="1"/>
  <c r="Q35" i="1"/>
  <c r="F36" i="1"/>
  <c r="H36" i="1"/>
  <c r="I36" i="1"/>
  <c r="K36" i="1"/>
  <c r="L36" i="1"/>
  <c r="M36" i="1"/>
  <c r="N36" i="1"/>
  <c r="O36" i="1"/>
  <c r="P36" i="1"/>
  <c r="Q36" i="1"/>
  <c r="F37" i="1"/>
  <c r="H37" i="1"/>
  <c r="I37" i="1"/>
  <c r="K37" i="1"/>
  <c r="L37" i="1"/>
  <c r="M37" i="1"/>
  <c r="N37" i="1"/>
  <c r="O37" i="1"/>
  <c r="P37" i="1"/>
  <c r="Q37" i="1"/>
  <c r="F38" i="1"/>
  <c r="H38" i="1"/>
  <c r="I38" i="1"/>
  <c r="K38" i="1"/>
  <c r="L38" i="1"/>
  <c r="M38" i="1"/>
  <c r="N38" i="1"/>
  <c r="O38" i="1"/>
  <c r="P38" i="1"/>
  <c r="Q38" i="1"/>
  <c r="F39" i="1"/>
  <c r="H39" i="1"/>
  <c r="I39" i="1"/>
  <c r="K39" i="1"/>
  <c r="L39" i="1"/>
  <c r="M39" i="1"/>
  <c r="N39" i="1"/>
  <c r="O39" i="1"/>
  <c r="P39" i="1"/>
  <c r="Q39" i="1"/>
  <c r="F40" i="1"/>
  <c r="H40" i="1"/>
  <c r="I40" i="1"/>
  <c r="K40" i="1"/>
  <c r="L40" i="1"/>
  <c r="M40" i="1"/>
  <c r="N40" i="1"/>
  <c r="O40" i="1"/>
  <c r="P40" i="1"/>
  <c r="Q40" i="1"/>
  <c r="F41" i="1"/>
  <c r="H41" i="1"/>
  <c r="I41" i="1"/>
  <c r="K41" i="1"/>
  <c r="L41" i="1"/>
  <c r="M41" i="1"/>
  <c r="N41" i="1"/>
  <c r="O41" i="1"/>
  <c r="P41" i="1"/>
  <c r="Q41" i="1"/>
  <c r="F42" i="1"/>
  <c r="H42" i="1"/>
  <c r="I42" i="1"/>
  <c r="K42" i="1"/>
  <c r="L42" i="1"/>
  <c r="M42" i="1"/>
  <c r="N42" i="1"/>
  <c r="O42" i="1"/>
  <c r="P42" i="1"/>
  <c r="Q42" i="1"/>
  <c r="F43" i="1"/>
  <c r="H43" i="1"/>
  <c r="I43" i="1"/>
  <c r="K43" i="1"/>
  <c r="L43" i="1"/>
  <c r="M43" i="1"/>
  <c r="N43" i="1"/>
  <c r="O43" i="1"/>
  <c r="P43" i="1"/>
  <c r="Q43" i="1"/>
  <c r="F44" i="1"/>
  <c r="H44" i="1"/>
  <c r="I44" i="1"/>
  <c r="K44" i="1"/>
  <c r="L44" i="1"/>
  <c r="M44" i="1"/>
  <c r="N44" i="1"/>
  <c r="O44" i="1"/>
  <c r="P44" i="1"/>
  <c r="Q44" i="1"/>
  <c r="F45" i="1"/>
  <c r="H45" i="1"/>
  <c r="I45" i="1"/>
  <c r="K45" i="1"/>
  <c r="L45" i="1"/>
  <c r="M45" i="1"/>
  <c r="N45" i="1"/>
  <c r="O45" i="1"/>
  <c r="P45" i="1"/>
  <c r="Q45" i="1"/>
  <c r="F46" i="1"/>
  <c r="H46" i="1"/>
  <c r="I46" i="1"/>
  <c r="K46" i="1"/>
  <c r="L46" i="1"/>
  <c r="M46" i="1"/>
  <c r="N46" i="1"/>
  <c r="O46" i="1"/>
  <c r="P46" i="1"/>
  <c r="Q46" i="1"/>
  <c r="F47" i="1"/>
  <c r="H47" i="1"/>
  <c r="I47" i="1"/>
  <c r="K47" i="1"/>
  <c r="L47" i="1"/>
  <c r="M47" i="1"/>
  <c r="N47" i="1"/>
  <c r="O47" i="1"/>
  <c r="P47" i="1"/>
  <c r="Q47" i="1"/>
  <c r="F48" i="1"/>
  <c r="H48" i="1"/>
  <c r="I48" i="1"/>
  <c r="K48" i="1"/>
  <c r="L48" i="1"/>
  <c r="M48" i="1"/>
  <c r="N48" i="1"/>
  <c r="O48" i="1"/>
  <c r="P48" i="1"/>
  <c r="Q48" i="1"/>
  <c r="F49" i="1"/>
  <c r="H49" i="1"/>
  <c r="I49" i="1"/>
  <c r="K49" i="1"/>
  <c r="L49" i="1"/>
  <c r="M49" i="1"/>
  <c r="N49" i="1"/>
  <c r="O49" i="1"/>
  <c r="P49" i="1"/>
  <c r="Q49" i="1"/>
  <c r="F50" i="1"/>
  <c r="H50" i="1"/>
  <c r="I50" i="1"/>
  <c r="K50" i="1"/>
  <c r="L50" i="1"/>
  <c r="M50" i="1"/>
  <c r="N50" i="1"/>
  <c r="O50" i="1"/>
  <c r="P50" i="1"/>
  <c r="Q50" i="1"/>
  <c r="F51" i="1"/>
  <c r="H51" i="1"/>
  <c r="I51" i="1"/>
  <c r="K51" i="1"/>
  <c r="L51" i="1"/>
  <c r="M51" i="1"/>
  <c r="N51" i="1"/>
  <c r="O51" i="1"/>
  <c r="P51" i="1"/>
  <c r="Q51" i="1"/>
  <c r="F52" i="1"/>
  <c r="H52" i="1"/>
  <c r="I52" i="1"/>
  <c r="K52" i="1"/>
  <c r="L52" i="1"/>
  <c r="M52" i="1"/>
  <c r="N52" i="1"/>
  <c r="O52" i="1"/>
  <c r="P52" i="1"/>
  <c r="Q52" i="1"/>
  <c r="F53" i="1"/>
  <c r="H53" i="1"/>
  <c r="I53" i="1"/>
  <c r="K53" i="1"/>
  <c r="L53" i="1"/>
  <c r="M53" i="1"/>
  <c r="N53" i="1"/>
  <c r="O53" i="1"/>
  <c r="P53" i="1"/>
  <c r="Q53" i="1"/>
  <c r="F54" i="1"/>
  <c r="H54" i="1"/>
  <c r="I54" i="1"/>
  <c r="K54" i="1"/>
  <c r="L54" i="1"/>
  <c r="M54" i="1"/>
  <c r="N54" i="1"/>
  <c r="O54" i="1"/>
  <c r="P54" i="1"/>
  <c r="Q54" i="1"/>
  <c r="F55" i="1"/>
  <c r="H55" i="1"/>
  <c r="I55" i="1"/>
  <c r="K55" i="1"/>
  <c r="L55" i="1"/>
  <c r="M55" i="1"/>
  <c r="N55" i="1"/>
  <c r="O55" i="1"/>
  <c r="P55" i="1"/>
  <c r="Q55" i="1"/>
  <c r="F56" i="1"/>
  <c r="H56" i="1"/>
  <c r="I56" i="1"/>
  <c r="K56" i="1"/>
  <c r="L56" i="1"/>
  <c r="M56" i="1"/>
  <c r="N56" i="1"/>
  <c r="O56" i="1"/>
  <c r="P56" i="1"/>
  <c r="Q56" i="1"/>
  <c r="F57" i="1"/>
  <c r="H57" i="1"/>
  <c r="I57" i="1"/>
  <c r="K57" i="1"/>
  <c r="L57" i="1"/>
  <c r="M57" i="1"/>
  <c r="N57" i="1"/>
  <c r="O57" i="1"/>
  <c r="P57" i="1"/>
  <c r="Q57" i="1"/>
  <c r="F58" i="1"/>
  <c r="H58" i="1"/>
  <c r="I58" i="1"/>
  <c r="K58" i="1"/>
  <c r="L58" i="1"/>
  <c r="M58" i="1"/>
  <c r="N58" i="1"/>
  <c r="O58" i="1"/>
  <c r="P58" i="1"/>
  <c r="Q58" i="1"/>
  <c r="F59" i="1"/>
  <c r="H59" i="1"/>
  <c r="I59" i="1"/>
  <c r="K59" i="1"/>
  <c r="L59" i="1"/>
  <c r="M59" i="1"/>
  <c r="N59" i="1"/>
  <c r="O59" i="1"/>
  <c r="P59" i="1"/>
  <c r="Q59" i="1"/>
  <c r="F60" i="1"/>
  <c r="H60" i="1"/>
  <c r="I60" i="1"/>
  <c r="K60" i="1"/>
  <c r="L60" i="1"/>
  <c r="M60" i="1"/>
  <c r="N60" i="1"/>
  <c r="O60" i="1"/>
  <c r="P60" i="1"/>
  <c r="Q60" i="1"/>
  <c r="F61" i="1"/>
  <c r="H61" i="1"/>
  <c r="I61" i="1"/>
  <c r="K61" i="1"/>
  <c r="L61" i="1"/>
  <c r="M61" i="1"/>
  <c r="N61" i="1"/>
  <c r="O61" i="1"/>
  <c r="P61" i="1"/>
  <c r="Q61" i="1"/>
  <c r="F62" i="1"/>
  <c r="H62" i="1"/>
  <c r="I62" i="1"/>
  <c r="K62" i="1"/>
  <c r="L62" i="1"/>
  <c r="M62" i="1"/>
  <c r="N62" i="1"/>
  <c r="O62" i="1"/>
  <c r="P62" i="1"/>
  <c r="Q62" i="1"/>
  <c r="F63" i="1"/>
  <c r="H63" i="1"/>
  <c r="I63" i="1"/>
  <c r="K63" i="1"/>
  <c r="L63" i="1"/>
  <c r="M63" i="1"/>
  <c r="N63" i="1"/>
  <c r="O63" i="1"/>
  <c r="P63" i="1"/>
  <c r="Q63" i="1"/>
  <c r="F64" i="1"/>
  <c r="H64" i="1"/>
  <c r="I64" i="1"/>
  <c r="K64" i="1"/>
  <c r="L64" i="1"/>
  <c r="M64" i="1"/>
  <c r="N64" i="1"/>
  <c r="O64" i="1"/>
  <c r="P64" i="1"/>
  <c r="Q64" i="1"/>
  <c r="F65" i="1"/>
  <c r="H65" i="1"/>
  <c r="I65" i="1"/>
  <c r="K65" i="1"/>
  <c r="L65" i="1"/>
  <c r="M65" i="1"/>
  <c r="N65" i="1"/>
  <c r="O65" i="1"/>
  <c r="P65" i="1"/>
  <c r="Q65" i="1"/>
  <c r="F66" i="1"/>
  <c r="H66" i="1"/>
  <c r="I66" i="1"/>
  <c r="K66" i="1"/>
  <c r="L66" i="1"/>
  <c r="M66" i="1"/>
  <c r="N66" i="1"/>
  <c r="O66" i="1"/>
  <c r="P66" i="1"/>
  <c r="Q66" i="1"/>
  <c r="F67" i="1"/>
  <c r="H67" i="1"/>
  <c r="I67" i="1"/>
  <c r="K67" i="1"/>
  <c r="L67" i="1"/>
  <c r="M67" i="1"/>
  <c r="N67" i="1"/>
  <c r="O67" i="1"/>
  <c r="P67" i="1"/>
  <c r="Q67" i="1"/>
  <c r="F68" i="1"/>
  <c r="H68" i="1"/>
  <c r="I68" i="1"/>
  <c r="K68" i="1"/>
  <c r="L68" i="1"/>
  <c r="M68" i="1"/>
  <c r="N68" i="1"/>
  <c r="O68" i="1"/>
  <c r="P68" i="1"/>
  <c r="Q68" i="1"/>
  <c r="F69" i="1"/>
  <c r="H69" i="1"/>
  <c r="I69" i="1"/>
  <c r="K69" i="1"/>
  <c r="L69" i="1"/>
  <c r="M69" i="1"/>
  <c r="N69" i="1"/>
  <c r="O69" i="1"/>
  <c r="P69" i="1"/>
  <c r="Q69" i="1"/>
  <c r="F70" i="1"/>
  <c r="H70" i="1"/>
  <c r="I70" i="1"/>
  <c r="K70" i="1"/>
  <c r="L70" i="1"/>
  <c r="M70" i="1"/>
  <c r="N70" i="1"/>
  <c r="O70" i="1"/>
  <c r="P70" i="1"/>
  <c r="Q70" i="1"/>
  <c r="F71" i="1"/>
  <c r="H71" i="1"/>
  <c r="I71" i="1"/>
  <c r="K71" i="1"/>
  <c r="L71" i="1"/>
  <c r="M71" i="1"/>
  <c r="N71" i="1"/>
  <c r="O71" i="1"/>
  <c r="P71" i="1"/>
  <c r="Q71" i="1"/>
  <c r="F72" i="1"/>
  <c r="H72" i="1"/>
  <c r="I72" i="1"/>
  <c r="K72" i="1"/>
  <c r="L72" i="1"/>
  <c r="M72" i="1"/>
  <c r="N72" i="1"/>
  <c r="O72" i="1"/>
  <c r="P72" i="1"/>
  <c r="Q72" i="1"/>
  <c r="F73" i="1"/>
  <c r="H73" i="1"/>
  <c r="I73" i="1"/>
  <c r="K73" i="1"/>
  <c r="L73" i="1"/>
  <c r="M73" i="1"/>
  <c r="N73" i="1"/>
  <c r="O73" i="1"/>
  <c r="P73" i="1"/>
  <c r="Q73" i="1"/>
  <c r="F74" i="1"/>
  <c r="H74" i="1"/>
  <c r="I74" i="1"/>
  <c r="K74" i="1"/>
  <c r="L74" i="1"/>
  <c r="M74" i="1"/>
  <c r="N74" i="1"/>
  <c r="O74" i="1"/>
  <c r="P74" i="1"/>
  <c r="Q74" i="1"/>
  <c r="F75" i="1"/>
  <c r="H75" i="1"/>
  <c r="I75" i="1"/>
  <c r="K75" i="1"/>
  <c r="L75" i="1"/>
  <c r="M75" i="1"/>
  <c r="N75" i="1"/>
  <c r="O75" i="1"/>
  <c r="P75" i="1"/>
  <c r="Q75" i="1"/>
  <c r="F76" i="1"/>
  <c r="H76" i="1"/>
  <c r="I76" i="1"/>
  <c r="K76" i="1"/>
  <c r="L76" i="1"/>
  <c r="M76" i="1"/>
  <c r="N76" i="1"/>
  <c r="O76" i="1"/>
  <c r="P76" i="1"/>
  <c r="Q76" i="1"/>
  <c r="F77" i="1"/>
  <c r="H77" i="1"/>
  <c r="I77" i="1"/>
  <c r="K77" i="1"/>
  <c r="L77" i="1"/>
  <c r="M77" i="1"/>
  <c r="N77" i="1"/>
  <c r="O77" i="1"/>
  <c r="P77" i="1"/>
  <c r="Q77" i="1"/>
  <c r="F78" i="1"/>
  <c r="H78" i="1"/>
  <c r="I78" i="1"/>
  <c r="K78" i="1"/>
  <c r="L78" i="1"/>
  <c r="M78" i="1"/>
  <c r="N78" i="1"/>
  <c r="O78" i="1"/>
  <c r="P78" i="1"/>
  <c r="Q78" i="1"/>
  <c r="F79" i="1"/>
  <c r="H79" i="1"/>
  <c r="I79" i="1"/>
  <c r="K79" i="1"/>
  <c r="L79" i="1"/>
  <c r="M79" i="1"/>
  <c r="N79" i="1"/>
  <c r="O79" i="1"/>
  <c r="P79" i="1"/>
  <c r="Q79" i="1"/>
  <c r="F80" i="1"/>
  <c r="H80" i="1"/>
  <c r="I80" i="1"/>
  <c r="K80" i="1"/>
  <c r="L80" i="1"/>
  <c r="M80" i="1"/>
  <c r="N80" i="1"/>
  <c r="O80" i="1"/>
  <c r="P80" i="1"/>
  <c r="Q80" i="1"/>
  <c r="F81" i="1"/>
  <c r="H81" i="1"/>
  <c r="I81" i="1"/>
  <c r="K81" i="1"/>
  <c r="L81" i="1"/>
  <c r="M81" i="1"/>
  <c r="N81" i="1"/>
  <c r="O81" i="1"/>
  <c r="P81" i="1"/>
  <c r="Q81" i="1"/>
  <c r="F82" i="1"/>
  <c r="H82" i="1"/>
  <c r="I82" i="1"/>
  <c r="K82" i="1"/>
  <c r="L82" i="1"/>
  <c r="M82" i="1"/>
  <c r="N82" i="1"/>
  <c r="O82" i="1"/>
  <c r="P82" i="1"/>
  <c r="Q82" i="1"/>
  <c r="F83" i="1"/>
  <c r="H83" i="1"/>
  <c r="I83" i="1"/>
  <c r="K83" i="1"/>
  <c r="L83" i="1"/>
  <c r="M83" i="1"/>
  <c r="N83" i="1"/>
  <c r="O83" i="1"/>
  <c r="P83" i="1"/>
  <c r="Q83" i="1"/>
  <c r="F84" i="1"/>
  <c r="H84" i="1"/>
  <c r="I84" i="1"/>
  <c r="K84" i="1"/>
  <c r="L84" i="1"/>
  <c r="M84" i="1"/>
  <c r="O84" i="1"/>
  <c r="P84" i="1"/>
  <c r="Q84" i="1"/>
  <c r="F85" i="1"/>
  <c r="H85" i="1"/>
  <c r="I85" i="1"/>
  <c r="K85" i="1"/>
  <c r="L85" i="1"/>
  <c r="M85" i="1"/>
  <c r="N85" i="1"/>
  <c r="O85" i="1"/>
  <c r="P85" i="1"/>
  <c r="Q85" i="1"/>
  <c r="F86" i="1"/>
  <c r="H86" i="1"/>
  <c r="I86" i="1"/>
  <c r="K86" i="1"/>
  <c r="M86" i="1"/>
  <c r="N86" i="1"/>
  <c r="O86" i="1"/>
  <c r="P86" i="1"/>
  <c r="Q86" i="1"/>
  <c r="F87" i="1"/>
  <c r="H87" i="1"/>
  <c r="I87" i="1"/>
  <c r="K87" i="1"/>
  <c r="L87" i="1"/>
  <c r="M87" i="1"/>
  <c r="N87" i="1"/>
  <c r="O87" i="1"/>
  <c r="P87" i="1"/>
  <c r="Q87" i="1"/>
  <c r="F88" i="1"/>
  <c r="H88" i="1"/>
  <c r="I88" i="1"/>
  <c r="K88" i="1"/>
  <c r="L88" i="1"/>
  <c r="M88" i="1"/>
  <c r="N88" i="1"/>
  <c r="O88" i="1"/>
  <c r="P88" i="1"/>
  <c r="Q88" i="1"/>
  <c r="F89" i="1"/>
  <c r="H89" i="1"/>
  <c r="I89" i="1"/>
  <c r="K89" i="1"/>
  <c r="L89" i="1"/>
  <c r="M89" i="1"/>
  <c r="N89" i="1"/>
  <c r="O89" i="1"/>
  <c r="P89" i="1"/>
  <c r="Q89" i="1"/>
  <c r="F90" i="1"/>
  <c r="H90" i="1"/>
  <c r="I90" i="1"/>
  <c r="K90" i="1"/>
  <c r="L90" i="1"/>
  <c r="M90" i="1"/>
  <c r="N90" i="1"/>
  <c r="O90" i="1"/>
  <c r="P90" i="1"/>
  <c r="Q90" i="1"/>
  <c r="F91" i="1"/>
  <c r="H91" i="1"/>
  <c r="I91" i="1"/>
  <c r="K91" i="1"/>
  <c r="L91" i="1"/>
  <c r="M91" i="1"/>
  <c r="N91" i="1"/>
  <c r="O91" i="1"/>
  <c r="P91" i="1"/>
  <c r="Q91" i="1"/>
  <c r="F92" i="1"/>
  <c r="H92" i="1"/>
  <c r="I92" i="1"/>
  <c r="K92" i="1"/>
  <c r="L92" i="1"/>
  <c r="M92" i="1"/>
  <c r="N92" i="1"/>
  <c r="O92" i="1"/>
  <c r="P92" i="1"/>
  <c r="Q92" i="1"/>
  <c r="F93" i="1"/>
  <c r="H93" i="1"/>
  <c r="I93" i="1"/>
  <c r="K93" i="1"/>
  <c r="L93" i="1"/>
  <c r="M93" i="1"/>
  <c r="N93" i="1"/>
  <c r="O93" i="1"/>
  <c r="P93" i="1"/>
  <c r="Q93" i="1"/>
  <c r="F94" i="1"/>
  <c r="H94" i="1"/>
  <c r="I94" i="1"/>
  <c r="K94" i="1"/>
  <c r="L94" i="1"/>
  <c r="M94" i="1"/>
  <c r="N94" i="1"/>
  <c r="O94" i="1"/>
  <c r="P94" i="1"/>
  <c r="Q94" i="1"/>
  <c r="F95" i="1"/>
  <c r="H95" i="1"/>
  <c r="I95" i="1"/>
  <c r="K95" i="1"/>
  <c r="L95" i="1"/>
  <c r="M95" i="1"/>
  <c r="N95" i="1"/>
  <c r="O95" i="1"/>
  <c r="P95" i="1"/>
  <c r="Q95" i="1"/>
  <c r="F96" i="1"/>
  <c r="H96" i="1"/>
  <c r="I96" i="1"/>
  <c r="K96" i="1"/>
  <c r="L96" i="1"/>
  <c r="M96" i="1"/>
  <c r="N96" i="1"/>
  <c r="O96" i="1"/>
  <c r="P96" i="1"/>
  <c r="Q96" i="1"/>
  <c r="F97" i="1"/>
  <c r="H97" i="1"/>
  <c r="I97" i="1"/>
  <c r="K97" i="1"/>
  <c r="L97" i="1"/>
  <c r="M97" i="1"/>
  <c r="N97" i="1"/>
  <c r="O97" i="1"/>
  <c r="P97" i="1"/>
  <c r="Q97" i="1"/>
  <c r="F98" i="1"/>
  <c r="H98" i="1"/>
  <c r="I98" i="1"/>
  <c r="K98" i="1"/>
  <c r="L98" i="1"/>
  <c r="M98" i="1"/>
  <c r="N98" i="1"/>
  <c r="O98" i="1"/>
  <c r="P98" i="1"/>
  <c r="Q98" i="1"/>
  <c r="F99" i="1"/>
  <c r="H99" i="1"/>
  <c r="I99" i="1"/>
  <c r="K99" i="1"/>
  <c r="L99" i="1"/>
  <c r="M99" i="1"/>
  <c r="N99" i="1"/>
  <c r="O99" i="1"/>
  <c r="P99" i="1"/>
  <c r="Q99" i="1"/>
  <c r="F100" i="1"/>
  <c r="H100" i="1"/>
  <c r="I100" i="1"/>
  <c r="K100" i="1"/>
  <c r="L100" i="1"/>
  <c r="M100" i="1"/>
  <c r="N100" i="1"/>
  <c r="O100" i="1"/>
  <c r="P100" i="1"/>
  <c r="Q100" i="1"/>
  <c r="F101" i="1"/>
  <c r="H101" i="1"/>
  <c r="I101" i="1"/>
  <c r="K101" i="1"/>
  <c r="L101" i="1"/>
  <c r="M101" i="1"/>
  <c r="N101" i="1"/>
  <c r="O101" i="1"/>
  <c r="P101" i="1"/>
  <c r="Q101" i="1"/>
  <c r="F102" i="1"/>
  <c r="H102" i="1"/>
  <c r="I102" i="1"/>
  <c r="K102" i="1"/>
  <c r="L102" i="1"/>
  <c r="M102" i="1"/>
  <c r="N102" i="1"/>
  <c r="O102" i="1"/>
  <c r="P102" i="1"/>
  <c r="Q102" i="1"/>
  <c r="F103" i="1"/>
  <c r="H103" i="1"/>
  <c r="I103" i="1"/>
  <c r="K103" i="1"/>
  <c r="L103" i="1"/>
  <c r="M103" i="1"/>
  <c r="N103" i="1"/>
  <c r="O103" i="1"/>
  <c r="P103" i="1"/>
  <c r="Q103" i="1"/>
  <c r="F104" i="1"/>
  <c r="H104" i="1"/>
  <c r="I104" i="1"/>
  <c r="K104" i="1"/>
  <c r="L104" i="1"/>
  <c r="M104" i="1"/>
  <c r="N104" i="1"/>
  <c r="O104" i="1"/>
  <c r="P104" i="1"/>
  <c r="Q104" i="1"/>
  <c r="F105" i="1"/>
  <c r="H105" i="1"/>
  <c r="I105" i="1"/>
  <c r="K105" i="1"/>
  <c r="L105" i="1"/>
  <c r="M105" i="1"/>
  <c r="N105" i="1"/>
  <c r="O105" i="1"/>
  <c r="P105" i="1"/>
  <c r="Q105" i="1"/>
  <c r="F106" i="1"/>
  <c r="H106" i="1"/>
  <c r="I106" i="1"/>
  <c r="K106" i="1"/>
  <c r="L106" i="1"/>
  <c r="M106" i="1"/>
  <c r="N106" i="1"/>
  <c r="O106" i="1"/>
  <c r="P106" i="1"/>
  <c r="Q106" i="1"/>
  <c r="F107" i="1"/>
  <c r="H107" i="1"/>
  <c r="I107" i="1"/>
  <c r="K107" i="1"/>
  <c r="L107" i="1"/>
  <c r="M107" i="1"/>
  <c r="N107" i="1"/>
  <c r="O107" i="1"/>
  <c r="P107" i="1"/>
  <c r="Q107" i="1"/>
  <c r="F108" i="1"/>
  <c r="H108" i="1"/>
  <c r="I108" i="1"/>
  <c r="K108" i="1"/>
  <c r="L108" i="1"/>
  <c r="M108" i="1"/>
  <c r="N108" i="1"/>
  <c r="O108" i="1"/>
  <c r="P108" i="1"/>
  <c r="Q108" i="1"/>
  <c r="F109" i="1"/>
  <c r="H109" i="1"/>
  <c r="I109" i="1"/>
  <c r="K109" i="1"/>
  <c r="L109" i="1"/>
  <c r="M109" i="1"/>
  <c r="N109" i="1"/>
  <c r="O109" i="1"/>
  <c r="P109" i="1"/>
  <c r="Q109" i="1"/>
  <c r="F110" i="1"/>
  <c r="H110" i="1"/>
  <c r="I110" i="1"/>
  <c r="K110" i="1"/>
  <c r="L110" i="1"/>
  <c r="M110" i="1"/>
  <c r="N110" i="1"/>
  <c r="O110" i="1"/>
  <c r="P110" i="1"/>
  <c r="Q110" i="1"/>
  <c r="F111" i="1"/>
  <c r="H111" i="1"/>
  <c r="I111" i="1"/>
  <c r="K111" i="1"/>
  <c r="L111" i="1"/>
  <c r="M111" i="1"/>
  <c r="N111" i="1"/>
  <c r="O111" i="1"/>
  <c r="P111" i="1"/>
  <c r="Q111" i="1"/>
  <c r="F112" i="1"/>
  <c r="H112" i="1"/>
  <c r="I112" i="1"/>
  <c r="K112" i="1"/>
  <c r="L112" i="1"/>
  <c r="M112" i="1"/>
  <c r="N112" i="1"/>
  <c r="O112" i="1"/>
  <c r="P112" i="1"/>
  <c r="Q112" i="1"/>
  <c r="F113" i="1"/>
  <c r="H113" i="1"/>
  <c r="I113" i="1"/>
  <c r="K113" i="1"/>
  <c r="L113" i="1"/>
  <c r="M113" i="1"/>
  <c r="N113" i="1"/>
  <c r="O113" i="1"/>
  <c r="P113" i="1"/>
  <c r="Q113" i="1"/>
  <c r="F114" i="1"/>
  <c r="H114" i="1"/>
  <c r="I114" i="1"/>
  <c r="K114" i="1"/>
  <c r="L114" i="1"/>
  <c r="M114" i="1"/>
  <c r="N114" i="1"/>
  <c r="O114" i="1"/>
  <c r="P114" i="1"/>
  <c r="Q114" i="1"/>
  <c r="F115" i="1"/>
  <c r="H115" i="1"/>
  <c r="I115" i="1"/>
  <c r="K115" i="1"/>
  <c r="L115" i="1"/>
  <c r="M115" i="1"/>
  <c r="N115" i="1"/>
  <c r="O115" i="1"/>
  <c r="P115" i="1"/>
  <c r="Q115" i="1"/>
  <c r="F116" i="1"/>
  <c r="H116" i="1"/>
  <c r="I116" i="1"/>
  <c r="K116" i="1"/>
  <c r="L116" i="1"/>
  <c r="M116" i="1"/>
  <c r="N116" i="1"/>
  <c r="O116" i="1"/>
  <c r="P116" i="1"/>
  <c r="Q116" i="1"/>
  <c r="F117" i="1"/>
  <c r="H117" i="1"/>
  <c r="I117" i="1"/>
  <c r="K117" i="1"/>
  <c r="L117" i="1"/>
  <c r="M117" i="1"/>
  <c r="N117" i="1"/>
  <c r="O117" i="1"/>
  <c r="P117" i="1"/>
  <c r="Q117" i="1"/>
  <c r="F118" i="1"/>
  <c r="H118" i="1"/>
  <c r="I118" i="1"/>
  <c r="K118" i="1"/>
  <c r="M118" i="1"/>
  <c r="N118" i="1"/>
  <c r="O118" i="1"/>
  <c r="P118" i="1"/>
  <c r="Q118" i="1"/>
  <c r="F119" i="1"/>
  <c r="H119" i="1"/>
  <c r="I119" i="1"/>
  <c r="K119" i="1"/>
  <c r="L119" i="1"/>
  <c r="M119" i="1"/>
  <c r="N119" i="1"/>
  <c r="O119" i="1"/>
  <c r="P119" i="1"/>
  <c r="Q119" i="1"/>
  <c r="F120" i="1"/>
  <c r="H120" i="1"/>
  <c r="I120" i="1"/>
  <c r="K120" i="1"/>
  <c r="L120" i="1"/>
  <c r="M120" i="1"/>
  <c r="N120" i="1"/>
  <c r="O120" i="1"/>
  <c r="P120" i="1"/>
  <c r="Q120" i="1"/>
  <c r="F121" i="1"/>
  <c r="H121" i="1"/>
  <c r="I121" i="1"/>
  <c r="K121" i="1"/>
  <c r="L121" i="1"/>
  <c r="M121" i="1"/>
  <c r="N121" i="1"/>
  <c r="O121" i="1"/>
  <c r="P121" i="1"/>
  <c r="Q121" i="1"/>
  <c r="F122" i="1"/>
  <c r="H122" i="1"/>
  <c r="I122" i="1"/>
  <c r="K122" i="1"/>
  <c r="L122" i="1"/>
  <c r="M122" i="1"/>
  <c r="N122" i="1"/>
  <c r="O122" i="1"/>
  <c r="P122" i="1"/>
  <c r="Q122" i="1"/>
  <c r="F123" i="1"/>
  <c r="H123" i="1"/>
  <c r="I123" i="1"/>
  <c r="K123" i="1"/>
  <c r="L123" i="1"/>
  <c r="M123" i="1"/>
  <c r="N123" i="1"/>
  <c r="O123" i="1"/>
  <c r="P123" i="1"/>
  <c r="Q123" i="1"/>
  <c r="F124" i="1"/>
  <c r="H124" i="1"/>
  <c r="I124" i="1"/>
  <c r="K124" i="1"/>
  <c r="L124" i="1"/>
  <c r="M124" i="1"/>
  <c r="N124" i="1"/>
  <c r="O124" i="1"/>
  <c r="P124" i="1"/>
  <c r="Q124" i="1"/>
  <c r="F125" i="1"/>
  <c r="H125" i="1"/>
  <c r="I125" i="1"/>
  <c r="K125" i="1"/>
  <c r="L125" i="1"/>
  <c r="M125" i="1"/>
  <c r="N125" i="1"/>
  <c r="O125" i="1"/>
  <c r="P125" i="1"/>
  <c r="Q125" i="1"/>
  <c r="F126" i="1"/>
  <c r="H126" i="1"/>
  <c r="I126" i="1"/>
  <c r="K126" i="1"/>
  <c r="L126" i="1"/>
  <c r="M126" i="1"/>
  <c r="O126" i="1"/>
  <c r="P126" i="1"/>
  <c r="Q126" i="1"/>
  <c r="F127" i="1"/>
  <c r="H127" i="1"/>
  <c r="I127" i="1"/>
  <c r="K127" i="1"/>
  <c r="L127" i="1"/>
  <c r="M127" i="1"/>
  <c r="N127" i="1"/>
  <c r="O127" i="1"/>
  <c r="P127" i="1"/>
  <c r="Q127" i="1"/>
  <c r="F128" i="1"/>
  <c r="H128" i="1"/>
  <c r="I128" i="1"/>
  <c r="K128" i="1"/>
  <c r="L128" i="1"/>
  <c r="M128" i="1"/>
  <c r="N128" i="1"/>
  <c r="O128" i="1"/>
  <c r="P128" i="1"/>
  <c r="Q128" i="1"/>
  <c r="F129" i="1"/>
  <c r="H129" i="1"/>
  <c r="I129" i="1"/>
  <c r="K129" i="1"/>
  <c r="L129" i="1"/>
  <c r="M129" i="1"/>
  <c r="N129" i="1"/>
  <c r="O129" i="1"/>
  <c r="P129" i="1"/>
  <c r="Q129" i="1"/>
  <c r="F130" i="1"/>
  <c r="H130" i="1"/>
  <c r="I130" i="1"/>
  <c r="K130" i="1"/>
  <c r="L130" i="1"/>
  <c r="M130" i="1"/>
  <c r="N130" i="1"/>
  <c r="O130" i="1"/>
  <c r="P130" i="1"/>
  <c r="Q130" i="1"/>
  <c r="F131" i="1"/>
  <c r="H131" i="1"/>
  <c r="I131" i="1"/>
  <c r="K131" i="1"/>
  <c r="L131" i="1"/>
  <c r="M131" i="1"/>
  <c r="N131" i="1"/>
  <c r="O131" i="1"/>
  <c r="P131" i="1"/>
  <c r="Q131" i="1"/>
  <c r="F132" i="1"/>
  <c r="H132" i="1"/>
  <c r="I132" i="1"/>
  <c r="K132" i="1"/>
  <c r="L132" i="1"/>
  <c r="M132" i="1"/>
  <c r="N132" i="1"/>
  <c r="O132" i="1"/>
  <c r="P132" i="1"/>
  <c r="Q132" i="1"/>
  <c r="F133" i="1"/>
  <c r="H133" i="1"/>
  <c r="I133" i="1"/>
  <c r="K133" i="1"/>
  <c r="L133" i="1"/>
  <c r="M133" i="1"/>
  <c r="N133" i="1"/>
  <c r="O133" i="1"/>
  <c r="P133" i="1"/>
  <c r="Q133" i="1"/>
  <c r="F134" i="1"/>
  <c r="H134" i="1"/>
  <c r="I134" i="1"/>
  <c r="K134" i="1"/>
  <c r="L134" i="1"/>
  <c r="M134" i="1"/>
  <c r="N134" i="1"/>
  <c r="O134" i="1"/>
  <c r="P134" i="1"/>
  <c r="Q134" i="1"/>
  <c r="F135" i="1"/>
  <c r="H135" i="1"/>
  <c r="I135" i="1"/>
  <c r="K135" i="1"/>
  <c r="L135" i="1"/>
  <c r="M135" i="1"/>
  <c r="N135" i="1"/>
  <c r="O135" i="1"/>
  <c r="P135" i="1"/>
  <c r="Q135" i="1"/>
  <c r="F136" i="1"/>
  <c r="H136" i="1"/>
  <c r="I136" i="1"/>
  <c r="K136" i="1"/>
  <c r="L136" i="1"/>
  <c r="M136" i="1"/>
  <c r="N136" i="1"/>
  <c r="O136" i="1"/>
  <c r="P136" i="1"/>
  <c r="Q136" i="1"/>
  <c r="F137" i="1"/>
  <c r="H137" i="1"/>
  <c r="I137" i="1"/>
  <c r="K137" i="1"/>
  <c r="L137" i="1"/>
  <c r="M137" i="1"/>
  <c r="N137" i="1"/>
  <c r="O137" i="1"/>
  <c r="P137" i="1"/>
  <c r="Q137" i="1"/>
  <c r="F138" i="1"/>
  <c r="H138" i="1"/>
  <c r="I138" i="1"/>
  <c r="K138" i="1"/>
  <c r="L138" i="1"/>
  <c r="M138" i="1"/>
  <c r="N138" i="1"/>
  <c r="O138" i="1"/>
  <c r="P138" i="1"/>
  <c r="Q138" i="1"/>
  <c r="F139" i="1"/>
  <c r="H139" i="1"/>
  <c r="I139" i="1"/>
  <c r="K139" i="1"/>
  <c r="L139" i="1"/>
  <c r="M139" i="1"/>
  <c r="N139" i="1"/>
  <c r="O139" i="1"/>
  <c r="P139" i="1"/>
  <c r="Q139" i="1"/>
  <c r="F140" i="1"/>
  <c r="H140" i="1"/>
  <c r="I140" i="1"/>
  <c r="K140" i="1"/>
  <c r="L140" i="1"/>
  <c r="M140" i="1"/>
  <c r="N140" i="1"/>
  <c r="O140" i="1"/>
  <c r="P140" i="1"/>
  <c r="Q140" i="1"/>
  <c r="F141" i="1"/>
  <c r="H141" i="1"/>
  <c r="I141" i="1"/>
  <c r="K141" i="1"/>
  <c r="L141" i="1"/>
  <c r="M141" i="1"/>
  <c r="N141" i="1"/>
  <c r="O141" i="1"/>
  <c r="P141" i="1"/>
  <c r="Q141" i="1"/>
  <c r="F142" i="1"/>
  <c r="H142" i="1"/>
  <c r="I142" i="1"/>
  <c r="K142" i="1"/>
  <c r="L142" i="1"/>
  <c r="M142" i="1"/>
  <c r="N142" i="1"/>
  <c r="O142" i="1"/>
  <c r="P142" i="1"/>
  <c r="Q142" i="1"/>
  <c r="F143" i="1"/>
  <c r="H143" i="1"/>
  <c r="I143" i="1"/>
  <c r="K143" i="1"/>
  <c r="L143" i="1"/>
  <c r="M143" i="1"/>
  <c r="N143" i="1"/>
  <c r="O143" i="1"/>
  <c r="P143" i="1"/>
  <c r="Q143" i="1"/>
  <c r="F144" i="1"/>
  <c r="H144" i="1"/>
  <c r="I144" i="1"/>
  <c r="K144" i="1"/>
  <c r="L144" i="1"/>
  <c r="M144" i="1"/>
  <c r="N144" i="1"/>
  <c r="O144" i="1"/>
  <c r="P144" i="1"/>
  <c r="Q144" i="1"/>
  <c r="F145" i="1"/>
  <c r="H145" i="1"/>
  <c r="I145" i="1"/>
  <c r="K145" i="1"/>
  <c r="L145" i="1"/>
  <c r="M145" i="1"/>
  <c r="N145" i="1"/>
  <c r="O145" i="1"/>
  <c r="P145" i="1"/>
  <c r="Q145" i="1"/>
  <c r="F146" i="1"/>
  <c r="H146" i="1"/>
  <c r="I146" i="1"/>
  <c r="K146" i="1"/>
  <c r="L146" i="1"/>
  <c r="M146" i="1"/>
  <c r="N146" i="1"/>
  <c r="O146" i="1"/>
  <c r="P146" i="1"/>
  <c r="Q146" i="1"/>
  <c r="F147" i="1"/>
  <c r="H147" i="1"/>
  <c r="I147" i="1"/>
  <c r="K147" i="1"/>
  <c r="L147" i="1"/>
  <c r="M147" i="1"/>
  <c r="N147" i="1"/>
  <c r="O147" i="1"/>
  <c r="P147" i="1"/>
  <c r="Q147" i="1"/>
  <c r="F148" i="1"/>
  <c r="H148" i="1"/>
  <c r="I148" i="1"/>
  <c r="K148" i="1"/>
  <c r="L148" i="1"/>
  <c r="M148" i="1"/>
  <c r="N148" i="1"/>
  <c r="O148" i="1"/>
  <c r="P148" i="1"/>
  <c r="Q148" i="1"/>
  <c r="F149" i="1"/>
  <c r="H149" i="1"/>
  <c r="I149" i="1"/>
  <c r="K149" i="1"/>
  <c r="L149" i="1"/>
  <c r="M149" i="1"/>
  <c r="N149" i="1"/>
  <c r="O149" i="1"/>
  <c r="P149" i="1"/>
  <c r="Q149" i="1"/>
  <c r="F150" i="1"/>
  <c r="H150" i="1"/>
  <c r="I150" i="1"/>
  <c r="K150" i="1"/>
  <c r="L150" i="1"/>
  <c r="M150" i="1"/>
  <c r="N150" i="1"/>
  <c r="O150" i="1"/>
  <c r="P150" i="1"/>
  <c r="Q150" i="1"/>
  <c r="F151" i="1"/>
  <c r="H151" i="1"/>
  <c r="I151" i="1"/>
  <c r="K151" i="1"/>
  <c r="L151" i="1"/>
  <c r="M151" i="1"/>
  <c r="N151" i="1"/>
  <c r="O151" i="1"/>
  <c r="P151" i="1"/>
  <c r="Q151" i="1"/>
  <c r="F152" i="1"/>
  <c r="H152" i="1"/>
  <c r="I152" i="1"/>
  <c r="K152" i="1"/>
  <c r="L152" i="1"/>
  <c r="M152" i="1"/>
  <c r="N152" i="1"/>
  <c r="O152" i="1"/>
  <c r="P152" i="1"/>
  <c r="Q152" i="1"/>
  <c r="F153" i="1"/>
  <c r="H153" i="1"/>
  <c r="I153" i="1"/>
  <c r="K153" i="1"/>
  <c r="L153" i="1"/>
  <c r="M153" i="1"/>
  <c r="N153" i="1"/>
  <c r="O153" i="1"/>
  <c r="P153" i="1"/>
  <c r="Q153" i="1"/>
  <c r="F154" i="1"/>
  <c r="H154" i="1"/>
  <c r="I154" i="1"/>
  <c r="K154" i="1"/>
  <c r="L154" i="1"/>
  <c r="M154" i="1"/>
  <c r="N154" i="1"/>
  <c r="O154" i="1"/>
  <c r="P154" i="1"/>
  <c r="Q154" i="1"/>
  <c r="F155" i="1"/>
  <c r="H155" i="1"/>
  <c r="I155" i="1"/>
  <c r="K155" i="1"/>
  <c r="L155" i="1"/>
  <c r="M155" i="1"/>
  <c r="N155" i="1"/>
  <c r="O155" i="1"/>
  <c r="P155" i="1"/>
  <c r="Q155" i="1"/>
  <c r="F156" i="1"/>
  <c r="H156" i="1"/>
  <c r="I156" i="1"/>
  <c r="K156" i="1"/>
  <c r="L156" i="1"/>
  <c r="M156" i="1"/>
  <c r="N156" i="1"/>
  <c r="O156" i="1"/>
  <c r="P156" i="1"/>
  <c r="Q156" i="1"/>
  <c r="F157" i="1"/>
  <c r="H157" i="1"/>
  <c r="I157" i="1"/>
  <c r="K157" i="1"/>
  <c r="L157" i="1"/>
  <c r="M157" i="1"/>
  <c r="N157" i="1"/>
  <c r="O157" i="1"/>
  <c r="P157" i="1"/>
  <c r="Q157" i="1"/>
  <c r="F158" i="1"/>
  <c r="H158" i="1"/>
  <c r="I158" i="1"/>
  <c r="K158" i="1"/>
  <c r="L158" i="1"/>
  <c r="M158" i="1"/>
  <c r="N158" i="1"/>
  <c r="O158" i="1"/>
  <c r="P158" i="1"/>
  <c r="Q158" i="1"/>
  <c r="F159" i="1"/>
  <c r="H159" i="1"/>
  <c r="I159" i="1"/>
  <c r="K159" i="1"/>
  <c r="L159" i="1"/>
  <c r="M159" i="1"/>
  <c r="N159" i="1"/>
  <c r="O159" i="1"/>
  <c r="P159" i="1"/>
  <c r="Q159" i="1"/>
  <c r="F160" i="1"/>
  <c r="H160" i="1"/>
  <c r="I160" i="1"/>
  <c r="K160" i="1"/>
  <c r="L160" i="1"/>
  <c r="M160" i="1"/>
  <c r="N160" i="1"/>
  <c r="O160" i="1"/>
  <c r="P160" i="1"/>
  <c r="Q160" i="1"/>
  <c r="F161" i="1"/>
  <c r="H161" i="1"/>
  <c r="I161" i="1"/>
  <c r="K161" i="1"/>
  <c r="L161" i="1"/>
  <c r="M161" i="1"/>
  <c r="N161" i="1"/>
  <c r="O161" i="1"/>
  <c r="P161" i="1"/>
  <c r="Q161" i="1"/>
  <c r="F162" i="1"/>
  <c r="H162" i="1"/>
  <c r="I162" i="1"/>
  <c r="K162" i="1"/>
  <c r="L162" i="1"/>
  <c r="M162" i="1"/>
  <c r="N162" i="1"/>
  <c r="O162" i="1"/>
  <c r="P162" i="1"/>
  <c r="Q162" i="1"/>
  <c r="F163" i="1"/>
  <c r="H163" i="1"/>
  <c r="I163" i="1"/>
  <c r="K163" i="1"/>
  <c r="L163" i="1"/>
  <c r="M163" i="1"/>
  <c r="N163" i="1"/>
  <c r="O163" i="1"/>
  <c r="P163" i="1"/>
  <c r="Q163" i="1"/>
  <c r="F164" i="1"/>
  <c r="H164" i="1"/>
  <c r="I164" i="1"/>
  <c r="K164" i="1"/>
  <c r="L164" i="1"/>
  <c r="M164" i="1"/>
  <c r="N164" i="1"/>
  <c r="O164" i="1"/>
  <c r="P164" i="1"/>
  <c r="Q164" i="1"/>
  <c r="F165" i="1"/>
  <c r="H165" i="1"/>
  <c r="I165" i="1"/>
  <c r="K165" i="1"/>
  <c r="L165" i="1"/>
  <c r="M165" i="1"/>
  <c r="N165" i="1"/>
  <c r="O165" i="1"/>
  <c r="P165" i="1"/>
  <c r="Q165" i="1"/>
  <c r="F166" i="1"/>
  <c r="H166" i="1"/>
  <c r="I166" i="1"/>
  <c r="K166" i="1"/>
  <c r="M166" i="1"/>
  <c r="N166" i="1"/>
  <c r="O166" i="1"/>
  <c r="P166" i="1"/>
  <c r="Q166" i="1"/>
  <c r="F167" i="1"/>
  <c r="H167" i="1"/>
  <c r="I167" i="1"/>
  <c r="K167" i="1"/>
  <c r="L167" i="1"/>
  <c r="M167" i="1"/>
  <c r="N167" i="1"/>
  <c r="O167" i="1"/>
  <c r="P167" i="1"/>
  <c r="Q167" i="1"/>
  <c r="F168" i="1"/>
  <c r="H168" i="1"/>
  <c r="I168" i="1"/>
  <c r="K168" i="1"/>
  <c r="L168" i="1"/>
  <c r="M168" i="1"/>
  <c r="N168" i="1"/>
  <c r="O168" i="1"/>
  <c r="P168" i="1"/>
  <c r="Q168" i="1"/>
  <c r="F169" i="1"/>
  <c r="H169" i="1"/>
  <c r="I169" i="1"/>
  <c r="K169" i="1"/>
  <c r="L169" i="1"/>
  <c r="M169" i="1"/>
  <c r="N169" i="1"/>
  <c r="O169" i="1"/>
  <c r="P169" i="1"/>
  <c r="Q169" i="1"/>
  <c r="F170" i="1"/>
  <c r="H170" i="1"/>
  <c r="I170" i="1"/>
  <c r="K170" i="1"/>
  <c r="L170" i="1"/>
  <c r="M170" i="1"/>
  <c r="N170" i="1"/>
  <c r="O170" i="1"/>
  <c r="P170" i="1"/>
  <c r="Q170" i="1"/>
  <c r="F171" i="1"/>
  <c r="H171" i="1"/>
  <c r="I171" i="1"/>
  <c r="K171" i="1"/>
  <c r="L171" i="1"/>
  <c r="M171" i="1"/>
  <c r="N171" i="1"/>
  <c r="O171" i="1"/>
  <c r="P171" i="1"/>
  <c r="Q171" i="1"/>
  <c r="F172" i="1"/>
  <c r="H172" i="1"/>
  <c r="I172" i="1"/>
  <c r="K172" i="1"/>
  <c r="L172" i="1"/>
  <c r="M172" i="1"/>
  <c r="N172" i="1"/>
  <c r="O172" i="1"/>
  <c r="P172" i="1"/>
  <c r="Q172" i="1"/>
  <c r="F173" i="1"/>
  <c r="H173" i="1"/>
  <c r="I173" i="1"/>
  <c r="K173" i="1"/>
  <c r="L173" i="1"/>
  <c r="M173" i="1"/>
  <c r="N173" i="1"/>
  <c r="O173" i="1"/>
  <c r="P173" i="1"/>
  <c r="Q173" i="1"/>
  <c r="F174" i="1"/>
  <c r="H174" i="1"/>
  <c r="I174" i="1"/>
  <c r="K174" i="1"/>
  <c r="L174" i="1"/>
  <c r="M174" i="1"/>
  <c r="N174" i="1"/>
  <c r="O174" i="1"/>
  <c r="P174" i="1"/>
  <c r="Q174" i="1"/>
  <c r="F175" i="1"/>
  <c r="H175" i="1"/>
  <c r="I175" i="1"/>
  <c r="K175" i="1"/>
  <c r="L175" i="1"/>
  <c r="M175" i="1"/>
  <c r="N175" i="1"/>
  <c r="O175" i="1"/>
  <c r="P175" i="1"/>
  <c r="Q175" i="1"/>
  <c r="F176" i="1"/>
  <c r="H176" i="1"/>
  <c r="I176" i="1"/>
  <c r="K176" i="1"/>
  <c r="L176" i="1"/>
  <c r="M176" i="1"/>
  <c r="N176" i="1"/>
  <c r="O176" i="1"/>
  <c r="P176" i="1"/>
  <c r="Q176" i="1"/>
  <c r="F177" i="1"/>
  <c r="H177" i="1"/>
  <c r="I177" i="1"/>
  <c r="K177" i="1"/>
  <c r="L177" i="1"/>
  <c r="M177" i="1"/>
  <c r="N177" i="1"/>
  <c r="O177" i="1"/>
  <c r="P177" i="1"/>
  <c r="Q177" i="1"/>
  <c r="F178" i="1"/>
  <c r="H178" i="1"/>
  <c r="I178" i="1"/>
  <c r="K178" i="1"/>
  <c r="L178" i="1"/>
  <c r="M178" i="1"/>
  <c r="N178" i="1"/>
  <c r="O178" i="1"/>
  <c r="P178" i="1"/>
  <c r="Q178" i="1"/>
  <c r="F179" i="1"/>
  <c r="H179" i="1"/>
  <c r="I179" i="1"/>
  <c r="K179" i="1"/>
  <c r="L179" i="1"/>
  <c r="M179" i="1"/>
  <c r="N179" i="1"/>
  <c r="O179" i="1"/>
  <c r="P179" i="1"/>
  <c r="Q179" i="1"/>
  <c r="F180" i="1"/>
  <c r="H180" i="1"/>
  <c r="I180" i="1"/>
  <c r="K180" i="1"/>
  <c r="L180" i="1"/>
  <c r="M180" i="1"/>
  <c r="N180" i="1"/>
  <c r="O180" i="1"/>
  <c r="P180" i="1"/>
  <c r="Q180" i="1"/>
  <c r="F181" i="1"/>
  <c r="H181" i="1"/>
  <c r="I181" i="1"/>
  <c r="K181" i="1"/>
  <c r="L181" i="1"/>
  <c r="M181" i="1"/>
  <c r="N181" i="1"/>
  <c r="O181" i="1"/>
  <c r="P181" i="1"/>
  <c r="Q181" i="1"/>
  <c r="F182" i="1"/>
  <c r="H182" i="1"/>
  <c r="I182" i="1"/>
  <c r="K182" i="1"/>
  <c r="L182" i="1"/>
  <c r="M182" i="1"/>
  <c r="N182" i="1"/>
  <c r="O182" i="1"/>
  <c r="P182" i="1"/>
  <c r="Q182" i="1"/>
  <c r="F183" i="1"/>
  <c r="H183" i="1"/>
  <c r="I183" i="1"/>
  <c r="K183" i="1"/>
  <c r="L183" i="1"/>
  <c r="M183" i="1"/>
  <c r="N183" i="1"/>
  <c r="O183" i="1"/>
  <c r="P183" i="1"/>
  <c r="Q183" i="1"/>
  <c r="F184" i="1"/>
  <c r="H184" i="1"/>
  <c r="I184" i="1"/>
  <c r="K184" i="1"/>
  <c r="L184" i="1"/>
  <c r="M184" i="1"/>
  <c r="N184" i="1"/>
  <c r="O184" i="1"/>
  <c r="P184" i="1"/>
  <c r="Q184" i="1"/>
  <c r="F185" i="1"/>
  <c r="H185" i="1"/>
  <c r="I185" i="1"/>
  <c r="K185" i="1"/>
  <c r="L185" i="1"/>
  <c r="M185" i="1"/>
  <c r="N185" i="1"/>
  <c r="O185" i="1"/>
  <c r="P185" i="1"/>
  <c r="Q185" i="1"/>
  <c r="F186" i="1"/>
  <c r="H186" i="1"/>
  <c r="I186" i="1"/>
  <c r="K186" i="1"/>
  <c r="L186" i="1"/>
  <c r="M186" i="1"/>
  <c r="N186" i="1"/>
  <c r="O186" i="1"/>
  <c r="P186" i="1"/>
  <c r="Q186" i="1"/>
  <c r="F187" i="1"/>
  <c r="H187" i="1"/>
  <c r="I187" i="1"/>
  <c r="K187" i="1"/>
  <c r="L187" i="1"/>
  <c r="M187" i="1"/>
  <c r="N187" i="1"/>
  <c r="O187" i="1"/>
  <c r="P187" i="1"/>
  <c r="Q187" i="1"/>
  <c r="F188" i="1"/>
  <c r="H188" i="1"/>
  <c r="I188" i="1"/>
  <c r="K188" i="1"/>
  <c r="L188" i="1"/>
  <c r="M188" i="1"/>
  <c r="N188" i="1"/>
  <c r="O188" i="1"/>
  <c r="P188" i="1"/>
  <c r="Q188" i="1"/>
  <c r="F189" i="1"/>
  <c r="H189" i="1"/>
  <c r="I189" i="1"/>
  <c r="K189" i="1"/>
  <c r="L189" i="1"/>
  <c r="M189" i="1"/>
  <c r="N189" i="1"/>
  <c r="O189" i="1"/>
  <c r="P189" i="1"/>
  <c r="Q189" i="1"/>
  <c r="G115" i="1" l="1"/>
  <c r="R115" i="1" s="1"/>
  <c r="G161" i="1"/>
  <c r="R161" i="1" s="1"/>
  <c r="G185" i="1"/>
  <c r="R185" i="1" s="1"/>
  <c r="G81" i="1"/>
  <c r="R81" i="1" s="1"/>
  <c r="G134" i="1"/>
  <c r="R134" i="1" s="1"/>
  <c r="G158" i="1"/>
  <c r="R158" i="1" s="1"/>
  <c r="G63" i="1"/>
  <c r="R63" i="1" s="1"/>
  <c r="G189" i="1"/>
  <c r="R189" i="1" s="1"/>
  <c r="G78" i="1"/>
  <c r="R78" i="1" s="1"/>
  <c r="G41" i="1"/>
  <c r="R41" i="1" s="1"/>
  <c r="G142" i="1"/>
  <c r="R142" i="1" s="1"/>
  <c r="G102" i="1"/>
  <c r="R102" i="1" s="1"/>
  <c r="G126" i="1"/>
  <c r="R126" i="1" s="1"/>
  <c r="G10" i="1"/>
  <c r="R10" i="1" s="1"/>
  <c r="G58" i="1"/>
  <c r="R58" i="1" s="1"/>
  <c r="G111" i="1"/>
  <c r="R111" i="1" s="1"/>
  <c r="G106" i="1"/>
  <c r="R106" i="1" s="1"/>
  <c r="G17" i="1"/>
  <c r="R17" i="1" s="1"/>
  <c r="G113" i="1"/>
  <c r="R113" i="1" s="1"/>
  <c r="G183" i="1"/>
  <c r="R183" i="1" s="1"/>
  <c r="G9" i="1"/>
  <c r="R9" i="1" s="1"/>
  <c r="G54" i="1"/>
  <c r="R54" i="1" s="1"/>
  <c r="G30" i="1"/>
  <c r="R30" i="1" s="1"/>
  <c r="G40" i="1"/>
  <c r="R40" i="1" s="1"/>
  <c r="G179" i="1"/>
  <c r="R179" i="1" s="1"/>
  <c r="G97" i="1"/>
  <c r="R97" i="1" s="1"/>
  <c r="G80" i="1"/>
  <c r="R80" i="1" s="1"/>
  <c r="G37" i="1"/>
  <c r="R37" i="1" s="1"/>
  <c r="G20" i="1"/>
  <c r="R20" i="1" s="1"/>
  <c r="G47" i="1"/>
  <c r="R47" i="1" s="1"/>
  <c r="G59" i="1"/>
  <c r="R59" i="1" s="1"/>
  <c r="G11" i="1"/>
  <c r="R11" i="1" s="1"/>
  <c r="G155" i="1"/>
  <c r="R155" i="1" s="1"/>
  <c r="G35" i="1"/>
  <c r="R35" i="1" s="1"/>
  <c r="G18" i="1"/>
  <c r="R18" i="1" s="1"/>
  <c r="G186" i="1"/>
  <c r="R186" i="1" s="1"/>
  <c r="G66" i="1"/>
  <c r="R66" i="1" s="1"/>
  <c r="G42" i="1"/>
  <c r="R42" i="1" s="1"/>
  <c r="G90" i="1"/>
  <c r="R90" i="1" s="1"/>
  <c r="G25" i="1"/>
  <c r="R25" i="1" s="1"/>
  <c r="G109" i="1"/>
  <c r="R109" i="1" s="1"/>
  <c r="G85" i="1"/>
  <c r="R85" i="1" s="1"/>
  <c r="G73" i="1"/>
  <c r="R73" i="1" s="1"/>
  <c r="G61" i="1"/>
  <c r="R61" i="1" s="1"/>
  <c r="G49" i="1"/>
  <c r="R49" i="1" s="1"/>
  <c r="G13" i="1"/>
  <c r="R13" i="1" s="1"/>
  <c r="G157" i="1"/>
  <c r="R157" i="1" s="1"/>
  <c r="G133" i="1"/>
  <c r="R133" i="1" s="1"/>
  <c r="G121" i="1"/>
  <c r="R121" i="1" s="1"/>
  <c r="G164" i="1"/>
  <c r="R164" i="1" s="1"/>
  <c r="G116" i="1"/>
  <c r="R116" i="1" s="1"/>
  <c r="G104" i="1"/>
  <c r="R104" i="1" s="1"/>
  <c r="G68" i="1"/>
  <c r="R68" i="1" s="1"/>
  <c r="G56" i="1"/>
  <c r="R56" i="1" s="1"/>
  <c r="G44" i="1"/>
  <c r="R44" i="1" s="1"/>
  <c r="G8" i="1"/>
  <c r="R8" i="1" s="1"/>
  <c r="G165" i="1"/>
  <c r="R165" i="1" s="1"/>
  <c r="G117" i="1"/>
  <c r="R117" i="1" s="1"/>
  <c r="G57" i="1"/>
  <c r="R57" i="1" s="1"/>
  <c r="G177" i="1"/>
  <c r="R177" i="1" s="1"/>
  <c r="G153" i="1"/>
  <c r="R153" i="1" s="1"/>
  <c r="G141" i="1"/>
  <c r="R141" i="1" s="1"/>
  <c r="G129" i="1"/>
  <c r="R129" i="1" s="1"/>
  <c r="G33" i="1"/>
  <c r="R33" i="1" s="1"/>
  <c r="G23" i="1"/>
  <c r="R23" i="1" s="1"/>
  <c r="G16" i="1"/>
  <c r="R16" i="1" s="1"/>
  <c r="G174" i="1"/>
  <c r="R174" i="1" s="1"/>
  <c r="G150" i="1"/>
  <c r="R150" i="1" s="1"/>
  <c r="G162" i="1"/>
  <c r="R162" i="1" s="1"/>
  <c r="G169" i="1"/>
  <c r="R169" i="1" s="1"/>
  <c r="G145" i="1"/>
  <c r="R145" i="1" s="1"/>
  <c r="G188" i="1"/>
  <c r="R188" i="1" s="1"/>
  <c r="G176" i="1"/>
  <c r="R176" i="1" s="1"/>
  <c r="G152" i="1"/>
  <c r="R152" i="1" s="1"/>
  <c r="G140" i="1"/>
  <c r="R140" i="1" s="1"/>
  <c r="G128" i="1"/>
  <c r="R128" i="1" s="1"/>
  <c r="G92" i="1"/>
  <c r="R92" i="1" s="1"/>
  <c r="G82" i="1"/>
  <c r="R82" i="1" s="1"/>
  <c r="G32" i="1"/>
  <c r="R32" i="1" s="1"/>
  <c r="G94" i="1"/>
  <c r="R94" i="1" s="1"/>
  <c r="G137" i="1"/>
  <c r="R137" i="1" s="1"/>
  <c r="G84" i="1"/>
  <c r="R84" i="1" s="1"/>
  <c r="G108" i="1"/>
  <c r="R108" i="1" s="1"/>
  <c r="G60" i="1"/>
  <c r="R60" i="1" s="1"/>
  <c r="G12" i="1"/>
  <c r="R12" i="1" s="1"/>
  <c r="G156" i="1"/>
  <c r="R156" i="1" s="1"/>
  <c r="G132" i="1"/>
  <c r="R132" i="1" s="1"/>
  <c r="G19" i="1"/>
  <c r="R19" i="1" s="1"/>
  <c r="G105" i="1"/>
  <c r="R105" i="1" s="1"/>
  <c r="G178" i="1"/>
  <c r="R178" i="1" s="1"/>
  <c r="G171" i="1"/>
  <c r="R171" i="1" s="1"/>
  <c r="G159" i="1"/>
  <c r="R159" i="1" s="1"/>
  <c r="G154" i="1"/>
  <c r="R154" i="1" s="1"/>
  <c r="G135" i="1"/>
  <c r="R135" i="1" s="1"/>
  <c r="G130" i="1"/>
  <c r="R130" i="1" s="1"/>
  <c r="G87" i="1"/>
  <c r="R87" i="1" s="1"/>
  <c r="G34" i="1"/>
  <c r="R34" i="1" s="1"/>
  <c r="G65" i="1"/>
  <c r="R65" i="1" s="1"/>
  <c r="G166" i="1"/>
  <c r="R166" i="1" s="1"/>
  <c r="G118" i="1"/>
  <c r="R118" i="1" s="1"/>
  <c r="G70" i="1"/>
  <c r="R70" i="1" s="1"/>
  <c r="G89" i="1"/>
  <c r="R89" i="1" s="1"/>
  <c r="G180" i="1"/>
  <c r="R180" i="1" s="1"/>
  <c r="G36" i="1"/>
  <c r="R36" i="1" s="1"/>
  <c r="G187" i="1"/>
  <c r="R187" i="1" s="1"/>
  <c r="G163" i="1"/>
  <c r="R163" i="1" s="1"/>
  <c r="G67" i="1"/>
  <c r="R67" i="1" s="1"/>
  <c r="G43" i="1"/>
  <c r="R43" i="1" s="1"/>
  <c r="G91" i="1"/>
  <c r="R91" i="1" s="1"/>
  <c r="G110" i="1"/>
  <c r="R110" i="1" s="1"/>
  <c r="G86" i="1"/>
  <c r="R86" i="1" s="1"/>
  <c r="G99" i="1"/>
  <c r="R99" i="1" s="1"/>
  <c r="G173" i="1"/>
  <c r="R173" i="1" s="1"/>
  <c r="G149" i="1"/>
  <c r="R149" i="1" s="1"/>
  <c r="G51" i="1"/>
  <c r="R51" i="1" s="1"/>
  <c r="G27" i="1"/>
  <c r="R27" i="1" s="1"/>
  <c r="G168" i="1"/>
  <c r="R168" i="1" s="1"/>
  <c r="G125" i="1"/>
  <c r="R125" i="1" s="1"/>
  <c r="G39" i="1"/>
  <c r="R39" i="1" s="1"/>
  <c r="G15" i="1"/>
  <c r="R15" i="1" s="1"/>
  <c r="G175" i="1"/>
  <c r="R175" i="1" s="1"/>
  <c r="G144" i="1"/>
  <c r="R144" i="1" s="1"/>
  <c r="G101" i="1"/>
  <c r="R101" i="1" s="1"/>
  <c r="G77" i="1"/>
  <c r="R77" i="1" s="1"/>
  <c r="G46" i="1"/>
  <c r="R46" i="1" s="1"/>
  <c r="G22" i="1"/>
  <c r="R22" i="1" s="1"/>
  <c r="G151" i="1"/>
  <c r="R151" i="1" s="1"/>
  <c r="G120" i="1"/>
  <c r="R120" i="1" s="1"/>
  <c r="G182" i="1"/>
  <c r="R182" i="1" s="1"/>
  <c r="G139" i="1"/>
  <c r="R139" i="1" s="1"/>
  <c r="G96" i="1"/>
  <c r="R96" i="1" s="1"/>
  <c r="G72" i="1"/>
  <c r="R72" i="1" s="1"/>
  <c r="G53" i="1"/>
  <c r="R53" i="1" s="1"/>
  <c r="G75" i="1"/>
  <c r="R75" i="1" s="1"/>
  <c r="G127" i="1"/>
  <c r="R127" i="1" s="1"/>
  <c r="G29" i="1"/>
  <c r="R29" i="1" s="1"/>
  <c r="G172" i="1"/>
  <c r="R172" i="1" s="1"/>
  <c r="G160" i="1"/>
  <c r="R160" i="1" s="1"/>
  <c r="G62" i="1"/>
  <c r="R62" i="1" s="1"/>
  <c r="G31" i="1"/>
  <c r="R31" i="1" s="1"/>
  <c r="G167" i="1"/>
  <c r="R167" i="1" s="1"/>
  <c r="G148" i="1"/>
  <c r="R148" i="1" s="1"/>
  <c r="G93" i="1"/>
  <c r="R93" i="1" s="1"/>
  <c r="G69" i="1"/>
  <c r="R69" i="1" s="1"/>
  <c r="G50" i="1"/>
  <c r="R50" i="1" s="1"/>
  <c r="G26" i="1"/>
  <c r="R26" i="1" s="1"/>
  <c r="G147" i="1"/>
  <c r="R147" i="1" s="1"/>
  <c r="G123" i="1"/>
  <c r="R123" i="1" s="1"/>
  <c r="G170" i="1"/>
  <c r="R170" i="1" s="1"/>
  <c r="G103" i="1"/>
  <c r="R103" i="1" s="1"/>
  <c r="G48" i="1"/>
  <c r="R48" i="1" s="1"/>
  <c r="G122" i="1"/>
  <c r="R122" i="1" s="1"/>
  <c r="G55" i="1"/>
  <c r="R55" i="1" s="1"/>
  <c r="G184" i="1"/>
  <c r="R184" i="1" s="1"/>
  <c r="G98" i="1"/>
  <c r="R98" i="1" s="1"/>
  <c r="G74" i="1"/>
  <c r="R74" i="1" s="1"/>
  <c r="G112" i="1"/>
  <c r="R112" i="1" s="1"/>
  <c r="G79" i="1"/>
  <c r="R79" i="1" s="1"/>
  <c r="G146" i="1"/>
  <c r="R146" i="1" s="1"/>
  <c r="G24" i="1"/>
  <c r="R24" i="1" s="1"/>
  <c r="G143" i="1"/>
  <c r="R143" i="1" s="1"/>
  <c r="G136" i="1"/>
  <c r="R136" i="1" s="1"/>
  <c r="G124" i="1"/>
  <c r="R124" i="1" s="1"/>
  <c r="G38" i="1"/>
  <c r="R38" i="1" s="1"/>
  <c r="G14" i="1"/>
  <c r="R14" i="1" s="1"/>
  <c r="G119" i="1"/>
  <c r="R119" i="1" s="1"/>
  <c r="G100" i="1"/>
  <c r="R100" i="1" s="1"/>
  <c r="G76" i="1"/>
  <c r="R76" i="1" s="1"/>
  <c r="G45" i="1"/>
  <c r="R45" i="1" s="1"/>
  <c r="G21" i="1"/>
  <c r="R21" i="1" s="1"/>
  <c r="G131" i="1"/>
  <c r="R131" i="1" s="1"/>
  <c r="G107" i="1"/>
  <c r="R107" i="1" s="1"/>
  <c r="G95" i="1"/>
  <c r="R95" i="1" s="1"/>
  <c r="G88" i="1"/>
  <c r="R88" i="1" s="1"/>
  <c r="G83" i="1"/>
  <c r="R83" i="1" s="1"/>
  <c r="G71" i="1"/>
  <c r="R71" i="1" s="1"/>
  <c r="G64" i="1"/>
  <c r="R64" i="1" s="1"/>
  <c r="G181" i="1"/>
  <c r="R181" i="1" s="1"/>
  <c r="G138" i="1"/>
  <c r="R138" i="1" s="1"/>
  <c r="G114" i="1"/>
  <c r="R114" i="1" s="1"/>
  <c r="G52" i="1"/>
  <c r="R52" i="1" s="1"/>
  <c r="G28" i="1"/>
  <c r="R28" i="1" s="1"/>
  <c r="K7" i="1"/>
  <c r="D1" i="50"/>
  <c r="D1" i="49"/>
  <c r="K6" i="1" l="1"/>
  <c r="JT179" i="15"/>
  <c r="JT180" i="15"/>
  <c r="JT181" i="15"/>
  <c r="JT182" i="15"/>
  <c r="JT183" i="15"/>
  <c r="JT184" i="15"/>
  <c r="JT185" i="15"/>
  <c r="JT186" i="15"/>
  <c r="JT187" i="15"/>
  <c r="IH126" i="15"/>
  <c r="OA126" i="37"/>
  <c r="A189" i="1" l="1"/>
  <c r="T189" i="1" l="1"/>
  <c r="A188" i="1" l="1"/>
  <c r="T188" i="1" l="1"/>
  <c r="A187" i="1"/>
  <c r="A186" i="1"/>
  <c r="A185" i="1"/>
  <c r="A184" i="1"/>
  <c r="HA115" i="15" l="1"/>
  <c r="NG115" i="37" l="1"/>
  <c r="A183" i="1" l="1"/>
  <c r="A182" i="1" l="1"/>
  <c r="A181" i="1"/>
  <c r="D1" i="15" l="1"/>
  <c r="D1" i="4"/>
  <c r="JT6" i="15" l="1"/>
  <c r="JT7" i="15"/>
  <c r="JT8" i="15"/>
  <c r="JT9" i="15"/>
  <c r="JT10" i="15"/>
  <c r="JT11" i="15"/>
  <c r="JT12" i="15"/>
  <c r="JT13" i="15"/>
  <c r="JT14" i="15"/>
  <c r="JT15" i="15"/>
  <c r="JT16" i="15"/>
  <c r="JT17" i="15"/>
  <c r="JT18" i="15"/>
  <c r="JT19" i="15"/>
  <c r="JT20" i="15"/>
  <c r="JT21" i="15"/>
  <c r="JT22" i="15"/>
  <c r="JT23" i="15"/>
  <c r="JT24" i="15"/>
  <c r="JT25" i="15"/>
  <c r="JT26" i="15"/>
  <c r="JT27" i="15"/>
  <c r="JT28" i="15"/>
  <c r="JT29" i="15"/>
  <c r="JT30" i="15"/>
  <c r="JT31" i="15"/>
  <c r="JT32" i="15"/>
  <c r="JT33" i="15"/>
  <c r="JT34" i="15"/>
  <c r="JT35" i="15"/>
  <c r="JT36" i="15"/>
  <c r="JT37" i="15"/>
  <c r="JT38" i="15"/>
  <c r="JT39" i="15"/>
  <c r="JT40" i="15"/>
  <c r="JT41" i="15"/>
  <c r="JT42" i="15"/>
  <c r="JT43" i="15"/>
  <c r="JT44" i="15"/>
  <c r="JT45" i="15"/>
  <c r="JT46" i="15"/>
  <c r="JT47" i="15"/>
  <c r="JT48" i="15"/>
  <c r="JT49" i="15"/>
  <c r="JT50" i="15"/>
  <c r="JT51" i="15"/>
  <c r="JT52" i="15"/>
  <c r="JT53" i="15"/>
  <c r="JT54" i="15"/>
  <c r="JT55" i="15"/>
  <c r="JT56" i="15"/>
  <c r="JT57" i="15"/>
  <c r="JT58" i="15"/>
  <c r="JT59" i="15"/>
  <c r="JT60" i="15"/>
  <c r="JT61" i="15"/>
  <c r="JT62" i="15"/>
  <c r="JT63" i="15"/>
  <c r="JT64" i="15"/>
  <c r="JT65" i="15"/>
  <c r="JT66" i="15"/>
  <c r="JT67" i="15"/>
  <c r="JT68" i="15"/>
  <c r="JT69" i="15"/>
  <c r="JT70" i="15"/>
  <c r="JT71" i="15"/>
  <c r="JT72" i="15"/>
  <c r="JT73" i="15"/>
  <c r="JT74" i="15"/>
  <c r="JT75" i="15"/>
  <c r="JT76" i="15"/>
  <c r="JT77" i="15"/>
  <c r="JT78" i="15"/>
  <c r="JT79" i="15"/>
  <c r="JT80" i="15"/>
  <c r="JT81" i="15"/>
  <c r="JT82" i="15"/>
  <c r="JT83" i="15"/>
  <c r="JT84" i="15"/>
  <c r="JT85" i="15"/>
  <c r="JT86" i="15"/>
  <c r="JT87" i="15"/>
  <c r="JT88" i="15"/>
  <c r="JT89" i="15"/>
  <c r="JT90" i="15"/>
  <c r="JT91" i="15"/>
  <c r="JT92" i="15"/>
  <c r="JT93" i="15"/>
  <c r="JT94" i="15"/>
  <c r="JT95" i="15"/>
  <c r="JT96" i="15"/>
  <c r="JT97" i="15"/>
  <c r="JT98" i="15"/>
  <c r="JT99" i="15"/>
  <c r="JT100" i="15"/>
  <c r="JT101" i="15"/>
  <c r="JT102" i="15"/>
  <c r="JT103" i="15"/>
  <c r="JT104" i="15"/>
  <c r="JT105" i="15"/>
  <c r="JT106" i="15"/>
  <c r="JT107" i="15"/>
  <c r="JT108" i="15"/>
  <c r="JT109" i="15"/>
  <c r="JT110" i="15"/>
  <c r="JT111" i="15"/>
  <c r="JT112" i="15"/>
  <c r="JT113" i="15"/>
  <c r="JT114" i="15"/>
  <c r="JT115" i="15"/>
  <c r="JT116" i="15"/>
  <c r="JT117" i="15"/>
  <c r="JT118" i="15"/>
  <c r="JT119" i="15"/>
  <c r="JT120" i="15"/>
  <c r="JT121" i="15"/>
  <c r="JT122" i="15"/>
  <c r="JT123" i="15"/>
  <c r="JT124" i="15"/>
  <c r="JT125" i="15"/>
  <c r="JT126" i="15"/>
  <c r="JT127" i="15"/>
  <c r="JT128" i="15"/>
  <c r="JT129" i="15"/>
  <c r="JT130" i="15"/>
  <c r="JT131" i="15"/>
  <c r="JT132" i="15"/>
  <c r="JT133" i="15"/>
  <c r="JT134" i="15"/>
  <c r="JT135" i="15"/>
  <c r="JT136" i="15"/>
  <c r="JT137" i="15"/>
  <c r="JT138" i="15"/>
  <c r="JT139" i="15"/>
  <c r="JT140" i="15"/>
  <c r="JT141" i="15"/>
  <c r="JT142" i="15"/>
  <c r="JT143" i="15"/>
  <c r="JT144" i="15"/>
  <c r="JT145" i="15"/>
  <c r="JT146" i="15"/>
  <c r="JT147" i="15"/>
  <c r="JT148" i="15"/>
  <c r="JT149" i="15"/>
  <c r="JT150" i="15"/>
  <c r="JT151" i="15"/>
  <c r="JT152" i="15"/>
  <c r="JT153" i="15"/>
  <c r="JT154" i="15"/>
  <c r="JT155" i="15"/>
  <c r="JT156" i="15"/>
  <c r="JT157" i="15"/>
  <c r="JT158" i="15"/>
  <c r="JT159" i="15"/>
  <c r="JT160" i="15"/>
  <c r="JT161" i="15"/>
  <c r="JT162" i="15"/>
  <c r="JT163" i="15"/>
  <c r="JT164" i="15"/>
  <c r="JT165" i="15"/>
  <c r="JT166" i="15"/>
  <c r="JT167" i="15"/>
  <c r="JT168" i="15"/>
  <c r="JT169" i="15"/>
  <c r="JT170" i="15"/>
  <c r="JT171" i="15"/>
  <c r="JT172" i="15"/>
  <c r="JT173" i="15"/>
  <c r="JT174" i="15"/>
  <c r="JT175" i="15"/>
  <c r="JT176" i="15"/>
  <c r="JT177" i="15"/>
  <c r="JT178" i="15"/>
  <c r="JT5" i="15"/>
  <c r="F7" i="1" l="1"/>
  <c r="A7" i="1" l="1"/>
  <c r="A8" i="1" l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MU126" i="37" l="1"/>
  <c r="BC126" i="11"/>
  <c r="J10" i="41" l="1"/>
  <c r="J9" i="41"/>
  <c r="J8" i="41"/>
  <c r="J7" i="41" l="1"/>
  <c r="J6" i="41"/>
  <c r="M10" i="41" l="1"/>
  <c r="M11" i="41"/>
  <c r="M12" i="41"/>
  <c r="M13" i="41"/>
  <c r="M14" i="41"/>
  <c r="M15" i="41"/>
  <c r="M16" i="41"/>
  <c r="M17" i="41"/>
  <c r="M18" i="41"/>
  <c r="M19" i="41"/>
  <c r="M20" i="41"/>
  <c r="M21" i="41"/>
  <c r="M22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5" i="41"/>
  <c r="FO74" i="15" l="1"/>
  <c r="FP70" i="15"/>
  <c r="FP69" i="15"/>
  <c r="FP67" i="15"/>
  <c r="W74" i="30"/>
  <c r="X67" i="30"/>
  <c r="X69" i="30"/>
  <c r="X70" i="30"/>
  <c r="D1" i="40"/>
  <c r="F6" i="1" l="1"/>
  <c r="I7" i="1"/>
  <c r="T181" i="1" l="1"/>
  <c r="F33" i="36"/>
  <c r="F32" i="36"/>
  <c r="E23" i="36" l="1"/>
  <c r="L7" i="1" l="1"/>
  <c r="H14" i="36" l="1"/>
  <c r="D1" i="27" l="1"/>
  <c r="L6" i="1"/>
  <c r="D1" i="7" l="1"/>
  <c r="T179" i="1" l="1"/>
  <c r="T180" i="1"/>
  <c r="D1" i="11" l="1"/>
  <c r="D1" i="34" l="1"/>
  <c r="D1" i="19"/>
  <c r="D1" i="18"/>
  <c r="D1" i="26"/>
  <c r="D1" i="13"/>
  <c r="D1" i="14"/>
  <c r="D1" i="16"/>
  <c r="D1" i="17"/>
  <c r="D1" i="30"/>
  <c r="D1" i="31"/>
  <c r="D1" i="33"/>
  <c r="D1" i="21"/>
  <c r="D1" i="28"/>
  <c r="D1" i="12"/>
  <c r="T177" i="1" l="1"/>
  <c r="T178" i="1"/>
  <c r="I6" i="1" l="1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4" i="32"/>
  <c r="F165" i="32"/>
  <c r="F166" i="32"/>
  <c r="F167" i="32"/>
  <c r="F168" i="32"/>
  <c r="F169" i="32"/>
  <c r="F170" i="32"/>
  <c r="F5" i="32"/>
  <c r="E112" i="32"/>
  <c r="E134" i="32"/>
  <c r="E147" i="32"/>
  <c r="E165" i="32"/>
  <c r="E167" i="32"/>
  <c r="E168" i="32"/>
  <c r="E169" i="32"/>
  <c r="E170" i="32"/>
  <c r="E5" i="32"/>
  <c r="G134" i="32" l="1"/>
  <c r="G170" i="32"/>
  <c r="G165" i="32"/>
  <c r="G112" i="32"/>
  <c r="G147" i="32"/>
  <c r="G169" i="32"/>
  <c r="G167" i="32"/>
  <c r="G168" i="32"/>
  <c r="J7" i="1" l="1"/>
  <c r="H167" i="32" l="1"/>
  <c r="H169" i="32"/>
  <c r="H168" i="32"/>
  <c r="H165" i="32"/>
  <c r="H112" i="32"/>
  <c r="H5" i="32"/>
  <c r="H170" i="32"/>
  <c r="G5" i="32"/>
  <c r="H134" i="32"/>
  <c r="J6" i="1" l="1"/>
  <c r="T172" i="1" l="1"/>
  <c r="T171" i="1"/>
  <c r="T170" i="1"/>
  <c r="T166" i="1"/>
  <c r="T169" i="1"/>
  <c r="E166" i="32"/>
  <c r="G166" i="32" s="1"/>
  <c r="E164" i="32"/>
  <c r="G164" i="32" s="1"/>
  <c r="H166" i="32" l="1"/>
  <c r="H164" i="32"/>
  <c r="H7" i="1"/>
  <c r="H6" i="1" l="1"/>
  <c r="P7" i="1"/>
  <c r="P6" i="1" l="1"/>
  <c r="Q7" i="1"/>
  <c r="G15" i="36"/>
  <c r="G8" i="36"/>
  <c r="G10" i="36"/>
  <c r="G11" i="36"/>
  <c r="G12" i="36"/>
  <c r="G9" i="36"/>
  <c r="G7" i="36"/>
  <c r="G16" i="36"/>
  <c r="G17" i="36"/>
  <c r="G18" i="36"/>
  <c r="F37" i="36" s="1"/>
  <c r="G19" i="36"/>
  <c r="G5" i="36"/>
  <c r="F24" i="36" s="1"/>
  <c r="G20" i="36"/>
  <c r="G6" i="36"/>
  <c r="O7" i="1"/>
  <c r="N7" i="1"/>
  <c r="M7" i="1"/>
  <c r="T136" i="1" l="1"/>
  <c r="T88" i="1"/>
  <c r="T16" i="1"/>
  <c r="T135" i="1"/>
  <c r="T87" i="1"/>
  <c r="T86" i="1"/>
  <c r="T149" i="1"/>
  <c r="T8" i="1"/>
  <c r="T84" i="1"/>
  <c r="T155" i="1"/>
  <c r="T83" i="1"/>
  <c r="T131" i="1"/>
  <c r="T15" i="1"/>
  <c r="T117" i="1"/>
  <c r="T116" i="1"/>
  <c r="T20" i="1"/>
  <c r="T81" i="1"/>
  <c r="T82" i="1"/>
  <c r="T9" i="1"/>
  <c r="T154" i="1"/>
  <c r="T34" i="1"/>
  <c r="T153" i="1"/>
  <c r="T31" i="1"/>
  <c r="T126" i="1"/>
  <c r="T115" i="1"/>
  <c r="T147" i="1"/>
  <c r="T146" i="1"/>
  <c r="T80" i="1"/>
  <c r="T32" i="1"/>
  <c r="T73" i="1"/>
  <c r="T72" i="1"/>
  <c r="T150" i="1"/>
  <c r="T30" i="1"/>
  <c r="T133" i="1"/>
  <c r="T109" i="1"/>
  <c r="T85" i="1"/>
  <c r="T13" i="1"/>
  <c r="T28" i="1"/>
  <c r="T134" i="1"/>
  <c r="T14" i="1"/>
  <c r="G7" i="1"/>
  <c r="R7" i="1" s="1"/>
  <c r="T118" i="1"/>
  <c r="T70" i="1"/>
  <c r="T125" i="1"/>
  <c r="T148" i="1"/>
  <c r="T130" i="1"/>
  <c r="T121" i="1"/>
  <c r="T127" i="1"/>
  <c r="T120" i="1"/>
  <c r="T24" i="1"/>
  <c r="T119" i="1"/>
  <c r="T165" i="1"/>
  <c r="T132" i="1"/>
  <c r="T12" i="1"/>
  <c r="T164" i="1"/>
  <c r="T11" i="1"/>
  <c r="T151" i="1"/>
  <c r="T76" i="1"/>
  <c r="T75" i="1"/>
  <c r="T128" i="1"/>
  <c r="T71" i="1"/>
  <c r="T163" i="1"/>
  <c r="T19" i="1"/>
  <c r="T10" i="1"/>
  <c r="T162" i="1"/>
  <c r="T114" i="1"/>
  <c r="T90" i="1"/>
  <c r="T18" i="1"/>
  <c r="T129" i="1"/>
  <c r="T161" i="1"/>
  <c r="T137" i="1"/>
  <c r="T113" i="1"/>
  <c r="T89" i="1"/>
  <c r="T17" i="1"/>
  <c r="T152" i="1"/>
  <c r="F38" i="36"/>
  <c r="H19" i="36"/>
  <c r="H7" i="36"/>
  <c r="F26" i="36"/>
  <c r="H15" i="36"/>
  <c r="F34" i="36"/>
  <c r="H17" i="36"/>
  <c r="F36" i="36"/>
  <c r="H11" i="36"/>
  <c r="F30" i="36"/>
  <c r="H16" i="36"/>
  <c r="F35" i="36"/>
  <c r="H20" i="36"/>
  <c r="F39" i="36"/>
  <c r="H8" i="36"/>
  <c r="F27" i="36"/>
  <c r="H10" i="36"/>
  <c r="F29" i="36"/>
  <c r="H12" i="36"/>
  <c r="F31" i="36"/>
  <c r="H9" i="36"/>
  <c r="F28" i="36"/>
  <c r="H6" i="36"/>
  <c r="F25" i="36"/>
  <c r="H18" i="36"/>
  <c r="H5" i="36"/>
  <c r="M6" i="1"/>
  <c r="Q6" i="1"/>
  <c r="O6" i="1"/>
  <c r="N6" i="1"/>
  <c r="T160" i="1"/>
  <c r="T112" i="1"/>
  <c r="E163" i="32"/>
  <c r="G163" i="32" s="1"/>
  <c r="E135" i="32"/>
  <c r="G135" i="32" s="1"/>
  <c r="E107" i="32"/>
  <c r="G107" i="32" s="1"/>
  <c r="E79" i="32"/>
  <c r="G79" i="32" s="1"/>
  <c r="E51" i="32"/>
  <c r="G51" i="32" s="1"/>
  <c r="E23" i="32"/>
  <c r="G23" i="32" s="1"/>
  <c r="E162" i="32"/>
  <c r="G162" i="32" s="1"/>
  <c r="E106" i="32"/>
  <c r="G106" i="32" s="1"/>
  <c r="E78" i="32"/>
  <c r="G78" i="32" s="1"/>
  <c r="E50" i="32"/>
  <c r="G50" i="32" s="1"/>
  <c r="E22" i="32"/>
  <c r="G22" i="32" s="1"/>
  <c r="E161" i="32"/>
  <c r="G161" i="32" s="1"/>
  <c r="E133" i="32"/>
  <c r="G133" i="32" s="1"/>
  <c r="E105" i="32"/>
  <c r="G105" i="32" s="1"/>
  <c r="E77" i="32"/>
  <c r="G77" i="32" s="1"/>
  <c r="E49" i="32"/>
  <c r="G49" i="32" s="1"/>
  <c r="E21" i="32"/>
  <c r="G21" i="32" s="1"/>
  <c r="E160" i="32"/>
  <c r="G160" i="32" s="1"/>
  <c r="E132" i="32"/>
  <c r="G132" i="32" s="1"/>
  <c r="E104" i="32"/>
  <c r="G104" i="32" s="1"/>
  <c r="E76" i="32"/>
  <c r="G76" i="32" s="1"/>
  <c r="E48" i="32"/>
  <c r="G48" i="32" s="1"/>
  <c r="E20" i="32"/>
  <c r="G20" i="32" s="1"/>
  <c r="E159" i="32"/>
  <c r="G159" i="32" s="1"/>
  <c r="E131" i="32"/>
  <c r="G131" i="32" s="1"/>
  <c r="E103" i="32"/>
  <c r="G103" i="32" s="1"/>
  <c r="E75" i="32"/>
  <c r="G75" i="32" s="1"/>
  <c r="E47" i="32"/>
  <c r="G47" i="32" s="1"/>
  <c r="E19" i="32"/>
  <c r="G19" i="32" s="1"/>
  <c r="E102" i="32"/>
  <c r="G102" i="32" s="1"/>
  <c r="E101" i="32"/>
  <c r="G101" i="32" s="1"/>
  <c r="E72" i="32"/>
  <c r="G72" i="32" s="1"/>
  <c r="E99" i="32"/>
  <c r="G99" i="32" s="1"/>
  <c r="E158" i="32"/>
  <c r="G158" i="32" s="1"/>
  <c r="E46" i="32"/>
  <c r="G46" i="32" s="1"/>
  <c r="E45" i="32"/>
  <c r="G45" i="32" s="1"/>
  <c r="E100" i="32"/>
  <c r="G100" i="32" s="1"/>
  <c r="E127" i="32"/>
  <c r="G127" i="32" s="1"/>
  <c r="E43" i="32"/>
  <c r="G43" i="32" s="1"/>
  <c r="E74" i="32"/>
  <c r="G74" i="32" s="1"/>
  <c r="E157" i="32"/>
  <c r="G157" i="32" s="1"/>
  <c r="E17" i="32"/>
  <c r="G17" i="32" s="1"/>
  <c r="E128" i="32"/>
  <c r="G128" i="32" s="1"/>
  <c r="E16" i="32"/>
  <c r="G16" i="32" s="1"/>
  <c r="E15" i="32"/>
  <c r="G15" i="32" s="1"/>
  <c r="E130" i="32"/>
  <c r="G130" i="32" s="1"/>
  <c r="E18" i="32"/>
  <c r="G18" i="32" s="1"/>
  <c r="E129" i="32"/>
  <c r="G129" i="32" s="1"/>
  <c r="E73" i="32"/>
  <c r="G73" i="32" s="1"/>
  <c r="E156" i="32"/>
  <c r="G156" i="32" s="1"/>
  <c r="E44" i="32"/>
  <c r="G44" i="32" s="1"/>
  <c r="E155" i="32"/>
  <c r="G155" i="32" s="1"/>
  <c r="E71" i="32"/>
  <c r="G71" i="32" s="1"/>
  <c r="E126" i="32"/>
  <c r="G126" i="32" s="1"/>
  <c r="E69" i="32"/>
  <c r="G69" i="32" s="1"/>
  <c r="E124" i="32"/>
  <c r="G124" i="32" s="1"/>
  <c r="E39" i="32"/>
  <c r="G39" i="32" s="1"/>
  <c r="E150" i="32"/>
  <c r="G150" i="32" s="1"/>
  <c r="E121" i="32"/>
  <c r="G121" i="32" s="1"/>
  <c r="E92" i="32"/>
  <c r="G92" i="32" s="1"/>
  <c r="E32" i="32"/>
  <c r="G32" i="32" s="1"/>
  <c r="E42" i="32"/>
  <c r="G42" i="32" s="1"/>
  <c r="E13" i="32"/>
  <c r="G13" i="32" s="1"/>
  <c r="E152" i="32"/>
  <c r="G152" i="32" s="1"/>
  <c r="E67" i="32"/>
  <c r="G67" i="32" s="1"/>
  <c r="E38" i="32"/>
  <c r="G38" i="32" s="1"/>
  <c r="E37" i="32"/>
  <c r="G37" i="32" s="1"/>
  <c r="E120" i="32"/>
  <c r="G120" i="32" s="1"/>
  <c r="E35" i="32"/>
  <c r="G35" i="32" s="1"/>
  <c r="E33" i="32"/>
  <c r="G33" i="32" s="1"/>
  <c r="E144" i="32"/>
  <c r="G144" i="32" s="1"/>
  <c r="E87" i="32"/>
  <c r="G87" i="32" s="1"/>
  <c r="E142" i="32"/>
  <c r="G142" i="32" s="1"/>
  <c r="E114" i="32"/>
  <c r="G114" i="32" s="1"/>
  <c r="E86" i="32"/>
  <c r="G86" i="32" s="1"/>
  <c r="E58" i="32"/>
  <c r="G58" i="32" s="1"/>
  <c r="E30" i="32"/>
  <c r="G30" i="32" s="1"/>
  <c r="E29" i="32"/>
  <c r="G29" i="32" s="1"/>
  <c r="E154" i="32"/>
  <c r="G154" i="32" s="1"/>
  <c r="E97" i="32"/>
  <c r="G97" i="32" s="1"/>
  <c r="E12" i="32"/>
  <c r="G12" i="32" s="1"/>
  <c r="E123" i="32"/>
  <c r="G123" i="32" s="1"/>
  <c r="E10" i="32"/>
  <c r="G10" i="32" s="1"/>
  <c r="E65" i="32"/>
  <c r="G65" i="32" s="1"/>
  <c r="E8" i="32"/>
  <c r="G8" i="32" s="1"/>
  <c r="E91" i="32"/>
  <c r="G91" i="32" s="1"/>
  <c r="E90" i="32"/>
  <c r="G90" i="32" s="1"/>
  <c r="E145" i="32"/>
  <c r="G145" i="32" s="1"/>
  <c r="E31" i="32"/>
  <c r="G31" i="32" s="1"/>
  <c r="E141" i="32"/>
  <c r="G141" i="32" s="1"/>
  <c r="E113" i="32"/>
  <c r="G113" i="32" s="1"/>
  <c r="E85" i="32"/>
  <c r="G85" i="32" s="1"/>
  <c r="E57" i="32"/>
  <c r="G57" i="32" s="1"/>
  <c r="E140" i="32"/>
  <c r="G140" i="32" s="1"/>
  <c r="E84" i="32"/>
  <c r="G84" i="32" s="1"/>
  <c r="E56" i="32"/>
  <c r="G56" i="32" s="1"/>
  <c r="E28" i="32"/>
  <c r="G28" i="32" s="1"/>
  <c r="E14" i="32"/>
  <c r="G14" i="32" s="1"/>
  <c r="E41" i="32"/>
  <c r="G41" i="32" s="1"/>
  <c r="E68" i="32"/>
  <c r="G68" i="32" s="1"/>
  <c r="E95" i="32"/>
  <c r="G95" i="32" s="1"/>
  <c r="E94" i="32"/>
  <c r="G94" i="32" s="1"/>
  <c r="E9" i="32"/>
  <c r="G9" i="32" s="1"/>
  <c r="E36" i="32"/>
  <c r="G36" i="32" s="1"/>
  <c r="E63" i="32"/>
  <c r="G63" i="32" s="1"/>
  <c r="E146" i="32"/>
  <c r="G146" i="32" s="1"/>
  <c r="E6" i="32"/>
  <c r="G6" i="32" s="1"/>
  <c r="E89" i="32"/>
  <c r="G89" i="32" s="1"/>
  <c r="E88" i="32"/>
  <c r="G88" i="32" s="1"/>
  <c r="E143" i="32"/>
  <c r="G143" i="32" s="1"/>
  <c r="E26" i="32"/>
  <c r="G26" i="32" s="1"/>
  <c r="E98" i="32"/>
  <c r="G98" i="32" s="1"/>
  <c r="E125" i="32"/>
  <c r="G125" i="32" s="1"/>
  <c r="E96" i="32"/>
  <c r="G96" i="32" s="1"/>
  <c r="E151" i="32"/>
  <c r="G151" i="32" s="1"/>
  <c r="E66" i="32"/>
  <c r="G66" i="32" s="1"/>
  <c r="E149" i="32"/>
  <c r="G149" i="32" s="1"/>
  <c r="E148" i="32"/>
  <c r="G148" i="32" s="1"/>
  <c r="E119" i="32"/>
  <c r="G119" i="32" s="1"/>
  <c r="E62" i="32"/>
  <c r="G62" i="32" s="1"/>
  <c r="E117" i="32"/>
  <c r="G117" i="32" s="1"/>
  <c r="E116" i="32"/>
  <c r="G116" i="32" s="1"/>
  <c r="E59" i="32"/>
  <c r="G59" i="32" s="1"/>
  <c r="E111" i="32"/>
  <c r="G111" i="32" s="1"/>
  <c r="E55" i="32"/>
  <c r="G55" i="32" s="1"/>
  <c r="E138" i="32"/>
  <c r="G138" i="32" s="1"/>
  <c r="E54" i="32"/>
  <c r="G54" i="32" s="1"/>
  <c r="E137" i="32"/>
  <c r="G137" i="32" s="1"/>
  <c r="E109" i="32"/>
  <c r="G109" i="32" s="1"/>
  <c r="E81" i="32"/>
  <c r="G81" i="32" s="1"/>
  <c r="E53" i="32"/>
  <c r="G53" i="32" s="1"/>
  <c r="E25" i="32"/>
  <c r="G25" i="32" s="1"/>
  <c r="E70" i="32"/>
  <c r="G70" i="32" s="1"/>
  <c r="E153" i="32"/>
  <c r="G153" i="32" s="1"/>
  <c r="E40" i="32"/>
  <c r="G40" i="32" s="1"/>
  <c r="E11" i="32"/>
  <c r="G11" i="32" s="1"/>
  <c r="E122" i="32"/>
  <c r="G122" i="32" s="1"/>
  <c r="E93" i="32"/>
  <c r="G93" i="32" s="1"/>
  <c r="E64" i="32"/>
  <c r="G64" i="32" s="1"/>
  <c r="E7" i="32"/>
  <c r="G7" i="32" s="1"/>
  <c r="E118" i="32"/>
  <c r="G118" i="32" s="1"/>
  <c r="E34" i="32"/>
  <c r="G34" i="32" s="1"/>
  <c r="E61" i="32"/>
  <c r="G61" i="32" s="1"/>
  <c r="E60" i="32"/>
  <c r="G60" i="32" s="1"/>
  <c r="E115" i="32"/>
  <c r="G115" i="32" s="1"/>
  <c r="E139" i="32"/>
  <c r="G139" i="32" s="1"/>
  <c r="E83" i="32"/>
  <c r="G83" i="32" s="1"/>
  <c r="E27" i="32"/>
  <c r="G27" i="32" s="1"/>
  <c r="E110" i="32"/>
  <c r="G110" i="32" s="1"/>
  <c r="E82" i="32"/>
  <c r="G82" i="32" s="1"/>
  <c r="E136" i="32"/>
  <c r="G136" i="32" s="1"/>
  <c r="E108" i="32"/>
  <c r="G108" i="32" s="1"/>
  <c r="E80" i="32"/>
  <c r="G80" i="32" s="1"/>
  <c r="E52" i="32"/>
  <c r="G52" i="32" s="1"/>
  <c r="E24" i="32"/>
  <c r="G24" i="32" s="1"/>
  <c r="H147" i="32"/>
  <c r="T23" i="1" l="1"/>
  <c r="K8" i="36"/>
  <c r="T56" i="1"/>
  <c r="K7" i="36"/>
  <c r="T22" i="1"/>
  <c r="M8" i="41"/>
  <c r="L8" i="41" s="1"/>
  <c r="T29" i="1"/>
  <c r="M6" i="41"/>
  <c r="L6" i="41" s="1"/>
  <c r="K9" i="36"/>
  <c r="T26" i="1"/>
  <c r="K11" i="36"/>
  <c r="T21" i="1"/>
  <c r="M7" i="41"/>
  <c r="L7" i="41" s="1"/>
  <c r="K15" i="36"/>
  <c r="T74" i="1"/>
  <c r="M9" i="41"/>
  <c r="L9" i="41" s="1"/>
  <c r="T111" i="1"/>
  <c r="K20" i="36"/>
  <c r="T25" i="1"/>
  <c r="K10" i="36"/>
  <c r="T27" i="1"/>
  <c r="K12" i="36"/>
  <c r="T108" i="1"/>
  <c r="K5" i="36"/>
  <c r="T69" i="1"/>
  <c r="M5" i="41"/>
  <c r="L5" i="41" s="1"/>
  <c r="T145" i="1"/>
  <c r="K6" i="36"/>
  <c r="R6" i="1"/>
  <c r="G6" i="1"/>
  <c r="F23" i="36"/>
  <c r="H161" i="32"/>
  <c r="H106" i="32"/>
  <c r="H76" i="32"/>
  <c r="H158" i="32"/>
  <c r="H107" i="32"/>
  <c r="H72" i="32"/>
  <c r="H99" i="32"/>
  <c r="H131" i="32"/>
  <c r="H92" i="32"/>
  <c r="H42" i="32"/>
  <c r="H26" i="32"/>
  <c r="H31" i="32"/>
  <c r="H61" i="32"/>
  <c r="H71" i="32"/>
  <c r="H139" i="32"/>
  <c r="H34" i="32"/>
  <c r="H8" i="32"/>
  <c r="H23" i="32"/>
  <c r="H162" i="32"/>
  <c r="H148" i="32"/>
  <c r="H143" i="32"/>
  <c r="H7" i="32"/>
  <c r="H135" i="32"/>
  <c r="H102" i="32"/>
  <c r="H117" i="32"/>
  <c r="H43" i="32"/>
  <c r="H93" i="32"/>
  <c r="H74" i="32"/>
  <c r="H22" i="32"/>
  <c r="H65" i="32"/>
  <c r="H133" i="32"/>
  <c r="H10" i="32"/>
  <c r="H121" i="32"/>
  <c r="H98" i="32"/>
  <c r="H20" i="32"/>
  <c r="H78" i="32"/>
  <c r="H79" i="32"/>
  <c r="H91" i="32"/>
  <c r="H46" i="32"/>
  <c r="H155" i="32"/>
  <c r="H104" i="32"/>
  <c r="H110" i="32"/>
  <c r="H19" i="32"/>
  <c r="H103" i="32"/>
  <c r="H150" i="32"/>
  <c r="H132" i="32"/>
  <c r="H49" i="32"/>
  <c r="H85" i="32"/>
  <c r="H51" i="32"/>
  <c r="H159" i="32"/>
  <c r="H21" i="32"/>
  <c r="H163" i="32"/>
  <c r="H123" i="32"/>
  <c r="H82" i="32"/>
  <c r="H87" i="32"/>
  <c r="H116" i="32"/>
  <c r="H126" i="32"/>
  <c r="H54" i="32"/>
  <c r="H17" i="32"/>
  <c r="H160" i="32"/>
  <c r="H105" i="32"/>
  <c r="H50" i="32"/>
  <c r="H90" i="32"/>
  <c r="H69" i="32"/>
  <c r="H47" i="32"/>
  <c r="H75" i="32"/>
  <c r="H145" i="32"/>
  <c r="H62" i="32"/>
  <c r="H118" i="32"/>
  <c r="H39" i="32"/>
  <c r="H141" i="32"/>
  <c r="H64" i="32"/>
  <c r="H115" i="32"/>
  <c r="H16" i="32"/>
  <c r="H15" i="32"/>
  <c r="H138" i="32"/>
  <c r="H28" i="32"/>
  <c r="H57" i="32"/>
  <c r="H128" i="32"/>
  <c r="H73" i="32"/>
  <c r="H32" i="32"/>
  <c r="H44" i="32"/>
  <c r="H48" i="32"/>
  <c r="H77" i="32"/>
  <c r="H119" i="32"/>
  <c r="H156" i="32"/>
  <c r="H157" i="32"/>
  <c r="H127" i="32"/>
  <c r="H129" i="32"/>
  <c r="H130" i="32"/>
  <c r="H100" i="32"/>
  <c r="H18" i="32"/>
  <c r="H45" i="32"/>
  <c r="H101" i="32"/>
  <c r="H29" i="32"/>
  <c r="H114" i="32"/>
  <c r="H120" i="32"/>
  <c r="H67" i="32"/>
  <c r="H41" i="32"/>
  <c r="H27" i="32"/>
  <c r="H96" i="32"/>
  <c r="H56" i="32"/>
  <c r="H33" i="32"/>
  <c r="H14" i="32"/>
  <c r="H151" i="32"/>
  <c r="H111" i="32"/>
  <c r="H30" i="32"/>
  <c r="H63" i="32"/>
  <c r="H53" i="32"/>
  <c r="H95" i="32"/>
  <c r="H113" i="32"/>
  <c r="H97" i="32"/>
  <c r="H81" i="32"/>
  <c r="H137" i="32"/>
  <c r="H40" i="32"/>
  <c r="H86" i="32"/>
  <c r="H144" i="32"/>
  <c r="H154" i="32"/>
  <c r="H109" i="32"/>
  <c r="H36" i="32"/>
  <c r="H24" i="32"/>
  <c r="H142" i="32"/>
  <c r="H70" i="32"/>
  <c r="H149" i="32"/>
  <c r="H52" i="32"/>
  <c r="H59" i="32"/>
  <c r="H124" i="32"/>
  <c r="H146" i="32"/>
  <c r="H25" i="32"/>
  <c r="H11" i="32"/>
  <c r="H35" i="32"/>
  <c r="H84" i="32"/>
  <c r="H12" i="32"/>
  <c r="H153" i="32"/>
  <c r="H68" i="32"/>
  <c r="H60" i="32"/>
  <c r="H152" i="32"/>
  <c r="H89" i="32"/>
  <c r="H140" i="32"/>
  <c r="H94" i="32"/>
  <c r="H9" i="32"/>
  <c r="H55" i="32"/>
  <c r="H37" i="32"/>
  <c r="H58" i="32"/>
  <c r="H80" i="32"/>
  <c r="H38" i="32"/>
  <c r="H108" i="32"/>
  <c r="H66" i="32"/>
  <c r="H13" i="32"/>
  <c r="H136" i="32"/>
  <c r="H6" i="32"/>
  <c r="H83" i="32"/>
  <c r="H88" i="32"/>
  <c r="H122" i="32"/>
  <c r="H125" i="32"/>
  <c r="E4" i="36" l="1"/>
  <c r="G4" i="36"/>
  <c r="L23" i="41"/>
</calcChain>
</file>

<file path=xl/sharedStrings.xml><?xml version="1.0" encoding="utf-8"?>
<sst xmlns="http://schemas.openxmlformats.org/spreadsheetml/2006/main" count="16589" uniqueCount="1883">
  <si>
    <t>GARND TOTAL</t>
  </si>
  <si>
    <t>S/N</t>
  </si>
  <si>
    <t>Units</t>
  </si>
  <si>
    <t>JAFFURA S19 SCAFFOLDING</t>
  </si>
  <si>
    <t>JAFFURA S15 SCAFFOLDING</t>
  </si>
  <si>
    <t>FADHILI- 22 SCAFFOLDING</t>
  </si>
  <si>
    <t>OYUN - 12 SCAFFOLDING</t>
  </si>
  <si>
    <t>JAFFURA-
NMP-01</t>
  </si>
  <si>
    <t>RENTAL MATERIAL</t>
  </si>
  <si>
    <t>ABU DHABI 
SCAFFOLDING</t>
  </si>
  <si>
    <t xml:space="preserve"> </t>
  </si>
  <si>
    <t xml:space="preserve">4-WAY HEAD H20 </t>
  </si>
  <si>
    <t>NOS</t>
  </si>
  <si>
    <t>ACCESS STEEL LADDER-2.0-MTR</t>
  </si>
  <si>
    <t>ACCESS STEEL LADDER-2.5-MTR</t>
  </si>
  <si>
    <t>ACCESS STEEL LADDER-3.0-MTR</t>
  </si>
  <si>
    <t>ACCESS STEEL LADDER-4.0-MTR</t>
  </si>
  <si>
    <t>ACCESS STEEL LADDER-5.0-MTR</t>
  </si>
  <si>
    <t>ACCESS STEEL LADDER-6.0-MTR</t>
  </si>
  <si>
    <t>ALUMINIUM LADDER-2.00MTR</t>
  </si>
  <si>
    <t>ALUMINIUM LADDER-2.50-MTR</t>
  </si>
  <si>
    <t>ALUMINIUM LADDER-3.00-MTR</t>
  </si>
  <si>
    <t>ALUMINIUM LADDER-3.60-MTR</t>
  </si>
  <si>
    <t>ALUMINIUM LADDER-4.00-MTR</t>
  </si>
  <si>
    <t>ALUMINIUM LADDER-5.00-MTR</t>
  </si>
  <si>
    <t>ALUMINIUM LADDER-6.00-MTR</t>
  </si>
  <si>
    <t>BASE JACK-7MMX0.760-MTR</t>
  </si>
  <si>
    <t>BASE PLATE</t>
  </si>
  <si>
    <t xml:space="preserve">BEAM COUPLER </t>
  </si>
  <si>
    <t>BEAM LADDER-2-MTR</t>
  </si>
  <si>
    <t>BEAM LADDER-3-MTR</t>
  </si>
  <si>
    <t>BEAM LADDER-4-MTR</t>
  </si>
  <si>
    <t>BEAM LADDER-6-MTR</t>
  </si>
  <si>
    <t>BEAM LADDER-8-MTR</t>
  </si>
  <si>
    <t>BOARD RETAINING COUPLER-3.5MM / BRC</t>
  </si>
  <si>
    <t>-</t>
  </si>
  <si>
    <t>BRACING TUBE-3.2MMX1.00-MTR</t>
  </si>
  <si>
    <t>BRACING TUBE-3.2MMX2.00-MTR</t>
  </si>
  <si>
    <t>BRACING TUBE-3.2MMX4.00-MTR</t>
  </si>
  <si>
    <t>CAM NUT DW15, GALV</t>
  </si>
  <si>
    <t>CASTER WHEEL</t>
  </si>
  <si>
    <t>DIAGONAL CROSS 12.2 MTR</t>
  </si>
  <si>
    <t>DIAGONAL CROSS 12.225 MTR</t>
  </si>
  <si>
    <t>DIAGONAL CROSS 9.2 MTR</t>
  </si>
  <si>
    <t>DIAGONAL CROSS 9.225 MTR</t>
  </si>
  <si>
    <t>DOKA BEAM-H20N-2.45-MTR</t>
  </si>
  <si>
    <t>DOKA BEAM-H20N-2.90-MTR</t>
  </si>
  <si>
    <t>DOKA BEAM-H20N-3.90-MTR</t>
  </si>
  <si>
    <t>DOKA BEAM-H20N-4.50-MTR</t>
  </si>
  <si>
    <t>DOKA BEAM-H20N-4.90-MTR</t>
  </si>
  <si>
    <t>DOKA BEAM-H20N-5.90-MTR</t>
  </si>
  <si>
    <t>DOKA CORNER PLATE</t>
  </si>
  <si>
    <t>DOKA FLANGE CLAMP G</t>
  </si>
  <si>
    <t>DOKA FLOOR PROP EUREX 20 ECO 3.5 MTR</t>
  </si>
  <si>
    <t>DOKA FLOOR PROP EUREX 20 ECO 4.0 MTR</t>
  </si>
  <si>
    <t>DOKA FLOOR PROP EUREX 20 ECO TOP 5.5 MTR</t>
  </si>
  <si>
    <t xml:space="preserve">DOKA HOOK </t>
  </si>
  <si>
    <t>DOKA LIFING BRACKET</t>
  </si>
  <si>
    <t>DOKA LOCKING PIN</t>
  </si>
  <si>
    <t>DOKA PROP JACK 1.0 MTR</t>
  </si>
  <si>
    <t xml:space="preserve">DOKA UNIVERSAL ANGLE TIE BRACKET </t>
  </si>
  <si>
    <t>DOKA WAILING ELEMENT CONNECTOR</t>
  </si>
  <si>
    <t>END SLEEVE COUPLER-(JOINT BOX)</t>
  </si>
  <si>
    <t>FRAMI XLIFE LIFTING HOOK</t>
  </si>
  <si>
    <t>FRAMI XLIFE PANEL FRAMI CLAMP</t>
  </si>
  <si>
    <t>FRAMI XLIFE PANEL STRUT HEAD EB</t>
  </si>
  <si>
    <t>FRAMI XLIFE PANEL UNIVERSAL FIXING BOLT-5-12CM</t>
  </si>
  <si>
    <t>FRAMI XLIFE PANEL WAILINGS 0.70 MTR</t>
  </si>
  <si>
    <t>FRAMI XLIFE PANEL WEDGE CLAMP</t>
  </si>
  <si>
    <t>FRAMI XLIFE PANEL-BRACKET 60</t>
  </si>
  <si>
    <t>FRAMI XLIFE PANEL-SUPER PLATE 15.0</t>
  </si>
  <si>
    <t>FRAMI XLIFE UNIVERSAL PANEL-0.75X1.50MTR</t>
  </si>
  <si>
    <t>FRAMI XLIFE UNIVERSAL PANEL-0.75X3.00MTR</t>
  </si>
  <si>
    <t>FRAMI XLIFE UNIVERSAL PANEL-0.90X1.50MTR</t>
  </si>
  <si>
    <t>FRAMI XLIFE UNIVERSAL PANEL-0.90X3.00MTR</t>
  </si>
  <si>
    <t>GI-STEEL PLANKS-2MMX1.00-MTR</t>
  </si>
  <si>
    <t>GI-STEEL PLANKS-2MMX1.20-MTR</t>
  </si>
  <si>
    <t>GI-STEEL PLANKS-2MMX1.50-MTR</t>
  </si>
  <si>
    <t>GI-STEEL PLANKS-2MMX2.00-MTR</t>
  </si>
  <si>
    <t>GI-STEEL PLANKS-2MMX2.50-MTR</t>
  </si>
  <si>
    <t>GI-STEEL PLANKS-2MMX3.00-MTR</t>
  </si>
  <si>
    <t>GI-STEEL PLANKS-2MMX3.60-MTR</t>
  </si>
  <si>
    <t>GI-STEEL PLANKS-2MMX4.00-MTR</t>
  </si>
  <si>
    <t>Heavy Prop Jack 4.1 MTR</t>
  </si>
  <si>
    <t>Heavy Prop Jack 5.5 MTR</t>
  </si>
  <si>
    <t>LADDER SUPPORTING CLAMP</t>
  </si>
  <si>
    <t>LEDGER-0.60-CM</t>
  </si>
  <si>
    <t>LEDGER-0.90-CM</t>
  </si>
  <si>
    <t>LEDGER-1.00-MTR</t>
  </si>
  <si>
    <t>LEDGER-1.20-MTR</t>
  </si>
  <si>
    <t>LEDGER-1.30-MTR</t>
  </si>
  <si>
    <t>LEDGER-1.50-MTR</t>
  </si>
  <si>
    <t>LEDGER-1.60-MTR</t>
  </si>
  <si>
    <t>LEDGER-1.80-MTR</t>
  </si>
  <si>
    <t>LEDGER-2.00-MTR</t>
  </si>
  <si>
    <t>LEDGER-2.50-MTR</t>
  </si>
  <si>
    <t>LEDGER-3.00-MTR</t>
  </si>
  <si>
    <t>PERI BRACE CONNECTOR DUO</t>
  </si>
  <si>
    <t xml:space="preserve">PERI COMPENSATION WALER DUO </t>
  </si>
  <si>
    <t>PERI CORNER 135X10MM</t>
  </si>
  <si>
    <t>PERI CORNER CONNECTOR DUO</t>
  </si>
  <si>
    <t>PERI COUPLER DUO</t>
  </si>
  <si>
    <t>PERI COUPLING TIE DUO</t>
  </si>
  <si>
    <t>PERI FIX HEAD DFH</t>
  </si>
  <si>
    <t>PERI FOAMLINING 135X70MM</t>
  </si>
  <si>
    <t>PERI FOAMLINING 135X90MM</t>
  </si>
  <si>
    <t>PERI MULTI PANEL DMP 135 CM X 45 CM</t>
  </si>
  <si>
    <t>PERI MULTI PANEL DMP 135 CM X 60 CM</t>
  </si>
  <si>
    <t>PERI MULTI PANEL DMP 135 CM X 75 CM</t>
  </si>
  <si>
    <t>PERI PANEL DP 135 CM X 90 CM</t>
  </si>
  <si>
    <t>Peri Prop Jack 1.8 MTR</t>
  </si>
  <si>
    <t>Peri Prop Jack 4.0 MTR</t>
  </si>
  <si>
    <t>PERI TUBE HOLDER DUO</t>
  </si>
  <si>
    <t>PUSH PULL JACK-540 (PANEL STRUT)</t>
  </si>
  <si>
    <t>PUTLOG COUPLER/SINGLE COUPLER</t>
  </si>
  <si>
    <t>RED BRACING TUBE-3.2MMX3.00-MTR</t>
  </si>
  <si>
    <t>REMOVABLE FOLDING TRIPOD ECO</t>
  </si>
  <si>
    <t>RIGHT DOUBLE COUPLER H/D/FIXED</t>
  </si>
  <si>
    <t>ROCKING BASE JACK</t>
  </si>
  <si>
    <t>SPIGOT PIN</t>
  </si>
  <si>
    <t>3000001196 - A</t>
  </si>
  <si>
    <t>SPIGOT PIN,NUT,BOLT</t>
  </si>
  <si>
    <t>STANDARD 2.00 MTR.</t>
  </si>
  <si>
    <t>STANDARD-1.00-MTR</t>
  </si>
  <si>
    <t>STANDARD-1.30-MTR</t>
  </si>
  <si>
    <t>STANDARD-1.50-MTR</t>
  </si>
  <si>
    <t>STANDARD-1.80-MTR</t>
  </si>
  <si>
    <t>STANDARD-2.50-MTR</t>
  </si>
  <si>
    <t>STANDARD-3.00-MTR</t>
  </si>
  <si>
    <t>STAXO 40 FRAME 0.90 MTR</t>
  </si>
  <si>
    <t xml:space="preserve">STAXO 40 SCREW JACK FOOT 30 CM </t>
  </si>
  <si>
    <t xml:space="preserve">STAXO 40 SCREW JACK U-HEAD 30 CM </t>
  </si>
  <si>
    <t>STEEL TUBE-4MMX0.50-CM-(HANGING)</t>
  </si>
  <si>
    <t>STEEL TUBE-4MMX0.60-CM-(HANGING)</t>
  </si>
  <si>
    <t>STEEL TUBE-4MMX0.75-CM-(HANGING)</t>
  </si>
  <si>
    <t>STEEL TUBE-4MMX1.00-MTR-(HANGING)</t>
  </si>
  <si>
    <t>STEEL TUBE-4MMX1.50-MTR-(HANGING)</t>
  </si>
  <si>
    <t>STEEL TUBE-4MMX2.00-MTR-(HANGING)</t>
  </si>
  <si>
    <t>STEEL TUBE-4MMX2.50-MTR-(HANGING)</t>
  </si>
  <si>
    <t>STEEL TUBE-4MMX3.00-MTR-(HANGING)</t>
  </si>
  <si>
    <t>STEEL TUBE-4MMX3.50-MTR-(HANGING)</t>
  </si>
  <si>
    <t>STEEL TUBE-4MMX4.00-MTR-(HANGING)</t>
  </si>
  <si>
    <t>STEEL TUBE-4MMX5.00-MTR-(HANGING)</t>
  </si>
  <si>
    <t>3000002693-A</t>
  </si>
  <si>
    <t>STEEL TUBE-4MMX5.50-MTR-(HANGING)</t>
  </si>
  <si>
    <t>STEEL TUBE-4MMX6.00-MTR-(HANGING)</t>
  </si>
  <si>
    <t>STEEL WAILING 1.0 MTR</t>
  </si>
  <si>
    <t>STEEL WAILING 1.3 MTR</t>
  </si>
  <si>
    <t>STEEL WAILING 1.5 MTR</t>
  </si>
  <si>
    <t>STEEL WAILING 2.0 MTR</t>
  </si>
  <si>
    <t>STEEL WAILING 2.5 MTR</t>
  </si>
  <si>
    <t>STEEL WAILING 3.0 MTR</t>
  </si>
  <si>
    <t>STEEL WAILING 4.0 MTR</t>
  </si>
  <si>
    <t>SWIVEL COUPLER/ROLLING</t>
  </si>
  <si>
    <t>TRANSOM-HUB-0.90-MTR</t>
  </si>
  <si>
    <t xml:space="preserve">TRANSOM-HUB-1.00-MTR </t>
  </si>
  <si>
    <t>TRANSOM-HUB-1.20-MTR</t>
  </si>
  <si>
    <t>TRANSOM-HUB-1.30-MTR</t>
  </si>
  <si>
    <t>TRANSOM-HUB-1.50-MTR</t>
  </si>
  <si>
    <t>TRANSOM-HUB-1.60-MTR</t>
  </si>
  <si>
    <t>TRANSOM-HUB-1.80-MTR</t>
  </si>
  <si>
    <t>TRANSOM-HUB-2.00-MTR</t>
  </si>
  <si>
    <t>TRANSOM-HUB-2.50-MTR</t>
  </si>
  <si>
    <t>TRANSOM-HUB-3.00-MTR</t>
  </si>
  <si>
    <t>U HEAD</t>
  </si>
  <si>
    <t>WAILING CONNER CONNECTOR 550MM</t>
  </si>
  <si>
    <t>WAILING CONNER CONNECTOR 720MM</t>
  </si>
  <si>
    <t>WAILING CONNER CONNECTOR 780MM</t>
  </si>
  <si>
    <t>WOODEN PLANKS-1.0-MTR</t>
  </si>
  <si>
    <t>WOODEN PLANKS-1.5-MTR</t>
  </si>
  <si>
    <t>WOODEN PLANKS-2.0-MTR</t>
  </si>
  <si>
    <t>WOODEN PLANKS-2.5-MTR</t>
  </si>
  <si>
    <t>WOODEN PLANKS-3.0-MTR</t>
  </si>
  <si>
    <t>WOODEN PLANKS-4.0-MTR</t>
  </si>
  <si>
    <t>ITEM CODE</t>
  </si>
  <si>
    <t>MATERIAL DESCREPTION</t>
  </si>
  <si>
    <t>UNITS</t>
  </si>
  <si>
    <t>GRAND TOTAL</t>
  </si>
  <si>
    <t>0074</t>
  </si>
  <si>
    <t>0075</t>
  </si>
  <si>
    <t>0076</t>
  </si>
  <si>
    <t>0078</t>
  </si>
  <si>
    <t xml:space="preserve">  SCAFFOLDING MATERIAL IN &amp; OUT RECORD</t>
  </si>
  <si>
    <t>MATERIAL DESCRIPTION</t>
  </si>
  <si>
    <t>S013</t>
  </si>
  <si>
    <t>0080</t>
  </si>
  <si>
    <t>DN</t>
  </si>
  <si>
    <t>DATE</t>
  </si>
  <si>
    <t>PROJECT</t>
  </si>
  <si>
    <t>0081</t>
  </si>
  <si>
    <t xml:space="preserve"> 11201</t>
  </si>
  <si>
    <t>11202</t>
  </si>
  <si>
    <t>11203</t>
  </si>
  <si>
    <t xml:space="preserve">  11204 </t>
  </si>
  <si>
    <t>11205</t>
  </si>
  <si>
    <t xml:space="preserve">  11206 </t>
  </si>
  <si>
    <t>11207</t>
  </si>
  <si>
    <t>11209</t>
  </si>
  <si>
    <t>11210</t>
  </si>
  <si>
    <t>11211</t>
  </si>
  <si>
    <t>11213</t>
  </si>
  <si>
    <t xml:space="preserve"> 11215</t>
  </si>
  <si>
    <t>11216</t>
  </si>
  <si>
    <t>11217</t>
  </si>
  <si>
    <t>11218</t>
  </si>
  <si>
    <t>11220</t>
  </si>
  <si>
    <t>11221</t>
  </si>
  <si>
    <t>S022</t>
  </si>
  <si>
    <t>J-NMP</t>
  </si>
  <si>
    <t>10659</t>
  </si>
  <si>
    <t>10660</t>
  </si>
  <si>
    <t>STEEL TUBE-4MMX1.20-MTR-(HANGING)</t>
  </si>
  <si>
    <t>11101</t>
  </si>
  <si>
    <t>S012</t>
  </si>
  <si>
    <t>6173</t>
  </si>
  <si>
    <t>6155</t>
  </si>
  <si>
    <t>6156</t>
  </si>
  <si>
    <t>6157</t>
  </si>
  <si>
    <t>6158</t>
  </si>
  <si>
    <t>6159</t>
  </si>
  <si>
    <t>6163</t>
  </si>
  <si>
    <t>6164</t>
  </si>
  <si>
    <t>6165</t>
  </si>
  <si>
    <t>6166</t>
  </si>
  <si>
    <t>6168</t>
  </si>
  <si>
    <t>6169</t>
  </si>
  <si>
    <t>6170</t>
  </si>
  <si>
    <t>6171</t>
  </si>
  <si>
    <t>6172</t>
  </si>
  <si>
    <t>6174</t>
  </si>
  <si>
    <t>6175</t>
  </si>
  <si>
    <t>6176</t>
  </si>
  <si>
    <t>6177</t>
  </si>
  <si>
    <t>6178</t>
  </si>
  <si>
    <t>6179</t>
  </si>
  <si>
    <t>6180</t>
  </si>
  <si>
    <t>6182</t>
  </si>
  <si>
    <t>6190</t>
  </si>
  <si>
    <t>29-07-2025</t>
  </si>
  <si>
    <t>30-07-2025</t>
  </si>
  <si>
    <t>1138-1</t>
  </si>
  <si>
    <t>1138-2</t>
  </si>
  <si>
    <t>1138-3</t>
  </si>
  <si>
    <t>1138-4</t>
  </si>
  <si>
    <t>1138-5</t>
  </si>
  <si>
    <t>1138-6</t>
  </si>
  <si>
    <t>1138-7</t>
  </si>
  <si>
    <t>KSA023&amp;024</t>
  </si>
  <si>
    <t>INVOICE</t>
  </si>
  <si>
    <t>LIST 01</t>
  </si>
  <si>
    <t>LIST 02</t>
  </si>
  <si>
    <t>LIST 03</t>
  </si>
  <si>
    <t>LIST 04</t>
  </si>
  <si>
    <t>LIST 05</t>
  </si>
  <si>
    <t>LIST 06</t>
  </si>
  <si>
    <t>LIST 07</t>
  </si>
  <si>
    <t>LIST 08</t>
  </si>
  <si>
    <t>LIST 09</t>
  </si>
  <si>
    <t>LIST 10</t>
  </si>
  <si>
    <t>LIST 11</t>
  </si>
  <si>
    <t>LIST 12</t>
  </si>
  <si>
    <t>LIST 13</t>
  </si>
  <si>
    <t>LIST 14</t>
  </si>
  <si>
    <t>LIST 15</t>
  </si>
  <si>
    <t>LIST 16</t>
  </si>
  <si>
    <t>LIST 17</t>
  </si>
  <si>
    <t>LIST 18</t>
  </si>
  <si>
    <t>LIST 19</t>
  </si>
  <si>
    <t>LIST 20</t>
  </si>
  <si>
    <t>LIST 21</t>
  </si>
  <si>
    <t>LIST 22</t>
  </si>
  <si>
    <t>LIST 23</t>
  </si>
  <si>
    <t>LIST 24</t>
  </si>
  <si>
    <t>LIST 25</t>
  </si>
  <si>
    <t>LIST 26</t>
  </si>
  <si>
    <t>LIST 27</t>
  </si>
  <si>
    <t>LIST 28</t>
  </si>
  <si>
    <t>LIST 29</t>
  </si>
  <si>
    <t>LIST 30</t>
  </si>
  <si>
    <t>LIST 31</t>
  </si>
  <si>
    <t>LIST 32</t>
  </si>
  <si>
    <t>LIST 33</t>
  </si>
  <si>
    <t>LIST 34</t>
  </si>
  <si>
    <t>LIST 35</t>
  </si>
  <si>
    <t>ABU DHABI</t>
  </si>
  <si>
    <t>ABU
 DHABI</t>
  </si>
  <si>
    <t>0082</t>
  </si>
  <si>
    <t>S019</t>
  </si>
  <si>
    <t>11151</t>
  </si>
  <si>
    <t>11161</t>
  </si>
  <si>
    <t>11162</t>
  </si>
  <si>
    <t>11169&amp;11170</t>
  </si>
  <si>
    <t>0087</t>
  </si>
  <si>
    <t>UNI STEEL</t>
  </si>
  <si>
    <t>0958</t>
  </si>
  <si>
    <t>ADJUSTABLE PROP JACK-1.00-MTR</t>
  </si>
  <si>
    <t>3000003029</t>
  </si>
  <si>
    <t>U JACK-7MMX0.500-MTR</t>
  </si>
  <si>
    <t>PERI TRIO COMPENSATION WALER TAR 85</t>
  </si>
  <si>
    <t>3000001220</t>
  </si>
  <si>
    <t>RED BRACING TUBE-3.2MMX1.50-MTR</t>
  </si>
  <si>
    <t>3000001221</t>
  </si>
  <si>
    <t>RED BRACING TUBE-3.2MMX2.00-MTR</t>
  </si>
  <si>
    <t>3000001223</t>
  </si>
  <si>
    <t>RED BRACING TUBE-3.2MMX4.00-MTR</t>
  </si>
  <si>
    <t>3000001224</t>
  </si>
  <si>
    <t>RED BRACING TUBE-3.2MMX5.00-MTR</t>
  </si>
  <si>
    <t>0088</t>
  </si>
  <si>
    <t>11223</t>
  </si>
  <si>
    <t>11224</t>
  </si>
  <si>
    <t>S015</t>
  </si>
  <si>
    <t>KW</t>
  </si>
  <si>
    <t>S015 FROM S013</t>
  </si>
  <si>
    <t>KW TO S015</t>
  </si>
  <si>
    <t>10951</t>
  </si>
  <si>
    <t>10952</t>
  </si>
  <si>
    <t>10953</t>
  </si>
  <si>
    <t>10954</t>
  </si>
  <si>
    <t>10955</t>
  </si>
  <si>
    <t>7078</t>
  </si>
  <si>
    <t>10956</t>
  </si>
  <si>
    <t>10957</t>
  </si>
  <si>
    <t>10958/59</t>
  </si>
  <si>
    <t>10960</t>
  </si>
  <si>
    <t>10961</t>
  </si>
  <si>
    <t>10962</t>
  </si>
  <si>
    <t>10963</t>
  </si>
  <si>
    <t>10964</t>
  </si>
  <si>
    <t>10965</t>
  </si>
  <si>
    <t>10966</t>
  </si>
  <si>
    <t>10967</t>
  </si>
  <si>
    <t>10968</t>
  </si>
  <si>
    <t>10969</t>
  </si>
  <si>
    <t>10970/71</t>
  </si>
  <si>
    <t>10972/73</t>
  </si>
  <si>
    <t>10974</t>
  </si>
  <si>
    <t>10975</t>
  </si>
  <si>
    <t>10976</t>
  </si>
  <si>
    <t xml:space="preserve">S.012 </t>
  </si>
  <si>
    <t>10977</t>
  </si>
  <si>
    <t>10978</t>
  </si>
  <si>
    <t>10979</t>
  </si>
  <si>
    <t>10980</t>
  </si>
  <si>
    <t xml:space="preserve">KW 41/7393 HED </t>
  </si>
  <si>
    <t>10981</t>
  </si>
  <si>
    <t>10982</t>
  </si>
  <si>
    <t>10983</t>
  </si>
  <si>
    <t>10984</t>
  </si>
  <si>
    <t>10985</t>
  </si>
  <si>
    <t>10987</t>
  </si>
  <si>
    <t>10988</t>
  </si>
  <si>
    <t>10989</t>
  </si>
  <si>
    <t>10990</t>
  </si>
  <si>
    <t>10991</t>
  </si>
  <si>
    <t>10992</t>
  </si>
  <si>
    <t>10994</t>
  </si>
  <si>
    <t>10995</t>
  </si>
  <si>
    <t>10996</t>
  </si>
  <si>
    <t>10997</t>
  </si>
  <si>
    <t>10998</t>
  </si>
  <si>
    <t>10999</t>
  </si>
  <si>
    <t>11000</t>
  </si>
  <si>
    <t>10612</t>
  </si>
  <si>
    <t>10651</t>
  </si>
  <si>
    <t>10652</t>
  </si>
  <si>
    <t>10653</t>
  </si>
  <si>
    <t>10655</t>
  </si>
  <si>
    <t>10657</t>
  </si>
  <si>
    <t>10659/60</t>
  </si>
  <si>
    <t>10662</t>
  </si>
  <si>
    <t>10663</t>
  </si>
  <si>
    <t>10664</t>
  </si>
  <si>
    <t>10665</t>
  </si>
  <si>
    <t>10668</t>
  </si>
  <si>
    <t>10669</t>
  </si>
  <si>
    <t>10670</t>
  </si>
  <si>
    <t>10672</t>
  </si>
  <si>
    <t>10673</t>
  </si>
  <si>
    <t>10674</t>
  </si>
  <si>
    <t>10675</t>
  </si>
  <si>
    <t>10676</t>
  </si>
  <si>
    <t>10678</t>
  </si>
  <si>
    <t>10679</t>
  </si>
  <si>
    <t>10680</t>
  </si>
  <si>
    <t>10681</t>
  </si>
  <si>
    <t>10682</t>
  </si>
  <si>
    <t>10683</t>
  </si>
  <si>
    <t>10684</t>
  </si>
  <si>
    <t>10685</t>
  </si>
  <si>
    <t>10687</t>
  </si>
  <si>
    <t>10688</t>
  </si>
  <si>
    <t>10690</t>
  </si>
  <si>
    <t>10689/91</t>
  </si>
  <si>
    <t>10693</t>
  </si>
  <si>
    <t>10695</t>
  </si>
  <si>
    <t>08895</t>
  </si>
  <si>
    <t>08883</t>
  </si>
  <si>
    <t>08885</t>
  </si>
  <si>
    <t>0083</t>
  </si>
  <si>
    <t>0085</t>
  </si>
  <si>
    <t>0086</t>
  </si>
  <si>
    <t>0084</t>
  </si>
  <si>
    <t>7506</t>
  </si>
  <si>
    <t>7488</t>
  </si>
  <si>
    <t>7310</t>
  </si>
  <si>
    <t>22-0-9-24</t>
  </si>
  <si>
    <t>3000001196-A</t>
  </si>
  <si>
    <t>ADJUSTABLE PROP JACK-4.10-MTR</t>
  </si>
  <si>
    <t>5000000005</t>
  </si>
  <si>
    <t>42748</t>
  </si>
  <si>
    <t>45775</t>
  </si>
  <si>
    <t>42743</t>
  </si>
  <si>
    <t>42742</t>
  </si>
  <si>
    <t>42738</t>
  </si>
  <si>
    <t>42731</t>
  </si>
  <si>
    <t>42730</t>
  </si>
  <si>
    <t>42727</t>
  </si>
  <si>
    <t>42726</t>
  </si>
  <si>
    <t>Meterials Discripation</t>
  </si>
  <si>
    <t>Item Code</t>
  </si>
  <si>
    <t>Sl No.</t>
  </si>
  <si>
    <t>10696</t>
  </si>
  <si>
    <t>0968</t>
  </si>
  <si>
    <t>0971</t>
  </si>
  <si>
    <t>DIFFER</t>
  </si>
  <si>
    <t>MATCH</t>
  </si>
  <si>
    <t>HILTI</t>
  </si>
  <si>
    <t>0089</t>
  </si>
  <si>
    <t>0090</t>
  </si>
  <si>
    <t>0091</t>
  </si>
  <si>
    <t>0092</t>
  </si>
  <si>
    <t>0093</t>
  </si>
  <si>
    <t>10697</t>
  </si>
  <si>
    <t>0094</t>
  </si>
  <si>
    <t>0095</t>
  </si>
  <si>
    <t>JUBAIL YARD</t>
  </si>
  <si>
    <t>0913</t>
  </si>
  <si>
    <t>0984</t>
  </si>
  <si>
    <t>ABU DHABI (P24)</t>
  </si>
  <si>
    <t>0914</t>
  </si>
  <si>
    <t>0096</t>
  </si>
  <si>
    <t>0097</t>
  </si>
  <si>
    <t>0098</t>
  </si>
  <si>
    <t>0099</t>
  </si>
  <si>
    <t>0100</t>
  </si>
  <si>
    <t>0101</t>
  </si>
  <si>
    <t>STEEL WAILING 1.8 MTR</t>
  </si>
  <si>
    <t>3000001802</t>
  </si>
  <si>
    <t>DOKA BEAM-H20N-1.00-MTR</t>
  </si>
  <si>
    <t>PERI MULTI PANEL DMP 135 CM X 30 CM</t>
  </si>
  <si>
    <t>PERI MULTI PANEL DMP 135 CM X 10 CM</t>
  </si>
  <si>
    <t>0102</t>
  </si>
  <si>
    <t>0977</t>
  </si>
  <si>
    <t>1004</t>
  </si>
  <si>
    <t>11226</t>
  </si>
  <si>
    <t>11227</t>
  </si>
  <si>
    <t>0104</t>
  </si>
  <si>
    <t>S013 TO S015</t>
  </si>
  <si>
    <t>1188-15</t>
  </si>
  <si>
    <t>1188-19</t>
  </si>
  <si>
    <t>1192</t>
  </si>
  <si>
    <t>1191</t>
  </si>
  <si>
    <t>11230</t>
  </si>
  <si>
    <t>11228</t>
  </si>
  <si>
    <t>0103</t>
  </si>
  <si>
    <t>0998</t>
  </si>
  <si>
    <t>1008</t>
  </si>
  <si>
    <t>0105</t>
  </si>
  <si>
    <t>0106</t>
  </si>
  <si>
    <t>#111587597</t>
  </si>
  <si>
    <t>#111588450</t>
  </si>
  <si>
    <t>#111589042</t>
  </si>
  <si>
    <t>0922</t>
  </si>
  <si>
    <t>0923</t>
  </si>
  <si>
    <t>0924</t>
  </si>
  <si>
    <t>107</t>
  </si>
  <si>
    <t>EXCEL</t>
  </si>
  <si>
    <t>0928</t>
  </si>
  <si>
    <t>108</t>
  </si>
  <si>
    <t>929</t>
  </si>
  <si>
    <t>930</t>
  </si>
  <si>
    <t>931</t>
  </si>
  <si>
    <t>DAMMAM S20 SCAFFOLDING</t>
  </si>
  <si>
    <t>932</t>
  </si>
  <si>
    <t>DAMAGE 
MATERIAL</t>
  </si>
  <si>
    <t>IN ABQAIQ 
YARD</t>
  </si>
  <si>
    <t>933</t>
  </si>
  <si>
    <t>934</t>
  </si>
  <si>
    <t>935</t>
  </si>
  <si>
    <t>936</t>
  </si>
  <si>
    <t>937</t>
  </si>
  <si>
    <t>938</t>
  </si>
  <si>
    <t>0109</t>
  </si>
  <si>
    <t>939</t>
  </si>
  <si>
    <t>941</t>
  </si>
  <si>
    <t>943</t>
  </si>
  <si>
    <t>944</t>
  </si>
  <si>
    <t>945</t>
  </si>
  <si>
    <t>946</t>
  </si>
  <si>
    <t>947</t>
  </si>
  <si>
    <t>0110</t>
  </si>
  <si>
    <t>948</t>
  </si>
  <si>
    <t>11231</t>
  </si>
  <si>
    <t>949</t>
  </si>
  <si>
    <t>950</t>
  </si>
  <si>
    <t>1406</t>
  </si>
  <si>
    <t>1407</t>
  </si>
  <si>
    <t>1408</t>
  </si>
  <si>
    <t>1409</t>
  </si>
  <si>
    <t>1410</t>
  </si>
  <si>
    <t>LEDGER-3.50-MTR</t>
  </si>
  <si>
    <t>1411</t>
  </si>
  <si>
    <t>1412</t>
  </si>
  <si>
    <t>1415</t>
  </si>
  <si>
    <t>1413</t>
  </si>
  <si>
    <t>1414</t>
  </si>
  <si>
    <t>WOODEN PLANKS-0.75-MTR</t>
  </si>
  <si>
    <t>1416</t>
  </si>
  <si>
    <t>S020</t>
  </si>
  <si>
    <t>1418</t>
  </si>
  <si>
    <t>1419</t>
  </si>
  <si>
    <t>1420</t>
  </si>
  <si>
    <t>1421</t>
  </si>
  <si>
    <t>1422</t>
  </si>
  <si>
    <t>1423</t>
  </si>
  <si>
    <t>ABQAIQ YARD MATERIAL</t>
  </si>
  <si>
    <t>MATERIAL IN PROJECTS</t>
  </si>
  <si>
    <t>ALL OVER  MATERIAL</t>
  </si>
  <si>
    <t>1426</t>
  </si>
  <si>
    <t>1428</t>
  </si>
  <si>
    <t>UNIT</t>
  </si>
  <si>
    <t>1429</t>
  </si>
  <si>
    <t>1424</t>
  </si>
  <si>
    <t>1425</t>
  </si>
  <si>
    <t>1432</t>
  </si>
  <si>
    <t>HERE ONLY THE ENTRY WHICH IS OUT FROM ABQAIQ YARD</t>
  </si>
  <si>
    <t>1433</t>
  </si>
  <si>
    <t>1434</t>
  </si>
  <si>
    <t>1435</t>
  </si>
  <si>
    <t>1436</t>
  </si>
  <si>
    <t>1437</t>
  </si>
  <si>
    <t>1438</t>
  </si>
  <si>
    <t>1431</t>
  </si>
  <si>
    <t>0851</t>
  </si>
  <si>
    <t>0852</t>
  </si>
  <si>
    <t>1440</t>
  </si>
  <si>
    <t>1441</t>
  </si>
  <si>
    <t>11232</t>
  </si>
  <si>
    <t>11233</t>
  </si>
  <si>
    <t>1442</t>
  </si>
  <si>
    <t>1444</t>
  </si>
  <si>
    <t>11234</t>
  </si>
  <si>
    <t>1445</t>
  </si>
  <si>
    <t>1446</t>
  </si>
  <si>
    <t>1447</t>
  </si>
  <si>
    <t>1448</t>
  </si>
  <si>
    <t>1449</t>
  </si>
  <si>
    <t>1450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</si>
  <si>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</si>
  <si>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</si>
  <si>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</si>
  <si>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</si>
  <si>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</si>
  <si>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</si>
  <si>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</si>
  <si>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</si>
  <si>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</si>
  <si>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6113</t>
  </si>
  <si>
    <t>6114</t>
  </si>
  <si>
    <t>6115</t>
  </si>
  <si>
    <t>6116</t>
  </si>
  <si>
    <t>6117</t>
  </si>
  <si>
    <t>6118</t>
  </si>
  <si>
    <t>6119</t>
  </si>
  <si>
    <t>6120</t>
  </si>
  <si>
    <t>6121</t>
  </si>
  <si>
    <t>6122</t>
  </si>
  <si>
    <t>6123</t>
  </si>
  <si>
    <t>6124</t>
  </si>
  <si>
    <t>11235</t>
  </si>
  <si>
    <t>6125</t>
  </si>
  <si>
    <t>6126</t>
  </si>
  <si>
    <t>6127</t>
  </si>
  <si>
    <t>6129</t>
  </si>
  <si>
    <t>6130</t>
  </si>
  <si>
    <t>6131</t>
  </si>
  <si>
    <t>11236</t>
  </si>
  <si>
    <t>6128</t>
  </si>
  <si>
    <t>6133</t>
  </si>
  <si>
    <t>6135</t>
  </si>
  <si>
    <t>6136</t>
  </si>
  <si>
    <t>10700</t>
  </si>
  <si>
    <t>6134</t>
  </si>
  <si>
    <t>6137</t>
  </si>
  <si>
    <t>6138</t>
  </si>
  <si>
    <t>0111</t>
  </si>
  <si>
    <t>0112</t>
  </si>
  <si>
    <t>0113</t>
  </si>
  <si>
    <t>6141</t>
  </si>
  <si>
    <t>6140</t>
  </si>
  <si>
    <t>RED BRACING TUBE-3.2MMX3.50-MTR</t>
  </si>
  <si>
    <t>RED BRACING TUBE-3.2MMX2.50-MTR</t>
  </si>
  <si>
    <t>RED BRACING TUBE-3.2MMX1.00-MTR</t>
  </si>
  <si>
    <t>11237</t>
  </si>
  <si>
    <t>ABQ-S012-0001</t>
  </si>
  <si>
    <t>TOTAL
 WEIGHT PER UNIT</t>
  </si>
  <si>
    <t>0929</t>
  </si>
  <si>
    <t>0930</t>
  </si>
  <si>
    <t>0931</t>
  </si>
  <si>
    <t>0932</t>
  </si>
  <si>
    <t>0933</t>
  </si>
  <si>
    <t>0934</t>
  </si>
  <si>
    <t>0935</t>
  </si>
  <si>
    <t>0936</t>
  </si>
  <si>
    <t>0937</t>
  </si>
  <si>
    <t>0938</t>
  </si>
  <si>
    <t>0939</t>
  </si>
  <si>
    <t>0941</t>
  </si>
  <si>
    <t>0943</t>
  </si>
  <si>
    <t>0944</t>
  </si>
  <si>
    <t>0945</t>
  </si>
  <si>
    <t>0946</t>
  </si>
  <si>
    <t>0947</t>
  </si>
  <si>
    <t>0948</t>
  </si>
  <si>
    <t>0949</t>
  </si>
  <si>
    <t>0950</t>
  </si>
  <si>
    <t>S013-ABQ-0001</t>
  </si>
  <si>
    <t>JUB-S022-0001</t>
  </si>
  <si>
    <t>3000003827</t>
  </si>
  <si>
    <t>SCAFF.</t>
  </si>
  <si>
    <t>CIVIL</t>
  </si>
  <si>
    <t>ITEM
TYPE</t>
  </si>
  <si>
    <t>TONS--&gt;</t>
  </si>
  <si>
    <t xml:space="preserve"> Amiral Project </t>
  </si>
  <si>
    <t>ORCP-HYU-0001</t>
  </si>
  <si>
    <t>ORCP-HYU-0002</t>
  </si>
  <si>
    <t>ORCP-HYU-0003</t>
  </si>
  <si>
    <t>ORCP-HYU-0004</t>
  </si>
  <si>
    <t>ORCP-HYU-0005</t>
  </si>
  <si>
    <t>ORCP-HYU-0006</t>
  </si>
  <si>
    <t>ABQ-S022-0002</t>
  </si>
  <si>
    <t>ORCP-HYU-0007</t>
  </si>
  <si>
    <t>ORCP-HYU-0008</t>
  </si>
  <si>
    <t>ORCP-HYU-0009</t>
  </si>
  <si>
    <t>ORCP-HYU-0010</t>
  </si>
  <si>
    <t>Total Q'ty</t>
  </si>
  <si>
    <t>Priority</t>
  </si>
  <si>
    <t>4th</t>
  </si>
  <si>
    <t>1st</t>
  </si>
  <si>
    <t>2nd</t>
  </si>
  <si>
    <t>3rd</t>
  </si>
  <si>
    <t>S013-ABQ-0002</t>
  </si>
  <si>
    <t>S013-ABQ-0003</t>
  </si>
  <si>
    <t>ORCP-HYU-0011</t>
  </si>
  <si>
    <t>Balance Material</t>
  </si>
  <si>
    <t>Sent Material</t>
  </si>
  <si>
    <t>Remarks</t>
  </si>
  <si>
    <t>Code</t>
  </si>
  <si>
    <t>Material Name</t>
  </si>
  <si>
    <t>Location</t>
  </si>
  <si>
    <t>Abqaiq yard</t>
  </si>
  <si>
    <t>Jubail yard</t>
  </si>
  <si>
    <t>Tons --------&gt;</t>
  </si>
  <si>
    <t>ORCP-HYU-0012</t>
  </si>
  <si>
    <t>ORCP-HYU-0013</t>
  </si>
  <si>
    <t>#118323057</t>
  </si>
  <si>
    <t>#118323194</t>
  </si>
  <si>
    <t>CHECK WITH MURGAN</t>
  </si>
  <si>
    <t>#118324072</t>
  </si>
  <si>
    <t>#118324248</t>
  </si>
  <si>
    <t>#116440802</t>
  </si>
  <si>
    <t>ORCP-HYU-0014</t>
  </si>
  <si>
    <t>ORCP-HYU-0015</t>
  </si>
  <si>
    <t>ORCP-HYU-0016</t>
  </si>
  <si>
    <t>All Item delivered</t>
  </si>
  <si>
    <t>ORCP-HYU-0017</t>
  </si>
  <si>
    <t>ORCP-HYU-0019</t>
  </si>
  <si>
    <t>ORCP-HYU-0020</t>
  </si>
  <si>
    <t>ORCP-HYU-0018</t>
  </si>
  <si>
    <t>ORCP-HYU-0021</t>
  </si>
  <si>
    <t>ORCP-HYU-0022</t>
  </si>
  <si>
    <t>ORCP-HYU-0023</t>
  </si>
  <si>
    <t> STANDARD 2.00 MTR.</t>
  </si>
  <si>
    <t>29-01-2025</t>
  </si>
  <si>
    <t>upto 12-11-24</t>
  </si>
  <si>
    <t>S013-ABQ-0004</t>
  </si>
  <si>
    <t>ABQAIQ-0110</t>
  </si>
  <si>
    <t>ABQAIQ-0109</t>
  </si>
  <si>
    <t>ABQAIQ-0108</t>
  </si>
  <si>
    <t>ABQAIQ-0107</t>
  </si>
  <si>
    <t>JAFFURAH-0106</t>
  </si>
  <si>
    <t>ABQAIQ-0105</t>
  </si>
  <si>
    <t>JAFFURAH-0104</t>
  </si>
  <si>
    <t>ABQAIQ-0103</t>
  </si>
  <si>
    <t>ABQAIQ-0102</t>
  </si>
  <si>
    <t>ABQAIQ-0101</t>
  </si>
  <si>
    <t>ABQAIQ-0100</t>
  </si>
  <si>
    <t>ABQAIQ-0099</t>
  </si>
  <si>
    <t>ABQAIQ-0098</t>
  </si>
  <si>
    <t>ABQAIQ-0097</t>
  </si>
  <si>
    <t>ABQAIQ-0096</t>
  </si>
  <si>
    <t>ABQAIQ-0095</t>
  </si>
  <si>
    <t>ABQAIQ-0094</t>
  </si>
  <si>
    <t>ABQAIQ-0093</t>
  </si>
  <si>
    <t>ABQAIQ-0092</t>
  </si>
  <si>
    <t>ABQAIQ-0091</t>
  </si>
  <si>
    <t>ABQAIQ-0090</t>
  </si>
  <si>
    <t>ABQAIQ-0089</t>
  </si>
  <si>
    <t>ABQAIQ-0088</t>
  </si>
  <si>
    <t>ABQAIQ-0087</t>
  </si>
  <si>
    <t>JAFFURAH-0086</t>
  </si>
  <si>
    <t>JAFFURAH-0085</t>
  </si>
  <si>
    <t>JAFFURAH-0084</t>
  </si>
  <si>
    <t>JAFFURAH-0083</t>
  </si>
  <si>
    <t>ABQAIQ-0082</t>
  </si>
  <si>
    <t>ABQAIQ-0081</t>
  </si>
  <si>
    <t>ABQAIQ-0080</t>
  </si>
  <si>
    <t>JUBAIL-0079</t>
  </si>
  <si>
    <t>ABQAIQ-0078</t>
  </si>
  <si>
    <t>JUBAIL-0077</t>
  </si>
  <si>
    <t>ABQAIQ-0076</t>
  </si>
  <si>
    <t>ABQAIQ-0075</t>
  </si>
  <si>
    <t>ABQAIQ-0074</t>
  </si>
  <si>
    <t>JAFFURAH-0072</t>
  </si>
  <si>
    <t>JAFFURAH-0071</t>
  </si>
  <si>
    <t>JAFFURAH-0070</t>
  </si>
  <si>
    <t>JAFFURAH-0069</t>
  </si>
  <si>
    <t>JAFFURAH-0068</t>
  </si>
  <si>
    <t>JAFFURAH-0067</t>
  </si>
  <si>
    <t>JAFFURAH-0066</t>
  </si>
  <si>
    <t>JAFFURAH-0065</t>
  </si>
  <si>
    <t>JAFFURAH-0064</t>
  </si>
  <si>
    <t>JAFFURAH-0063</t>
  </si>
  <si>
    <t>JAFFURAH-0062</t>
  </si>
  <si>
    <t>JAFFURAH-0061</t>
  </si>
  <si>
    <t>JAFFURAH-0060</t>
  </si>
  <si>
    <t>JAFFURAH-0059</t>
  </si>
  <si>
    <t>JAFFURAH-0058</t>
  </si>
  <si>
    <t>JAFFURAH-0057</t>
  </si>
  <si>
    <t>JAFFURAH-0056</t>
  </si>
  <si>
    <t>JAFFURAH-0055</t>
  </si>
  <si>
    <t>JAFFURAH-0054</t>
  </si>
  <si>
    <t>JAFFURAH-0053</t>
  </si>
  <si>
    <t>JAFFURAH-0052</t>
  </si>
  <si>
    <t>JAFFURAH-0051</t>
  </si>
  <si>
    <t>JAFFURAH-08900</t>
  </si>
  <si>
    <t>JAFFURAH-08899</t>
  </si>
  <si>
    <t>JAFFURAH-08898</t>
  </si>
  <si>
    <t>JAFFURAH-08897</t>
  </si>
  <si>
    <t>JAFFURAH-08896</t>
  </si>
  <si>
    <t>JAFFURAH-08895</t>
  </si>
  <si>
    <t>JAFFURAH-08894</t>
  </si>
  <si>
    <t>JAFFURAH-08893</t>
  </si>
  <si>
    <t>JAFFURAH-08892</t>
  </si>
  <si>
    <t>JAFFURAH-08891</t>
  </si>
  <si>
    <t>JAFFURAH-08890</t>
  </si>
  <si>
    <t>JAFFURAH-08889</t>
  </si>
  <si>
    <t>JAFFURAH-08888</t>
  </si>
  <si>
    <t>JAFFURAH-08887</t>
  </si>
  <si>
    <t>JAFFURAH-08886</t>
  </si>
  <si>
    <t>JAFFURAH-08885</t>
  </si>
  <si>
    <t>JAFFURAH-08884</t>
  </si>
  <si>
    <t>JAFFURAH-08883</t>
  </si>
  <si>
    <t>JUBAIL-08882</t>
  </si>
  <si>
    <t>JUBAIL-08881</t>
  </si>
  <si>
    <t>JUBAIL-08880</t>
  </si>
  <si>
    <t>JUBAIL-08879</t>
  </si>
  <si>
    <t>JUBAIL-08878</t>
  </si>
  <si>
    <t>JUBAIL-08877</t>
  </si>
  <si>
    <t>JUBAIL-08876</t>
  </si>
  <si>
    <t>JUBAIL-08875</t>
  </si>
  <si>
    <t>JUBAIL-08874</t>
  </si>
  <si>
    <t>JUBAIL-08873</t>
  </si>
  <si>
    <t>JUBAIL-08872</t>
  </si>
  <si>
    <t>JUBAIL-08871</t>
  </si>
  <si>
    <t>JUBAIL-08870</t>
  </si>
  <si>
    <t>JUBAIL-08869</t>
  </si>
  <si>
    <t>JUBAIL-08868</t>
  </si>
  <si>
    <t>JUBAIL-08866</t>
  </si>
  <si>
    <t>JUBAIL-08864</t>
  </si>
  <si>
    <t>JUBAIL-08863</t>
  </si>
  <si>
    <t>JUBAIL-08861</t>
  </si>
  <si>
    <t>JUBAIL-08862</t>
  </si>
  <si>
    <t>JUBAIL-08860</t>
  </si>
  <si>
    <t>JUBAIL-08859</t>
  </si>
  <si>
    <t>JUBAIL-08858</t>
  </si>
  <si>
    <t>JUBAIL-08857</t>
  </si>
  <si>
    <t>JUBAIL-08856</t>
  </si>
  <si>
    <t>JUBAIL-08855</t>
  </si>
  <si>
    <t>JUBAIL-08854</t>
  </si>
  <si>
    <t>JUBAIL-08853</t>
  </si>
  <si>
    <t>JUBAIL-08852</t>
  </si>
  <si>
    <t>JUBAIL-08851</t>
  </si>
  <si>
    <t>JUBAIL-10800</t>
  </si>
  <si>
    <t>JUBAIL-10799</t>
  </si>
  <si>
    <t>JUBAIL-10798</t>
  </si>
  <si>
    <t>JUBAIL-10797</t>
  </si>
  <si>
    <t>JUBAIL-10796</t>
  </si>
  <si>
    <t>JUBAIL-10794</t>
  </si>
  <si>
    <t>JUBAIL-10793</t>
  </si>
  <si>
    <t>JUBAIL-10792</t>
  </si>
  <si>
    <t>JUBAIL-10791</t>
  </si>
  <si>
    <t>JUBAIL-10790</t>
  </si>
  <si>
    <t>JUBAIL-10789</t>
  </si>
  <si>
    <t>JUBAIL-10787</t>
  </si>
  <si>
    <t>JUBAIL-10786</t>
  </si>
  <si>
    <t>JUBAIL-10785</t>
  </si>
  <si>
    <t>JUBAIL-10784</t>
  </si>
  <si>
    <t>JUBAIL-10783</t>
  </si>
  <si>
    <t>JUBAIL-10782</t>
  </si>
  <si>
    <t>JUBAIL-10781</t>
  </si>
  <si>
    <t>JUBAIL-10780</t>
  </si>
  <si>
    <t>JUBAIL-10779</t>
  </si>
  <si>
    <t>JUBAIL-10778</t>
  </si>
  <si>
    <t>JUBAIL-10777</t>
  </si>
  <si>
    <t>JUBAIL-10776</t>
  </si>
  <si>
    <t>JUBAIL-10775</t>
  </si>
  <si>
    <t>JUBAIL-10774</t>
  </si>
  <si>
    <t>JUBAIL-10772</t>
  </si>
  <si>
    <t>JUBAIL-10771</t>
  </si>
  <si>
    <t>JUBAIL-10770</t>
  </si>
  <si>
    <t>JUBAIL-10769</t>
  </si>
  <si>
    <t>JUBAIL-10768</t>
  </si>
  <si>
    <t>JUBAIL-10767</t>
  </si>
  <si>
    <t>JUBAIL-10766</t>
  </si>
  <si>
    <t>JUBAIL-10765</t>
  </si>
  <si>
    <t>JUBAIL-10764</t>
  </si>
  <si>
    <t>JUBAIL-10763</t>
  </si>
  <si>
    <t>JUBAIL-10762</t>
  </si>
  <si>
    <t>JUBAIL-10761</t>
  </si>
  <si>
    <t>JUBAIL-10760</t>
  </si>
  <si>
    <t>JUBAIL-10759</t>
  </si>
  <si>
    <t>JUBAIL-10758</t>
  </si>
  <si>
    <t>JUBAIL-10757</t>
  </si>
  <si>
    <t>JUBAIL-10756</t>
  </si>
  <si>
    <t>JUBAIL-10755</t>
  </si>
  <si>
    <t>JUBAIL-10754</t>
  </si>
  <si>
    <t>JUBAIL-10753</t>
  </si>
  <si>
    <t>JUBAIL-10752</t>
  </si>
  <si>
    <t>JUBAIL-10751</t>
  </si>
  <si>
    <t>JUBAIL-10750</t>
  </si>
  <si>
    <t>JUBAIL-10749</t>
  </si>
  <si>
    <t>JUBAIL-10748</t>
  </si>
  <si>
    <t>JUBAIL-10747</t>
  </si>
  <si>
    <t>JUBAIL-10746</t>
  </si>
  <si>
    <t>JUBAIL-10745</t>
  </si>
  <si>
    <t>JUBAIL-10744</t>
  </si>
  <si>
    <t>JUBAIL-10743</t>
  </si>
  <si>
    <t>JUBAIL-10742</t>
  </si>
  <si>
    <t>JUBAIL-10741</t>
  </si>
  <si>
    <t>JUBAIL-10740</t>
  </si>
  <si>
    <t>JUBAIL-10739</t>
  </si>
  <si>
    <t>JUBAIL-10738</t>
  </si>
  <si>
    <t>JUBAIL-10737</t>
  </si>
  <si>
    <t>JUBAIL-10736</t>
  </si>
  <si>
    <t>JUBAIL-10735</t>
  </si>
  <si>
    <t>JUBAIL-10734</t>
  </si>
  <si>
    <t>JUBAIL-10733</t>
  </si>
  <si>
    <t>JUBAIL-10732</t>
  </si>
  <si>
    <t>JUBAIL-10731</t>
  </si>
  <si>
    <t>JUBAIL-10730</t>
  </si>
  <si>
    <t>JUBAIL-10729</t>
  </si>
  <si>
    <t>JUBAIL-10728</t>
  </si>
  <si>
    <t>JUBAIL-10727</t>
  </si>
  <si>
    <t>JUBAIL-10726</t>
  </si>
  <si>
    <t>JUBAIL-10725</t>
  </si>
  <si>
    <t>JUBAIL-10724</t>
  </si>
  <si>
    <t>JUBAIL-10723</t>
  </si>
  <si>
    <t>JUBAIL-10722</t>
  </si>
  <si>
    <t>JUBAIL-10721</t>
  </si>
  <si>
    <t>JUBAIL-10720</t>
  </si>
  <si>
    <t>JUBAIL-10719</t>
  </si>
  <si>
    <t>JUBAIL-10718</t>
  </si>
  <si>
    <t>JUBAIL-10717</t>
  </si>
  <si>
    <t>JUBAIL-10716</t>
  </si>
  <si>
    <t>JUBAIL-10715</t>
  </si>
  <si>
    <t>JUBAIL-10714</t>
  </si>
  <si>
    <t>JUBAIL-10713</t>
  </si>
  <si>
    <t>JUBAIL-10712</t>
  </si>
  <si>
    <t>JUBAIL-10711</t>
  </si>
  <si>
    <t>JUBAIL-10710</t>
  </si>
  <si>
    <t>JUBAIL-10709</t>
  </si>
  <si>
    <t>JUBAIL-10708</t>
  </si>
  <si>
    <t>JUBAIL-10707</t>
  </si>
  <si>
    <t>JUBAIL-10706</t>
  </si>
  <si>
    <t>JUBAIL-10705</t>
  </si>
  <si>
    <t>JUBAIL-10704</t>
  </si>
  <si>
    <t>JUBAIL-10703</t>
  </si>
  <si>
    <t>JUBAIL-10702</t>
  </si>
  <si>
    <t>JUBAIL-10701</t>
  </si>
  <si>
    <t>JUBAIL-11100</t>
  </si>
  <si>
    <t>JUBAIL-11099</t>
  </si>
  <si>
    <t>JUBAIL-11098</t>
  </si>
  <si>
    <t>JUBAIL-11097</t>
  </si>
  <si>
    <t>JUBAIL-11096</t>
  </si>
  <si>
    <t>JUBAIL-11095</t>
  </si>
  <si>
    <t>JUBAIL-11094</t>
  </si>
  <si>
    <t>JUBAIL-11093</t>
  </si>
  <si>
    <t>JUBAIL-11092</t>
  </si>
  <si>
    <t>JUBAIL-11091</t>
  </si>
  <si>
    <t>JUBAIL-11090</t>
  </si>
  <si>
    <t>JUBAIL-11089</t>
  </si>
  <si>
    <t>JUBAIL-11088</t>
  </si>
  <si>
    <t>JUBAIL-11087</t>
  </si>
  <si>
    <t>JUBAIL-11086</t>
  </si>
  <si>
    <t>JUBAIL-11085</t>
  </si>
  <si>
    <t>JUBAIL-11084</t>
  </si>
  <si>
    <t>JUBAIL-11083</t>
  </si>
  <si>
    <t>JUBAIL-11082</t>
  </si>
  <si>
    <t>JUBAIL-11081</t>
  </si>
  <si>
    <t>JUBAIL-11080</t>
  </si>
  <si>
    <t>JUBAIL-11709</t>
  </si>
  <si>
    <t>JUBAIL-11708</t>
  </si>
  <si>
    <t>JUBAIL-11707</t>
  </si>
  <si>
    <t>JUBAIL-11706</t>
  </si>
  <si>
    <t>JUBAIL-11705</t>
  </si>
  <si>
    <t>JUBAIL-11074</t>
  </si>
  <si>
    <t>JUBAIL-11073</t>
  </si>
  <si>
    <t>JUBAIL-11072</t>
  </si>
  <si>
    <t>JUBAIL-11071</t>
  </si>
  <si>
    <t>JUBAIL-11070</t>
  </si>
  <si>
    <t>JUBAIL-11069</t>
  </si>
  <si>
    <t>JUBAIL -11068</t>
  </si>
  <si>
    <t>JUBAIL-11067</t>
  </si>
  <si>
    <t>JUBAIL-11066</t>
  </si>
  <si>
    <t>JUBAIL-11065</t>
  </si>
  <si>
    <t>JUBAIL-11064</t>
  </si>
  <si>
    <t>JUBAIL-11063</t>
  </si>
  <si>
    <t>JUBAIL-11062</t>
  </si>
  <si>
    <t>JUBAIL-11061</t>
  </si>
  <si>
    <t>JUBAIL -11060</t>
  </si>
  <si>
    <t>JUBAIL-11059</t>
  </si>
  <si>
    <t>JUBAIL -11058</t>
  </si>
  <si>
    <t>JUBAIL-11057</t>
  </si>
  <si>
    <t>JUBAIL-11056</t>
  </si>
  <si>
    <t>JUBAIL-11055</t>
  </si>
  <si>
    <t>JUBAIL-11054</t>
  </si>
  <si>
    <t>JUBAIL-11053</t>
  </si>
  <si>
    <t>JUBAIL-11052</t>
  </si>
  <si>
    <t>JUBAIL-11051</t>
  </si>
  <si>
    <t>JUBAIL-11050</t>
  </si>
  <si>
    <t>JUBAIL-11049</t>
  </si>
  <si>
    <t>JUBAIL-11048</t>
  </si>
  <si>
    <t>JUBAIL-11047</t>
  </si>
  <si>
    <t>JUBAIL-11046</t>
  </si>
  <si>
    <t>JUBAIL-11045</t>
  </si>
  <si>
    <t>JUBAIL-11044</t>
  </si>
  <si>
    <t>JUBAIL-11043</t>
  </si>
  <si>
    <t>JUBAIL-</t>
  </si>
  <si>
    <t>JUBAIL-11041</t>
  </si>
  <si>
    <t>JUBAIL-11040</t>
  </si>
  <si>
    <t>JUBAIL-11039</t>
  </si>
  <si>
    <t>JUBAIL-11037</t>
  </si>
  <si>
    <t>JUBAIL-11036</t>
  </si>
  <si>
    <t>JUBAIL-11035</t>
  </si>
  <si>
    <t>JUBAIL-11034</t>
  </si>
  <si>
    <t>JUBAIL-11033</t>
  </si>
  <si>
    <t>JUBAIL-11032</t>
  </si>
  <si>
    <t>JUBAIL-11031</t>
  </si>
  <si>
    <t>JUBAIL-11030</t>
  </si>
  <si>
    <t>JUBAIL-11029</t>
  </si>
  <si>
    <t>JUBAIL-11028</t>
  </si>
  <si>
    <t>JUBAIL-11027</t>
  </si>
  <si>
    <t>JUBAIL-11026</t>
  </si>
  <si>
    <t>JUBAIL-11025</t>
  </si>
  <si>
    <t>JUBAIL-11024</t>
  </si>
  <si>
    <t>JUBAIL-11023</t>
  </si>
  <si>
    <t>JUBAIL-11022</t>
  </si>
  <si>
    <t>JUBAIL-11021</t>
  </si>
  <si>
    <t>JUBAIL-11020</t>
  </si>
  <si>
    <t>JUBAIL-11019</t>
  </si>
  <si>
    <t>JUBAIL-11018</t>
  </si>
  <si>
    <t>JUBAIL-11017</t>
  </si>
  <si>
    <t>JUBAIL-11016</t>
  </si>
  <si>
    <t>JUBAIL-11015</t>
  </si>
  <si>
    <t>JUBAIL-11014</t>
  </si>
  <si>
    <t>JUBAIL-11013</t>
  </si>
  <si>
    <t>JUBAIL-11012</t>
  </si>
  <si>
    <t>JUBAIL-11011</t>
  </si>
  <si>
    <t>JUBAIL-11010</t>
  </si>
  <si>
    <t>JUBAIL-11009</t>
  </si>
  <si>
    <t>JUBAIL 11008</t>
  </si>
  <si>
    <t>JUBAIL-11007</t>
  </si>
  <si>
    <t>JUBAIL-11006</t>
  </si>
  <si>
    <t>JUBAIL-11005</t>
  </si>
  <si>
    <t>JUBAIL-11004</t>
  </si>
  <si>
    <t xml:space="preserve">JUBAIL 11003 </t>
  </si>
  <si>
    <t xml:space="preserve">JUBAIL </t>
  </si>
  <si>
    <t>JUBAIL</t>
  </si>
  <si>
    <t>ABQAIQ</t>
  </si>
  <si>
    <t>SL NO.</t>
  </si>
  <si>
    <t>05-10-233</t>
  </si>
  <si>
    <t>13-1-124</t>
  </si>
  <si>
    <t>UNI 4174</t>
  </si>
  <si>
    <t>UNI 4182</t>
  </si>
  <si>
    <t>KW 6506</t>
  </si>
  <si>
    <t>KW 6516</t>
  </si>
  <si>
    <t>KW 6375</t>
  </si>
  <si>
    <t>KW 6697</t>
  </si>
  <si>
    <t>KW 6610</t>
  </si>
  <si>
    <t>KW 6611</t>
  </si>
  <si>
    <t>KW 6614</t>
  </si>
  <si>
    <t>UNI 4878</t>
  </si>
  <si>
    <t>KW 6612/13</t>
  </si>
  <si>
    <t>KW 6547</t>
  </si>
  <si>
    <t>KW 6548</t>
  </si>
  <si>
    <t>KW 6615</t>
  </si>
  <si>
    <t>KW 6616</t>
  </si>
  <si>
    <t>KW 6617</t>
  </si>
  <si>
    <t>KW 6618</t>
  </si>
  <si>
    <t>KW 6619</t>
  </si>
  <si>
    <t>KW 6694/94 Elmec</t>
  </si>
  <si>
    <t>KW 6695/95 Elmec/MBTC</t>
  </si>
  <si>
    <t>KW 6696/96 Elmec</t>
  </si>
  <si>
    <t>KW 6621 MBTC</t>
  </si>
  <si>
    <t>KW 6622 MBTC</t>
  </si>
  <si>
    <t>KW 6691 Elmec</t>
  </si>
  <si>
    <t>KW 6692/92 Elmec/MBTC</t>
  </si>
  <si>
    <t>KW 6693/93 Elmec/MBTC</t>
  </si>
  <si>
    <t>KW 6620/20 Elmec/MBTC</t>
  </si>
  <si>
    <t>KW 6625/51 Elmec</t>
  </si>
  <si>
    <t xml:space="preserve">KW 6652/6652 Elmec/MBTC </t>
  </si>
  <si>
    <t>KW 6687/6687 Elmec/MBTC</t>
  </si>
  <si>
    <t>KW 6689/6689 Elmec/MBTC</t>
  </si>
  <si>
    <t>KW 6623 Elmec</t>
  </si>
  <si>
    <t xml:space="preserve">KW 6628 MBTC </t>
  </si>
  <si>
    <t>KW 6627/6628 Elmec/MBTC</t>
  </si>
  <si>
    <t>KW 6688 Elmec</t>
  </si>
  <si>
    <t>KW 6624 Elmec</t>
  </si>
  <si>
    <t>KW 6685/6685 Elmec/MBTC</t>
  </si>
  <si>
    <t>KW 6686/6686 Elmec/MBTC</t>
  </si>
  <si>
    <t>KW 6684/6684 Elmec/MBTC-</t>
  </si>
  <si>
    <t>KW 6684/6684 Elmec/MBTC</t>
  </si>
  <si>
    <t>KW 6626/6632 Elmec/MBTC</t>
  </si>
  <si>
    <t>KW 6629/6683 Elmec/MBTC</t>
  </si>
  <si>
    <t>KW 6630 Elmec</t>
  </si>
  <si>
    <t>KW 6631/6631 Elmec/MBTC</t>
  </si>
  <si>
    <t>KW 6682 Elmec</t>
  </si>
  <si>
    <t>KW 6633/6633 Elmec/MBTC</t>
  </si>
  <si>
    <t>KW 6681/6681 Elmec/MBTC</t>
  </si>
  <si>
    <t>KW 6634 MBTC</t>
  </si>
  <si>
    <t>KW 6635/6635 Elmec/MBTC</t>
  </si>
  <si>
    <t>UNI 5073</t>
  </si>
  <si>
    <t>KW 6636 Elmec</t>
  </si>
  <si>
    <t>KW 6637 Elmec</t>
  </si>
  <si>
    <t>KW 6679/6679 Elmec/MBTC</t>
  </si>
  <si>
    <t>KW 6638 MBTC</t>
  </si>
  <si>
    <t>KW 6678 MBTC</t>
  </si>
  <si>
    <t>KW 6639 MBTC</t>
  </si>
  <si>
    <t>KW 6640 Elmec</t>
  </si>
  <si>
    <t>UNI 5098</t>
  </si>
  <si>
    <t>KW 6641 Elmec</t>
  </si>
  <si>
    <t>KW 6642 MBTC</t>
  </si>
  <si>
    <t>KW 6643 MBTC</t>
  </si>
  <si>
    <t>KW 6644 Elmec</t>
  </si>
  <si>
    <t>KW 6646/6646 Elmec/MBTC</t>
  </si>
  <si>
    <t>KW 6667/6667 Elmec/MBTC</t>
  </si>
  <si>
    <t>KW 6645 MBTC</t>
  </si>
  <si>
    <t>KW 6745/6746 Elmec/MBTC</t>
  </si>
  <si>
    <t>KW 6676/6676 Elmec/MBTC</t>
  </si>
  <si>
    <t>KW 6749 MBTC</t>
  </si>
  <si>
    <t>KW 6750 MBTC</t>
  </si>
  <si>
    <t>KW 6751/6751 Elmec/MBTC</t>
  </si>
  <si>
    <t>KW 6752/6752 Elmec/MBTC</t>
  </si>
  <si>
    <t>KW 6753 MBTC</t>
  </si>
  <si>
    <t>KW 6677/6677 Elmec/MBTC</t>
  </si>
  <si>
    <t>KW 6754 Elmec</t>
  </si>
  <si>
    <t>KW 6675/6675 Elmec/MBTC</t>
  </si>
  <si>
    <t>KW 6674/6674 Elmec/MBTC</t>
  </si>
  <si>
    <t>KW 6673/6673 Elmec/MBTC</t>
  </si>
  <si>
    <t>KW 6755/6755 Elmec/MBTC</t>
  </si>
  <si>
    <t>KW 6767 Elmec</t>
  </si>
  <si>
    <t>KW 6671/6671 Elmec/MBTC</t>
  </si>
  <si>
    <t>KW 6672/6672 Elmec/MBTC</t>
  </si>
  <si>
    <t>KW 6672 Elmec</t>
  </si>
  <si>
    <t>KW 6758 MBTC</t>
  </si>
  <si>
    <t>KW 6759 MBTC</t>
  </si>
  <si>
    <t>KW 6668/6668 Elmec/MBTC</t>
  </si>
  <si>
    <t>KW 6668 MBTC</t>
  </si>
  <si>
    <t>KW 6768/6768 Elmec/MBTC</t>
  </si>
  <si>
    <t>KW 6760 MBTC</t>
  </si>
  <si>
    <t>KW 6761/6761 Elmec/MBTC</t>
  </si>
  <si>
    <t>KW 6670 MBTC</t>
  </si>
  <si>
    <t>KW 6763 MBTC</t>
  </si>
  <si>
    <t>KW 6803 Elmec</t>
  </si>
  <si>
    <t>KW 6669/6669 Elmec/MBTC</t>
  </si>
  <si>
    <t>KW 6804 MBTC</t>
  </si>
  <si>
    <t>KW 6806 Elmec</t>
  </si>
  <si>
    <t>KW 6767/6767 Elmec/MBTC</t>
  </si>
  <si>
    <t>KW 6807/6807 Elmec/MBTC</t>
  </si>
  <si>
    <t>KW 6769/6770 Elmec/MBTC</t>
  </si>
  <si>
    <t>KW 6771 MBTC</t>
  </si>
  <si>
    <t>KW 6808/6808 Elmec/MBTC</t>
  </si>
  <si>
    <t>KW 6808 MBTC</t>
  </si>
  <si>
    <t>KW 6772/6772 Elmec/MBTC</t>
  </si>
  <si>
    <t>KW 6835/6836 Elmec/MBTC</t>
  </si>
  <si>
    <t>KW 6837 MBTC</t>
  </si>
  <si>
    <t>KW 6838/6838 Elmec/MBTC</t>
  </si>
  <si>
    <t>KW 6839 MBTC</t>
  </si>
  <si>
    <t>KW 6840/6840 Elmec/MBTC</t>
  </si>
  <si>
    <t>KW 6842 MBTC</t>
  </si>
  <si>
    <t>KW 6843 MBTC</t>
  </si>
  <si>
    <t>KW 6841 MBTC</t>
  </si>
  <si>
    <t>KW 6844/6844 Elmec/MBTC</t>
  </si>
  <si>
    <t>KW 6845/6845 Elmec/MBTC</t>
  </si>
  <si>
    <t>KW 6847/6847 Elmec/MBTC</t>
  </si>
  <si>
    <t>KW 6809/6809 Elmec/MBTC</t>
  </si>
  <si>
    <t>KW 6846 Elmec</t>
  </si>
  <si>
    <t>KW 6849/6849 Elmec/MBTC</t>
  </si>
  <si>
    <t>KW 6810/6810 Elmec/MBTC</t>
  </si>
  <si>
    <t>KW 6810 MBTC</t>
  </si>
  <si>
    <t>KW 6811/6811 Elmec/MBTC</t>
  </si>
  <si>
    <t>KW 6866 MBTC</t>
  </si>
  <si>
    <t>KW 6868/6868 Elmec/MBTC</t>
  </si>
  <si>
    <t>KW 6869/6869 Elmec/MBTC</t>
  </si>
  <si>
    <t>KW 6870/6870 Elmec/MBTC</t>
  </si>
  <si>
    <t>KW 6872/6872 Elmec/MBTC</t>
  </si>
  <si>
    <t>KW 6873/6873 Elmec &amp; MBTC</t>
  </si>
  <si>
    <t>KW 02/6874 NBTC</t>
  </si>
  <si>
    <t>KW 03/6875 NBTC/Elmec</t>
  </si>
  <si>
    <t>KW 04/6812 NBTC/Elmec</t>
  </si>
  <si>
    <t xml:space="preserve">KW 05/6813/6813 HED/Elmec/NBTC </t>
  </si>
  <si>
    <t>KW 06/6814/6814 HED/Elmec/NBTC</t>
  </si>
  <si>
    <t>KW 07/6878/6878 HED/Elmec/NBTC</t>
  </si>
  <si>
    <t>KW 08/6877/6877 HED/Elmec/MBTC</t>
  </si>
  <si>
    <t>KW 10/6995 HED</t>
  </si>
  <si>
    <t>KW 13/7010/7010 HED/Elmec</t>
  </si>
  <si>
    <t>KW 14/7018/7018 HED/Elmec</t>
  </si>
  <si>
    <t>KW 15/7014/7014/1 HED/Elmec</t>
  </si>
  <si>
    <t>KW 18/7033/7033 HED/Elmec</t>
  </si>
  <si>
    <t>KW 19/7046/7046 HED/MBTC</t>
  </si>
  <si>
    <t>KW 20/7059/7059 HED/Elmec/MBTC</t>
  </si>
  <si>
    <t>KW 22/7078/7078 HED/Elmec/MBTC</t>
  </si>
  <si>
    <t>KW 23/7086/7086 HED/Elmec/MBTC</t>
  </si>
  <si>
    <t xml:space="preserve">KW 24/7092/7092 HED/Elmec/MBTC </t>
  </si>
  <si>
    <t xml:space="preserve">KW 25/7103/7103 HED/Elmec/MBTC </t>
  </si>
  <si>
    <t>KW 7122/7122 Elmec/MBTC</t>
  </si>
  <si>
    <t xml:space="preserve">KW 27/7192/7192 HED/Elmec/MBTC </t>
  </si>
  <si>
    <t>KW 28/7222/7222 HED/MBTC</t>
  </si>
  <si>
    <t>KW 36/7329 HED/Elmec</t>
  </si>
  <si>
    <t>KW 6609</t>
  </si>
  <si>
    <t>KW 6608</t>
  </si>
  <si>
    <t>KW 6579</t>
  </si>
  <si>
    <t>UNI 4836</t>
  </si>
  <si>
    <t>KW 6578</t>
  </si>
  <si>
    <t>KW 6607</t>
  </si>
  <si>
    <t>KW 6549/50</t>
  </si>
  <si>
    <t>KW 6546</t>
  </si>
  <si>
    <t>KW 6545</t>
  </si>
  <si>
    <t>KW 6543/44</t>
  </si>
  <si>
    <t>KW 6577</t>
  </si>
  <si>
    <t>KW 6541</t>
  </si>
  <si>
    <t>KW 6542</t>
  </si>
  <si>
    <t>KW 6581</t>
  </si>
  <si>
    <t>KW 6583</t>
  </si>
  <si>
    <t>KW 6387</t>
  </si>
  <si>
    <t>KW 6386</t>
  </si>
  <si>
    <t>KW 6582</t>
  </si>
  <si>
    <t>AB 6149</t>
  </si>
  <si>
    <t>AB 6148</t>
  </si>
  <si>
    <t>AB 6147</t>
  </si>
  <si>
    <t>KW 6384</t>
  </si>
  <si>
    <t>KW 6385</t>
  </si>
  <si>
    <t>KW 6382/83</t>
  </si>
  <si>
    <t>KW 6580</t>
  </si>
  <si>
    <t>KW 6576</t>
  </si>
  <si>
    <t>KW 6575</t>
  </si>
  <si>
    <t>UNI 4736</t>
  </si>
  <si>
    <t>KW 6574</t>
  </si>
  <si>
    <t>KW 6573</t>
  </si>
  <si>
    <t>KW 6584</t>
  </si>
  <si>
    <t>KW 6519</t>
  </si>
  <si>
    <t>KW 6378/79</t>
  </si>
  <si>
    <t>KW 6518</t>
  </si>
  <si>
    <t>UNI 4688/89</t>
  </si>
  <si>
    <t>KW 6376/77</t>
  </si>
  <si>
    <t>KW 6517</t>
  </si>
  <si>
    <t>KW 6374</t>
  </si>
  <si>
    <t>KW 6514/15</t>
  </si>
  <si>
    <t>KW 6373</t>
  </si>
  <si>
    <t>KW 6372</t>
  </si>
  <si>
    <t>KW 6509</t>
  </si>
  <si>
    <t>KW 6508</t>
  </si>
  <si>
    <t>UNI 4612</t>
  </si>
  <si>
    <t>KW 6507</t>
  </si>
  <si>
    <t>KW 6370</t>
  </si>
  <si>
    <t>KW 6368</t>
  </si>
  <si>
    <t>KW 6314</t>
  </si>
  <si>
    <t>SASP 1302</t>
  </si>
  <si>
    <t>KW 6312</t>
  </si>
  <si>
    <t>UNI 4535</t>
  </si>
  <si>
    <t>KW 6310</t>
  </si>
  <si>
    <t>KW 6308</t>
  </si>
  <si>
    <t>KW 6306/07</t>
  </si>
  <si>
    <t>KW 6304/05</t>
  </si>
  <si>
    <t>KW 6300/01</t>
  </si>
  <si>
    <t>KW 6302/03</t>
  </si>
  <si>
    <t>KW 6296/97</t>
  </si>
  <si>
    <t>KW 6293/94</t>
  </si>
  <si>
    <t>KW 6291/92</t>
  </si>
  <si>
    <t>KW 6289/90</t>
  </si>
  <si>
    <t>UNI 4185</t>
  </si>
  <si>
    <t>KW 6298/99</t>
  </si>
  <si>
    <t>SSF 80365065</t>
  </si>
  <si>
    <t>SSF 80365063</t>
  </si>
  <si>
    <t xml:space="preserve">SSF  80365062 </t>
  </si>
  <si>
    <t>KW 6288</t>
  </si>
  <si>
    <t>KW 6285/86</t>
  </si>
  <si>
    <t>UNI 4165</t>
  </si>
  <si>
    <t>UNI 4145</t>
  </si>
  <si>
    <t>KW 6283/84</t>
  </si>
  <si>
    <t>BM 5279</t>
  </si>
  <si>
    <t>UNI 4131</t>
  </si>
  <si>
    <t>UNI 4103</t>
  </si>
  <si>
    <t>KW 6281/82</t>
  </si>
  <si>
    <t>KW 6242/43</t>
  </si>
  <si>
    <t>UNI 4094</t>
  </si>
  <si>
    <t>UNI 4078</t>
  </si>
  <si>
    <t>UNI 4068</t>
  </si>
  <si>
    <t>KW 6240/41</t>
  </si>
  <si>
    <t>KW 6238/39</t>
  </si>
  <si>
    <t>UNI 4058</t>
  </si>
  <si>
    <t>UNI 4050</t>
  </si>
  <si>
    <t>BM 5211</t>
  </si>
  <si>
    <t>UNI 4035</t>
  </si>
  <si>
    <t>UNI 4029</t>
  </si>
  <si>
    <t>UNI 4027</t>
  </si>
  <si>
    <t>UNI 4018</t>
  </si>
  <si>
    <t>KW 6197</t>
  </si>
  <si>
    <t>UNI 4012</t>
  </si>
  <si>
    <t>KW 6195</t>
  </si>
  <si>
    <t>KW 6194</t>
  </si>
  <si>
    <t>UNI 3973</t>
  </si>
  <si>
    <t>AL NAZM 47/48</t>
  </si>
  <si>
    <t>KW 6192</t>
  </si>
  <si>
    <t>UNI 3954</t>
  </si>
  <si>
    <t>UNI 3951</t>
  </si>
  <si>
    <t>UNI 3945</t>
  </si>
  <si>
    <t>UNI 3919</t>
  </si>
  <si>
    <t>KW 6190</t>
  </si>
  <si>
    <t>KW 6191</t>
  </si>
  <si>
    <t>10526</t>
  </si>
  <si>
    <t>10525</t>
  </si>
  <si>
    <t>10524</t>
  </si>
  <si>
    <t>0016</t>
  </si>
  <si>
    <t>0014</t>
  </si>
  <si>
    <t>10646</t>
  </si>
  <si>
    <t>10614</t>
  </si>
  <si>
    <t>10540</t>
  </si>
  <si>
    <t>10539</t>
  </si>
  <si>
    <t>10535</t>
  </si>
  <si>
    <t>10533</t>
  </si>
  <si>
    <t xml:space="preserve"> 10471/10472</t>
  </si>
  <si>
    <t>10469</t>
  </si>
  <si>
    <t>10468</t>
  </si>
  <si>
    <t>10467</t>
  </si>
  <si>
    <t>10466</t>
  </si>
  <si>
    <t xml:space="preserve"> 10843/10845</t>
  </si>
  <si>
    <t xml:space="preserve"> 10837/10838</t>
  </si>
  <si>
    <t>10833</t>
  </si>
  <si>
    <t>10827</t>
  </si>
  <si>
    <t>10814</t>
  </si>
  <si>
    <t xml:space="preserve"> '10809/10810</t>
  </si>
  <si>
    <t xml:space="preserve"> ' 6300</t>
  </si>
  <si>
    <t xml:space="preserve"> '6239/40</t>
  </si>
  <si>
    <t>6231</t>
  </si>
  <si>
    <t>6326/27</t>
  </si>
  <si>
    <t xml:space="preserve"> '6398/6399</t>
  </si>
  <si>
    <t xml:space="preserve"> '6450/6351</t>
  </si>
  <si>
    <t xml:space="preserve"> '6448/6449</t>
  </si>
  <si>
    <t xml:space="preserve"> '6446/6447</t>
  </si>
  <si>
    <t>6439/6440</t>
  </si>
  <si>
    <t xml:space="preserve"> 6437/6438</t>
  </si>
  <si>
    <t>6430/6431</t>
  </si>
  <si>
    <t>6425/6426</t>
  </si>
  <si>
    <t>6409/6410</t>
  </si>
  <si>
    <t>6038/39/40</t>
  </si>
  <si>
    <t>6028</t>
  </si>
  <si>
    <t>6013</t>
  </si>
  <si>
    <t>6004</t>
  </si>
  <si>
    <t xml:space="preserve"> 6003</t>
  </si>
  <si>
    <t>6001</t>
  </si>
  <si>
    <t>87793</t>
  </si>
  <si>
    <t>UNI</t>
  </si>
  <si>
    <t>AB</t>
  </si>
  <si>
    <t>SASP</t>
  </si>
  <si>
    <t>SSF</t>
  </si>
  <si>
    <t>BM</t>
  </si>
  <si>
    <t>AL NAZM</t>
  </si>
  <si>
    <t>MARJAN S13 SCAFFOLDING</t>
  </si>
  <si>
    <t>#119345548</t>
  </si>
  <si>
    <t>#119345638</t>
  </si>
  <si>
    <t>#119346039</t>
  </si>
  <si>
    <t>S013-JUB-0005</t>
  </si>
  <si>
    <t>S013-JUB-0006</t>
  </si>
  <si>
    <t>S013-JUB-0007</t>
  </si>
  <si>
    <t>#119730862</t>
  </si>
  <si>
    <t>S013-JUB-0008</t>
  </si>
  <si>
    <t>#120167765</t>
  </si>
  <si>
    <t>S013-JUB-0009</t>
  </si>
  <si>
    <t>S013-S022-0010</t>
  </si>
  <si>
    <t>#120701184</t>
  </si>
  <si>
    <t>#120701825</t>
  </si>
  <si>
    <t>ORCP-HYU-0024</t>
  </si>
  <si>
    <t>ORCP-HYU-0025</t>
  </si>
  <si>
    <t>ORCP-HYU-0026</t>
  </si>
  <si>
    <t>ORCP-HYU-0027</t>
  </si>
  <si>
    <t>S013-S022-0011</t>
  </si>
  <si>
    <t>#120760110</t>
  </si>
  <si>
    <t>ORCP-HYU-0028</t>
  </si>
  <si>
    <t>ORCP-HYU-0029</t>
  </si>
  <si>
    <t>ORCP-HYU-0030</t>
  </si>
  <si>
    <t>S015-ABQ-0001</t>
  </si>
  <si>
    <t>ORCP-HYU-0031</t>
  </si>
  <si>
    <t>ORCP-HYU-0032</t>
  </si>
  <si>
    <t>ORCP-HYU-0033</t>
  </si>
  <si>
    <t>ORCP-HYU-0034</t>
  </si>
  <si>
    <t>ORCP-HYU-0035</t>
  </si>
  <si>
    <t>S013-S022-0012</t>
  </si>
  <si>
    <t>#120910376</t>
  </si>
  <si>
    <t>S015-ABQ-0002</t>
  </si>
  <si>
    <t>GURJIT SINGH</t>
  </si>
  <si>
    <t>ABQ-S012-0002</t>
  </si>
  <si>
    <t>#120920456</t>
  </si>
  <si>
    <t>#120921155</t>
  </si>
  <si>
    <t>#120922113</t>
  </si>
  <si>
    <t>#120923395</t>
  </si>
  <si>
    <t>ORCP-HYU-0036</t>
  </si>
  <si>
    <t>ORCP-HYU-0037</t>
  </si>
  <si>
    <t>ORCP-HYU-0038</t>
  </si>
  <si>
    <t>ORCP-HYU-0039</t>
  </si>
  <si>
    <t>S013-S022-0013</t>
  </si>
  <si>
    <t>#121087868</t>
  </si>
  <si>
    <t>ORCP-HYU-0040</t>
  </si>
  <si>
    <t>ORCP-HYU-0041</t>
  </si>
  <si>
    <t>ORCP-HYU-0042</t>
  </si>
  <si>
    <t>ORCP-HYU-0043</t>
  </si>
  <si>
    <t>ORCP-HYU-0044</t>
  </si>
  <si>
    <t>ORCP-HYU-0045</t>
  </si>
  <si>
    <t>ORCP-HYU-0046</t>
  </si>
  <si>
    <t>S015-ABQ-0003</t>
  </si>
  <si>
    <t>ORCP-HYU-0047</t>
  </si>
  <si>
    <t>ORCP-HYU-0048</t>
  </si>
  <si>
    <t>ORCP-HYU-0049</t>
  </si>
  <si>
    <t>ORCP-HYU-0050</t>
  </si>
  <si>
    <t>ORCP-HYU-0051</t>
  </si>
  <si>
    <t>ORCP-HYU-0052</t>
  </si>
  <si>
    <t>ORCP-HYU-0053</t>
  </si>
  <si>
    <t>ORCP-HYU-0054</t>
  </si>
  <si>
    <t>ORCP-HYU-0055</t>
  </si>
  <si>
    <t>ORCP-HYU-0056</t>
  </si>
  <si>
    <t>ORCP-HYU-0057</t>
  </si>
  <si>
    <t>S013-S022-0014</t>
  </si>
  <si>
    <t>S013-S022-0015</t>
  </si>
  <si>
    <t>#121830428</t>
  </si>
  <si>
    <t>#121831649</t>
  </si>
  <si>
    <t>#121833057</t>
  </si>
  <si>
    <t>ORCP-HYU-0058</t>
  </si>
  <si>
    <t>S013-S022-0016</t>
  </si>
  <si>
    <t>#121853643</t>
  </si>
  <si>
    <t>S013-S022-0017</t>
  </si>
  <si>
    <t>S013-S022-0018</t>
  </si>
  <si>
    <t>ABQ-S015-0001</t>
  </si>
  <si>
    <t>#122054111</t>
  </si>
  <si>
    <t>#122055072</t>
  </si>
  <si>
    <t>#122055882</t>
  </si>
  <si>
    <t>0709</t>
  </si>
  <si>
    <t>0710</t>
  </si>
  <si>
    <t>S013-S022-0019</t>
  </si>
  <si>
    <t>#122433774</t>
  </si>
  <si>
    <t>0701</t>
  </si>
  <si>
    <t>0711</t>
  </si>
  <si>
    <t>#122678138</t>
  </si>
  <si>
    <t>S013-S022-0021</t>
  </si>
  <si>
    <t>S013-S022-0022</t>
  </si>
  <si>
    <t>S013-S022-0020</t>
  </si>
  <si>
    <t>#122715910</t>
  </si>
  <si>
    <t>#122716035</t>
  </si>
  <si>
    <t>#122716055</t>
  </si>
  <si>
    <t>S013-ABQ-0005</t>
  </si>
  <si>
    <t>S013-ABQ-0006</t>
  </si>
  <si>
    <t>S013-ABQ-0007</t>
  </si>
  <si>
    <t>#122740635</t>
  </si>
  <si>
    <t>WOODEN PLANKS-1.20-MTR</t>
  </si>
  <si>
    <t>ABQ-S020-0001</t>
  </si>
  <si>
    <t>S015-ABQ-0004</t>
  </si>
  <si>
    <t>S015-ABQ-0005</t>
  </si>
  <si>
    <t>S015-ABQ-0006</t>
  </si>
  <si>
    <t>#122743285</t>
  </si>
  <si>
    <t>S013-ABQ-0010</t>
  </si>
  <si>
    <t>#122791796</t>
  </si>
  <si>
    <t>B</t>
  </si>
  <si>
    <t>S013-ABQ-0008</t>
  </si>
  <si>
    <t>S013-ABQ-0009</t>
  </si>
  <si>
    <t>#122890746</t>
  </si>
  <si>
    <t>S013-ABQ-0011</t>
  </si>
  <si>
    <t>S013-ABQ-0012</t>
  </si>
  <si>
    <t>#123080834</t>
  </si>
  <si>
    <t>S013-ABQ-0013</t>
  </si>
  <si>
    <t>S013-ABQ-0014</t>
  </si>
  <si>
    <t>S013-ABQ-0015</t>
  </si>
  <si>
    <t>S013-ABQ-0017</t>
  </si>
  <si>
    <t>#123696988</t>
  </si>
  <si>
    <t>#123697168</t>
  </si>
  <si>
    <t>#123697196</t>
  </si>
  <si>
    <t>#123697571</t>
  </si>
  <si>
    <t>.</t>
  </si>
  <si>
    <t>#123697834</t>
  </si>
  <si>
    <t>S013-ABQ-0018</t>
  </si>
  <si>
    <t>S013-ABQ-0016</t>
  </si>
  <si>
    <t>#123796862</t>
  </si>
  <si>
    <t>#123797025</t>
  </si>
  <si>
    <t>S013-ABQ-0019</t>
  </si>
  <si>
    <t>S013-ABQ-0020</t>
  </si>
  <si>
    <t>S013-ABQ-0021</t>
  </si>
  <si>
    <t>#124088069</t>
  </si>
  <si>
    <t>#124088192</t>
  </si>
  <si>
    <t>#124088268</t>
  </si>
  <si>
    <t>S013-ABQ-0022</t>
  </si>
  <si>
    <t>#124256713</t>
  </si>
  <si>
    <t>#124261204</t>
  </si>
  <si>
    <t>#124262307</t>
  </si>
  <si>
    <t>#124263984</t>
  </si>
  <si>
    <t>#124265370</t>
  </si>
  <si>
    <t>S015-ABQ-0007</t>
  </si>
  <si>
    <t>JUB-S020-0001</t>
  </si>
  <si>
    <t>#124632711</t>
  </si>
  <si>
    <t>ABQ-S015-0002</t>
  </si>
  <si>
    <t>#124685256</t>
  </si>
  <si>
    <t>#124696682</t>
  </si>
  <si>
    <t>3000000307</t>
  </si>
  <si>
    <t>#124733673</t>
  </si>
  <si>
    <t>#124734871</t>
  </si>
  <si>
    <t>S015-ABQ-0008</t>
  </si>
  <si>
    <t>S015-ABQ-0009</t>
  </si>
  <si>
    <t>#124907156</t>
  </si>
  <si>
    <t>#124907957</t>
  </si>
  <si>
    <t>LIST - 052</t>
  </si>
  <si>
    <t>LIST - 053</t>
  </si>
  <si>
    <t>LIST - 054</t>
  </si>
  <si>
    <t>LIST - 055</t>
  </si>
  <si>
    <t>LIST - 056</t>
  </si>
  <si>
    <t>LIST - 057</t>
  </si>
  <si>
    <t>LIST - 058</t>
  </si>
  <si>
    <t>LIST - 059</t>
  </si>
  <si>
    <t>LIST - 060</t>
  </si>
  <si>
    <t>LIST - 061</t>
  </si>
  <si>
    <t>1204</t>
  </si>
  <si>
    <t>1205</t>
  </si>
  <si>
    <t>1206</t>
  </si>
  <si>
    <t>1207</t>
  </si>
  <si>
    <t>1208</t>
  </si>
  <si>
    <t>1209</t>
  </si>
  <si>
    <t>1212</t>
  </si>
  <si>
    <t>1210</t>
  </si>
  <si>
    <t>1211</t>
  </si>
  <si>
    <t>1213</t>
  </si>
  <si>
    <t>#123796862
#125551086</t>
  </si>
  <si>
    <t>ABQ-S022-0003</t>
  </si>
  <si>
    <t>TONS</t>
  </si>
  <si>
    <t>MATERIAL CODE</t>
  </si>
  <si>
    <t>QTY</t>
  </si>
  <si>
    <t>WEIGHT</t>
  </si>
  <si>
    <t>S015-ABQ-0010</t>
  </si>
  <si>
    <t>S015-ABQ-0011</t>
  </si>
  <si>
    <t>S013-ABQ-0023</t>
  </si>
  <si>
    <t>S013-ABQ-0024</t>
  </si>
  <si>
    <t>3000002777</t>
  </si>
  <si>
    <t>ABQ-S022-0004</t>
  </si>
  <si>
    <t>S013-S022-0023</t>
  </si>
  <si>
    <t>#126143180</t>
  </si>
  <si>
    <t>#126144041</t>
  </si>
  <si>
    <t>#126144316</t>
  </si>
  <si>
    <t>#126145456</t>
  </si>
  <si>
    <t>3000000312</t>
  </si>
  <si>
    <t>S013-ABQ-0025</t>
  </si>
  <si>
    <t>#126209602</t>
  </si>
  <si>
    <t>#126211580</t>
  </si>
  <si>
    <t>S013-S022-0024</t>
  </si>
  <si>
    <t>S013-S022-0025</t>
  </si>
  <si>
    <t>S013-ABQ-0026</t>
  </si>
  <si>
    <t>S013-ABQ-0027</t>
  </si>
  <si>
    <t>ABQ-S015-0003</t>
  </si>
  <si>
    <t>S013-ABQ-0028</t>
  </si>
  <si>
    <t>S013-S022-0026</t>
  </si>
  <si>
    <t>S013-ABQ-0029</t>
  </si>
  <si>
    <t>S013-ABQ-0030</t>
  </si>
  <si>
    <t>S013-ABQ-0031</t>
  </si>
  <si>
    <t>S013-ABQ-0032</t>
  </si>
  <si>
    <t>#127116137</t>
  </si>
  <si>
    <t>S013-JUB-0010</t>
  </si>
  <si>
    <t>LIST - 066</t>
  </si>
  <si>
    <t>LIST - 067</t>
  </si>
  <si>
    <t>LIST - 068</t>
  </si>
  <si>
    <t>LIST - 069</t>
  </si>
  <si>
    <t>LIST - 070</t>
  </si>
  <si>
    <t>1217-1</t>
  </si>
  <si>
    <t>1217-2</t>
  </si>
  <si>
    <t>1217-3</t>
  </si>
  <si>
    <t>1217-4</t>
  </si>
  <si>
    <t>1217-5</t>
  </si>
  <si>
    <t>1217-6</t>
  </si>
  <si>
    <t>1217-8</t>
  </si>
  <si>
    <t>1217-9</t>
  </si>
  <si>
    <t>1217-10</t>
  </si>
  <si>
    <t>1218-1</t>
  </si>
  <si>
    <t>1218-8</t>
  </si>
  <si>
    <t>1218-9</t>
  </si>
  <si>
    <t>1218-10</t>
  </si>
  <si>
    <t>#127199420</t>
  </si>
  <si>
    <t>#127202011</t>
  </si>
  <si>
    <t>#127202359</t>
  </si>
  <si>
    <t>#127202504</t>
  </si>
  <si>
    <t>#127202655</t>
  </si>
  <si>
    <t>#127202668</t>
  </si>
  <si>
    <t>#127202936</t>
  </si>
  <si>
    <t>#127203028</t>
  </si>
  <si>
    <t>#127203903</t>
  </si>
  <si>
    <t>0858</t>
  </si>
  <si>
    <t>0859</t>
  </si>
  <si>
    <t>0861</t>
  </si>
  <si>
    <t>0862</t>
  </si>
  <si>
    <t>0863</t>
  </si>
  <si>
    <t>#115965183</t>
  </si>
  <si>
    <t>p</t>
  </si>
  <si>
    <t>LIST - 075</t>
  </si>
  <si>
    <t>1218-2</t>
  </si>
  <si>
    <t>1218-3</t>
  </si>
  <si>
    <t>LIST - 076</t>
  </si>
  <si>
    <t>LIST - 077</t>
  </si>
  <si>
    <t>1218-4</t>
  </si>
  <si>
    <t>1218-5</t>
  </si>
  <si>
    <t>LIST - 078</t>
  </si>
  <si>
    <t>1218-6</t>
  </si>
  <si>
    <t>LIST - 079</t>
  </si>
  <si>
    <t>LIST - 080</t>
  </si>
  <si>
    <t>1218-7</t>
  </si>
  <si>
    <t>1219-31</t>
  </si>
  <si>
    <t>1219-32</t>
  </si>
  <si>
    <t>1219-33</t>
  </si>
  <si>
    <t>1219-34</t>
  </si>
  <si>
    <t>1219-35</t>
  </si>
  <si>
    <t>1221-41</t>
  </si>
  <si>
    <t>1221-42</t>
  </si>
  <si>
    <t>1221-43</t>
  </si>
  <si>
    <t>1221-44</t>
  </si>
  <si>
    <t>1221-45</t>
  </si>
  <si>
    <t>JUB-S012-0003</t>
  </si>
  <si>
    <t>0865</t>
  </si>
  <si>
    <t>0866</t>
  </si>
  <si>
    <t>0867</t>
  </si>
  <si>
    <t>0868</t>
  </si>
  <si>
    <t>0869</t>
  </si>
  <si>
    <t>0870</t>
  </si>
  <si>
    <t>0871</t>
  </si>
  <si>
    <t>0872</t>
  </si>
  <si>
    <t>0873</t>
  </si>
  <si>
    <t>Heavy Prop Jack 5.9 MTR</t>
  </si>
  <si>
    <t>0874</t>
  </si>
  <si>
    <t>1221-46</t>
  </si>
  <si>
    <t>1221-47</t>
  </si>
  <si>
    <t>1221-48</t>
  </si>
  <si>
    <t>1221-49</t>
  </si>
  <si>
    <t>1219-36</t>
  </si>
  <si>
    <t>0875</t>
  </si>
  <si>
    <t>ADJUSTABLE PROP JACK-3.50- MTR</t>
  </si>
  <si>
    <t>S015-ABQ-0012</t>
  </si>
  <si>
    <t>S013-ABQ-0033</t>
  </si>
  <si>
    <t>S013-ABQ-0034</t>
  </si>
  <si>
    <t>S013-ABQ-0035</t>
  </si>
  <si>
    <t>S015-ABQ-0013</t>
  </si>
  <si>
    <t>3000000063</t>
  </si>
  <si>
    <t>0728</t>
  </si>
  <si>
    <t>0729</t>
  </si>
  <si>
    <t>STAXO PIN</t>
  </si>
  <si>
    <t>WATER STOPPER FOR EXTERNAL TIE ROD</t>
  </si>
  <si>
    <t>TIE ROD PLATE 3"X3"</t>
  </si>
  <si>
    <t>0730</t>
  </si>
  <si>
    <t>0876</t>
  </si>
  <si>
    <t>0877</t>
  </si>
  <si>
    <t>STEEL TUBE-4MMX4.50-MTR-(HANGING)</t>
  </si>
  <si>
    <t>S015-ABQ-0014</t>
  </si>
  <si>
    <t>S015-ABQ-0015</t>
  </si>
  <si>
    <t>LIST - 096</t>
  </si>
  <si>
    <t>LIST - 097</t>
  </si>
  <si>
    <t>LIST - 098</t>
  </si>
  <si>
    <t>LIST - 099</t>
  </si>
  <si>
    <t>LIST - 100</t>
  </si>
  <si>
    <t>1221-50</t>
  </si>
  <si>
    <t>1219-37</t>
  </si>
  <si>
    <t>1219-38</t>
  </si>
  <si>
    <t>1219-39</t>
  </si>
  <si>
    <t>1219-40</t>
  </si>
  <si>
    <t>LIST - 101</t>
  </si>
  <si>
    <t>LIST - 102</t>
  </si>
  <si>
    <t>LIST - 103</t>
  </si>
  <si>
    <t>LIST - 104</t>
  </si>
  <si>
    <t>LIST - 105</t>
  </si>
  <si>
    <t>0731</t>
  </si>
  <si>
    <t>1222-52</t>
  </si>
  <si>
    <t>1222-51</t>
  </si>
  <si>
    <t>1222-53</t>
  </si>
  <si>
    <t>1222-54</t>
  </si>
  <si>
    <t>1222-55</t>
  </si>
  <si>
    <t>0732</t>
  </si>
  <si>
    <t>0733</t>
  </si>
  <si>
    <t>0734</t>
  </si>
  <si>
    <t>S013-ABQ-0036</t>
  </si>
  <si>
    <t>S013-ABQ-0037</t>
  </si>
  <si>
    <t>S013-ABQ-0038</t>
  </si>
  <si>
    <t>S013-ABQ-0040</t>
  </si>
  <si>
    <t>S013-ABQ-0039</t>
  </si>
  <si>
    <t>S013-ABQ-0041</t>
  </si>
  <si>
    <t>#129043334</t>
  </si>
  <si>
    <t>#129044283</t>
  </si>
  <si>
    <t>#129052102</t>
  </si>
  <si>
    <t>P</t>
  </si>
  <si>
    <t>ABQ-S012-0004</t>
  </si>
  <si>
    <t>LADDER SUPPORTING COUPLER</t>
  </si>
  <si>
    <t>0735</t>
  </si>
  <si>
    <t>0736</t>
  </si>
  <si>
    <t>ABQ-S013-0001</t>
  </si>
  <si>
    <t>ABQ-S022-0005</t>
  </si>
  <si>
    <t>LIST - 106</t>
  </si>
  <si>
    <t>LIST - 107</t>
  </si>
  <si>
    <t>LIST - 108</t>
  </si>
  <si>
    <t>LIST - 109</t>
  </si>
  <si>
    <t>LIST - 110</t>
  </si>
  <si>
    <t>1222-58</t>
  </si>
  <si>
    <t>1222-56</t>
  </si>
  <si>
    <t>1222-57</t>
  </si>
  <si>
    <t>1222-59</t>
  </si>
  <si>
    <t>1222-60</t>
  </si>
  <si>
    <t>#129239730</t>
  </si>
  <si>
    <t>NO NEED</t>
  </si>
  <si>
    <t>#123724005</t>
  </si>
  <si>
    <t>#129241233</t>
  </si>
  <si>
    <t>#129241542</t>
  </si>
  <si>
    <t>NEW PURCHASED</t>
  </si>
  <si>
    <t>S013-ABQ-0043</t>
  </si>
  <si>
    <t>S013-ABQ-0042</t>
  </si>
  <si>
    <t>S013-ABQ-0044</t>
  </si>
  <si>
    <t>S013-ABQ-0045</t>
  </si>
  <si>
    <t>#129245834</t>
  </si>
  <si>
    <t>#129247097</t>
  </si>
  <si>
    <t>#129247812</t>
  </si>
  <si>
    <t>#129248649</t>
  </si>
  <si>
    <t>#129249900</t>
  </si>
  <si>
    <t>0737</t>
  </si>
  <si>
    <t>S013-ABQ-0046</t>
  </si>
  <si>
    <t>S013-ABQ-0047</t>
  </si>
  <si>
    <t>S013-ABQ-0048</t>
  </si>
  <si>
    <t>ABQ-S015-0004</t>
  </si>
  <si>
    <t>#129479213</t>
  </si>
  <si>
    <t>#129480042</t>
  </si>
  <si>
    <t>#129480667</t>
  </si>
  <si>
    <t>S013-ABQ-0049</t>
  </si>
  <si>
    <t>S013-ABQ-0050</t>
  </si>
  <si>
    <t>#129610396</t>
  </si>
  <si>
    <t>0738</t>
  </si>
  <si>
    <t>#129612015</t>
  </si>
  <si>
    <t>0739</t>
  </si>
  <si>
    <t>WING NUT 15 MM DVD</t>
  </si>
  <si>
    <t xml:space="preserve">zaheer </t>
  </si>
  <si>
    <t>S013-ABQ-0051</t>
  </si>
  <si>
    <t>S013-ABQ-0052</t>
  </si>
  <si>
    <t>S013-ABQ-0053</t>
  </si>
  <si>
    <t>S013-ABQ-0054</t>
  </si>
  <si>
    <t>S013-ABQ-0055</t>
  </si>
  <si>
    <t>S013-ABQ-0056</t>
  </si>
  <si>
    <t>S013-ABQ-0057</t>
  </si>
  <si>
    <t>#130164275</t>
  </si>
  <si>
    <t>0740</t>
  </si>
  <si>
    <t>0741</t>
  </si>
  <si>
    <t>0742</t>
  </si>
  <si>
    <t>#130164723</t>
  </si>
  <si>
    <t>ALBATIN</t>
  </si>
  <si>
    <t>DN-2026-00047</t>
  </si>
  <si>
    <t>ABQ-S012-0005</t>
  </si>
  <si>
    <t>ABQ-S020-0003</t>
  </si>
  <si>
    <t>ABQ-S020-0004</t>
  </si>
  <si>
    <t>S012-ABQ-0001</t>
  </si>
  <si>
    <t>ABQ-S020-0002</t>
  </si>
  <si>
    <t>S013-ABQ-0058</t>
  </si>
  <si>
    <t>S013-ABQ-0059</t>
  </si>
  <si>
    <t>S013-ABQ-0060</t>
  </si>
  <si>
    <t>S013-ABQ-0061</t>
  </si>
  <si>
    <t>S013-S022-0027</t>
  </si>
  <si>
    <t>S013-S022-0028</t>
  </si>
  <si>
    <t>S013-S022-0029</t>
  </si>
  <si>
    <t>S013-S022-0030</t>
  </si>
  <si>
    <t>S013-S022-0031</t>
  </si>
  <si>
    <t>#130645049</t>
  </si>
  <si>
    <t>#130641924</t>
  </si>
  <si>
    <t>LIST-001</t>
  </si>
  <si>
    <t>LIST-002</t>
  </si>
  <si>
    <t>LIST-003</t>
  </si>
  <si>
    <t>LIST-004</t>
  </si>
  <si>
    <t>LIST-005</t>
  </si>
  <si>
    <t>LIST-006</t>
  </si>
  <si>
    <t>LIST-007</t>
  </si>
  <si>
    <t>LIST-008</t>
  </si>
  <si>
    <t>LIST-009</t>
  </si>
  <si>
    <t>LIST-010</t>
  </si>
  <si>
    <t>LIST-011</t>
  </si>
  <si>
    <t>LIST-012</t>
  </si>
  <si>
    <t>LIST-013</t>
  </si>
  <si>
    <t>LIST-014</t>
  </si>
  <si>
    <t>LIST-015</t>
  </si>
  <si>
    <t>LIST-016</t>
  </si>
  <si>
    <t>LIST-017</t>
  </si>
  <si>
    <t>LIST-018</t>
  </si>
  <si>
    <t>LIST-019</t>
  </si>
  <si>
    <t>LIST-020</t>
  </si>
  <si>
    <t>LIST-021</t>
  </si>
  <si>
    <t>LIST-022</t>
  </si>
  <si>
    <t>LIST-023</t>
  </si>
  <si>
    <t>LIST-024</t>
  </si>
  <si>
    <t>LIST-025</t>
  </si>
  <si>
    <t>LIST-026</t>
  </si>
  <si>
    <t>LIST-027</t>
  </si>
  <si>
    <t>LIST-028</t>
  </si>
  <si>
    <t>LIST-029</t>
  </si>
  <si>
    <t>LIST-030</t>
  </si>
  <si>
    <t>LIST-031</t>
  </si>
  <si>
    <t>LIST-032</t>
  </si>
  <si>
    <t>LIST-033</t>
  </si>
  <si>
    <t>LIST-034</t>
  </si>
  <si>
    <t>LIST-035</t>
  </si>
  <si>
    <t>LIST-036</t>
  </si>
  <si>
    <t>LIST-037</t>
  </si>
  <si>
    <t>LIST-038</t>
  </si>
  <si>
    <t>LIST-039</t>
  </si>
  <si>
    <t>LIST-040</t>
  </si>
  <si>
    <t>LIST-041</t>
  </si>
  <si>
    <t>LIST-042</t>
  </si>
  <si>
    <t>LIST-043</t>
  </si>
  <si>
    <t>LIST-044</t>
  </si>
  <si>
    <t>LIST-045</t>
  </si>
  <si>
    <t>LIST-046</t>
  </si>
  <si>
    <t>LIST-047</t>
  </si>
  <si>
    <t>LIST-048</t>
  </si>
  <si>
    <t>LIST-049</t>
  </si>
  <si>
    <t>LIST-050</t>
  </si>
  <si>
    <t>LIST-051</t>
  </si>
  <si>
    <t>LIST-052</t>
  </si>
  <si>
    <t>LIST-053</t>
  </si>
  <si>
    <t>LIST-054</t>
  </si>
  <si>
    <t>LIST-055</t>
  </si>
  <si>
    <t>LIST-056</t>
  </si>
  <si>
    <t>LIST-057</t>
  </si>
  <si>
    <t>LIST-058</t>
  </si>
  <si>
    <t>LIST-059</t>
  </si>
  <si>
    <t>LIST-060</t>
  </si>
  <si>
    <t>LIST-061</t>
  </si>
  <si>
    <t>LIST-062</t>
  </si>
  <si>
    <t>LIST-063</t>
  </si>
  <si>
    <t>LIST-064</t>
  </si>
  <si>
    <t>LIST-065</t>
  </si>
  <si>
    <t>LIST-066</t>
  </si>
  <si>
    <t>LIST-067</t>
  </si>
  <si>
    <t>LIST-068</t>
  </si>
  <si>
    <t>LIST-069</t>
  </si>
  <si>
    <t>LIST-070</t>
  </si>
  <si>
    <t>LIST-071</t>
  </si>
  <si>
    <t>LIST-072</t>
  </si>
  <si>
    <t>LIST-073</t>
  </si>
  <si>
    <t>LIST-074</t>
  </si>
  <si>
    <t>LIST-075</t>
  </si>
  <si>
    <t>LIST-076</t>
  </si>
  <si>
    <t>LIST-077</t>
  </si>
  <si>
    <t>LIST-078</t>
  </si>
  <si>
    <t>LIST-079</t>
  </si>
  <si>
    <t>LIST-080</t>
  </si>
  <si>
    <t>LIST-081</t>
  </si>
  <si>
    <t>LIST-082</t>
  </si>
  <si>
    <t>LIST-083</t>
  </si>
  <si>
    <t>LIST-084</t>
  </si>
  <si>
    <t>LIST-085</t>
  </si>
  <si>
    <t>LIST-086</t>
  </si>
  <si>
    <t>LIST-087</t>
  </si>
  <si>
    <t>LIST-088</t>
  </si>
  <si>
    <t>LIST-089</t>
  </si>
  <si>
    <t>LIST-090</t>
  </si>
  <si>
    <t>LIST-091</t>
  </si>
  <si>
    <t>LIST-092</t>
  </si>
  <si>
    <t>LIST-093</t>
  </si>
  <si>
    <t>LIST-094</t>
  </si>
  <si>
    <t>LIST-095</t>
  </si>
  <si>
    <t>LIST-096</t>
  </si>
  <si>
    <t>LIST-097</t>
  </si>
  <si>
    <t>LIST-098</t>
  </si>
  <si>
    <t>LIST-099</t>
  </si>
  <si>
    <t>LIST-100</t>
  </si>
  <si>
    <t>LIST-101</t>
  </si>
  <si>
    <t>LIST-102</t>
  </si>
  <si>
    <t>LIST-103</t>
  </si>
  <si>
    <t>LIST-104</t>
  </si>
  <si>
    <t>LIST-105</t>
  </si>
  <si>
    <t>LIST-106</t>
  </si>
  <si>
    <t>LIST-107</t>
  </si>
  <si>
    <t>LIST-108</t>
  </si>
  <si>
    <t>LIST-109</t>
  </si>
  <si>
    <t>LIST-110</t>
  </si>
  <si>
    <t>S012-ABQ-0002</t>
  </si>
  <si>
    <t/>
  </si>
  <si>
    <t>S013-ABQ-0062</t>
  </si>
  <si>
    <t>S013-ABQ-0063</t>
  </si>
  <si>
    <t>S013-ABQ-0064</t>
  </si>
  <si>
    <t>S013-ABQ-0065</t>
  </si>
  <si>
    <t>S013-ABQ-0066</t>
  </si>
  <si>
    <t>S013-ABQ-0067</t>
  </si>
  <si>
    <t>S013-S022-0032</t>
  </si>
  <si>
    <t>S013-S022-0033</t>
  </si>
  <si>
    <t>S013-S022-0034</t>
  </si>
  <si>
    <t>S013-S022-0035</t>
  </si>
  <si>
    <t>S013-S022-0036</t>
  </si>
  <si>
    <t>JAFFURA S16 SCAFFOLDING</t>
  </si>
  <si>
    <t>S016</t>
  </si>
  <si>
    <t>ABQ-S016-0001</t>
  </si>
  <si>
    <t>S013-ABQ-0068</t>
  </si>
  <si>
    <t>S013-ABQ-0069</t>
  </si>
  <si>
    <t>ABQ-S016-0002</t>
  </si>
  <si>
    <t>S013-ABQ-0071</t>
  </si>
  <si>
    <t>S013-ABQ-0070</t>
  </si>
  <si>
    <t>S013-ABQ-0072</t>
  </si>
  <si>
    <t>S013-ABQ-0073</t>
  </si>
  <si>
    <t>S013-ABQ-0074</t>
  </si>
  <si>
    <t>TRAILER</t>
  </si>
  <si>
    <t>TRAILER TIME SHEET - FEBRUARY</t>
  </si>
  <si>
    <t>#132757102</t>
  </si>
  <si>
    <t>S013-ABQ-0075</t>
  </si>
  <si>
    <t>S013-ABQ-0076</t>
  </si>
  <si>
    <t>S013-ABQ-0077</t>
  </si>
  <si>
    <t>S013-S022-0037</t>
  </si>
  <si>
    <t>S013-S022-0038</t>
  </si>
  <si>
    <t>S013-S022-0039</t>
  </si>
  <si>
    <t>#132770115</t>
  </si>
  <si>
    <t>#132771627</t>
  </si>
  <si>
    <t>#132757102
#133299511</t>
  </si>
  <si>
    <t>S013-ABQ-0078</t>
  </si>
  <si>
    <t>S013-ABQ-0079</t>
  </si>
  <si>
    <t>S013-ABQ-0080</t>
  </si>
  <si>
    <t>S013-ABQ-0081</t>
  </si>
  <si>
    <t>S013-ABQ-0082</t>
  </si>
  <si>
    <t>#133347069</t>
  </si>
  <si>
    <t>Material</t>
  </si>
  <si>
    <t>Col F</t>
  </si>
  <si>
    <t>Col H</t>
  </si>
  <si>
    <t>Col I</t>
  </si>
  <si>
    <t>Col J</t>
  </si>
  <si>
    <t>Col K</t>
  </si>
  <si>
    <t>Col L</t>
  </si>
  <si>
    <t>Col M</t>
  </si>
  <si>
    <t>Col N</t>
  </si>
  <si>
    <t>Col O</t>
  </si>
  <si>
    <t>Col P</t>
  </si>
  <si>
    <t>Col Q</t>
  </si>
  <si>
    <t>Col R</t>
  </si>
  <si>
    <t>CUPLOCK STANDARD 3.00MTR(10')</t>
  </si>
  <si>
    <t>CUPLOCK STANDARD 2.00MTR</t>
  </si>
  <si>
    <t>CUPLOCK STANDARD 1.50MTR(5')</t>
  </si>
  <si>
    <t>CUPLOCK LEDGER 1.20MTR(4')</t>
  </si>
  <si>
    <t>CUPLOCK LEDGER 1.80MTR(6')</t>
  </si>
  <si>
    <t>CUPLOCK LEDGER 2.50MTR(8')</t>
  </si>
  <si>
    <t>JACK W/BASE PLATE[S] 0.760 MTR</t>
  </si>
  <si>
    <t>RIGHT ANGLE DOUBLE COUPLER H/D</t>
  </si>
  <si>
    <t>WOODEN PLANKS 1.5"X9"X3MTR</t>
  </si>
  <si>
    <t>PUTLOG COUPLER</t>
  </si>
  <si>
    <t>END SLEEVE COUPLER</t>
  </si>
  <si>
    <t>STEEL TUBE 4MMX1.5M(HANGING SCAFFOLDING)</t>
  </si>
  <si>
    <t>STEEL TUBE 4MMX2M(HANGING SCAFFOLDING)</t>
  </si>
  <si>
    <t>STEEL TUBE 4MMX3M(HANGING SCAFFOLDING)</t>
  </si>
  <si>
    <t>STEEL TUBE 4MMX4M(HANGING SCAFFOLDING)</t>
  </si>
  <si>
    <t>STEEL TUBE 4MMX6M(HANGING SCAFFOLDING)</t>
  </si>
  <si>
    <t>WOODEN PLANKS-225MMX38MMX2MTR</t>
  </si>
  <si>
    <t>WOODEN PLANKS-225MMX38MMX4MTR</t>
  </si>
  <si>
    <t>SWIVEL COUPLER H/D</t>
  </si>
  <si>
    <t>S013-ABQ-0083</t>
  </si>
  <si>
    <t>S013-ABQ-0084</t>
  </si>
  <si>
    <t>S013-ABQ-0085</t>
  </si>
  <si>
    <t>S013-ABQ-0086</t>
  </si>
  <si>
    <t>ABQ-S016-0003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</si>
</sst>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/mmm/yy;@"/>
    <numFmt numFmtId="165" formatCode="dd\-mmm\-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mbria"/>
      <family val="1"/>
    </font>
    <font>
      <sz val="11"/>
      <color rgb="FFD2051E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9.5"/>
      <color theme="9" tint="-0.499984740745262"/>
      <name val="Arial Black"/>
      <family val="2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8"/>
      <name val="Calibri"/>
      <family val="2"/>
      <scheme val="minor"/>
    </font>
    <font>
      <sz val="10"/>
      <color theme="0"/>
      <name val="Arial Black"/>
      <family val="2"/>
    </font>
    <font>
      <b/>
      <sz val="9.5"/>
      <color rgb="FFCC0000"/>
      <name val="Arial Black"/>
      <family val="2"/>
    </font>
    <font>
      <sz val="9.5"/>
      <color rgb="FFCC0000"/>
      <name val="Arial Black"/>
      <family val="2"/>
    </font>
    <font>
      <sz val="11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242424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Segoe UI"/>
      <family val="2"/>
    </font>
    <font>
      <sz val="11"/>
      <color theme="1"/>
      <name val="Segoe UI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3" fillId="2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49" fontId="6" fillId="0" borderId="5" xfId="0" applyNumberFormat="1" applyFont="1" applyBorder="1" applyAlignment="1" applyProtection="1">
      <alignment horizontal="center" vertical="center"/>
      <protection locked="0"/>
    </xf>
    <xf numFmtId="3" fontId="6" fillId="0" borderId="5" xfId="0" applyNumberFormat="1" applyFont="1" applyBorder="1" applyAlignment="1" applyProtection="1">
      <alignment horizontal="left" vertical="center"/>
      <protection locked="0"/>
    </xf>
    <xf numFmtId="0" fontId="6" fillId="0" borderId="5" xfId="0" applyNumberFormat="1" applyFont="1" applyBorder="1" applyAlignment="1" applyProtection="1">
      <alignment horizontal="center" vertical="center"/>
      <protection locked="0"/>
    </xf>
    <xf numFmtId="0" fontId="6" fillId="0" borderId="5" xfId="0" applyNumberFormat="1" applyFont="1" applyBorder="1" applyAlignment="1" applyProtection="1">
      <alignment horizontal="center" vertical="center"/>
      <protection hidden="1"/>
    </xf>
    <xf numFmtId="49" fontId="0" fillId="0" borderId="5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6" fillId="0" borderId="5" xfId="0" applyNumberFormat="1" applyFont="1" applyBorder="1" applyAlignment="1" applyProtection="1">
      <alignment horizontal="left" vertical="center"/>
      <protection hidden="1"/>
    </xf>
    <xf numFmtId="3" fontId="6" fillId="0" borderId="6" xfId="0" applyNumberFormat="1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49" fontId="6" fillId="0" borderId="6" xfId="0" applyNumberFormat="1" applyFont="1" applyBorder="1" applyAlignment="1" applyProtection="1">
      <alignment horizontal="center" vertical="center"/>
      <protection locked="0"/>
    </xf>
    <xf numFmtId="3" fontId="6" fillId="0" borderId="6" xfId="0" applyNumberFormat="1" applyFont="1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3" fontId="6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4" fillId="3" borderId="0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0" xfId="0" applyNumberFormat="1" applyFont="1" applyFill="1" applyBorder="1" applyAlignment="1" applyProtection="1">
      <alignment horizontal="left" vertical="center" wrapText="1"/>
      <protection locked="0"/>
    </xf>
    <xf numFmtId="49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4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16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 applyAlignment="1">
      <alignment horizontal="center" vertical="center"/>
    </xf>
    <xf numFmtId="49" fontId="7" fillId="3" borderId="2" xfId="0" applyNumberFormat="1" applyFont="1" applyFill="1" applyBorder="1" applyAlignment="1" applyProtection="1">
      <alignment horizontal="center" wrapText="1"/>
      <protection locked="0"/>
    </xf>
    <xf numFmtId="164" fontId="7" fillId="3" borderId="3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/>
    </xf>
    <xf numFmtId="49" fontId="7" fillId="3" borderId="0" xfId="0" applyNumberFormat="1" applyFont="1" applyFill="1" applyBorder="1" applyAlignment="1" applyProtection="1">
      <alignment horizontal="center" vertical="center" wrapText="1"/>
      <protection locked="0"/>
    </xf>
    <xf numFmtId="49" fontId="7" fillId="3" borderId="0" xfId="0" applyNumberFormat="1" applyFont="1" applyFill="1" applyBorder="1" applyAlignment="1" applyProtection="1">
      <alignment horizontal="center" wrapText="1"/>
      <protection locked="0"/>
    </xf>
    <xf numFmtId="165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Border="1" applyAlignment="1" applyProtection="1">
      <alignment horizontal="center" vertical="center"/>
      <protection locked="0"/>
    </xf>
    <xf numFmtId="0" fontId="6" fillId="0" borderId="0" xfId="0" applyNumberFormat="1" applyFont="1" applyBorder="1" applyAlignment="1" applyProtection="1">
      <alignment horizontal="center" vertical="center"/>
      <protection hidden="1"/>
    </xf>
    <xf numFmtId="164" fontId="5" fillId="3" borderId="3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8" fillId="3" borderId="0" xfId="0" applyNumberFormat="1" applyFont="1" applyFill="1" applyBorder="1" applyAlignment="1" applyProtection="1">
      <alignment horizontal="center" vertical="center" wrapText="1"/>
      <protection locked="0"/>
    </xf>
    <xf numFmtId="164" fontId="4" fillId="3" borderId="13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49" fontId="9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NumberFormat="1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49" fontId="0" fillId="0" borderId="6" xfId="0" applyNumberFormat="1" applyBorder="1" applyAlignment="1" applyProtection="1">
      <alignment horizontal="center" vertical="center"/>
      <protection locked="0"/>
    </xf>
    <xf numFmtId="0" fontId="6" fillId="0" borderId="6" xfId="0" applyNumberFormat="1" applyFont="1" applyBorder="1" applyAlignment="1" applyProtection="1">
      <alignment horizontal="left" vertical="center"/>
      <protection locked="0"/>
    </xf>
    <xf numFmtId="49" fontId="0" fillId="4" borderId="6" xfId="0" applyNumberForma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left" vertical="center"/>
      <protection locked="0"/>
    </xf>
    <xf numFmtId="0" fontId="6" fillId="0" borderId="8" xfId="0" applyNumberFormat="1" applyFont="1" applyBorder="1" applyAlignment="1" applyProtection="1">
      <alignment horizontal="left" vertical="center"/>
      <protection locked="0"/>
    </xf>
    <xf numFmtId="49" fontId="6" fillId="0" borderId="8" xfId="0" applyNumberFormat="1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4" fontId="8" fillId="3" borderId="3" xfId="0" applyNumberFormat="1" applyFont="1" applyFill="1" applyBorder="1" applyAlignment="1" applyProtection="1">
      <alignment horizontal="center" vertical="center" wrapText="1"/>
      <protection locked="0"/>
    </xf>
    <xf numFmtId="165" fontId="8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/>
    </xf>
    <xf numFmtId="0" fontId="6" fillId="0" borderId="8" xfId="0" applyNumberFormat="1" applyFont="1" applyFill="1" applyBorder="1" applyAlignment="1" applyProtection="1">
      <alignment horizontal="center" vertical="center"/>
      <protection locked="0"/>
    </xf>
    <xf numFmtId="3" fontId="6" fillId="0" borderId="6" xfId="0" applyNumberFormat="1" applyFont="1" applyFill="1" applyBorder="1" applyAlignment="1" applyProtection="1">
      <alignment horizontal="left" vertical="center"/>
      <protection locked="0"/>
    </xf>
    <xf numFmtId="49" fontId="6" fillId="0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5" borderId="5" xfId="0" applyNumberFormat="1" applyFont="1" applyFill="1" applyBorder="1" applyAlignment="1" applyProtection="1">
      <alignment horizontal="center" vertical="center"/>
      <protection hidden="1"/>
    </xf>
    <xf numFmtId="0" fontId="0" fillId="5" borderId="5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Alignment="1">
      <alignment horizontal="left" vertical="center"/>
    </xf>
    <xf numFmtId="164" fontId="4" fillId="2" borderId="3" xfId="0" applyNumberFormat="1" applyFont="1" applyFill="1" applyBorder="1" applyAlignment="1" applyProtection="1">
      <alignment horizontal="center" vertical="center" wrapText="1"/>
      <protection locked="0"/>
    </xf>
    <xf numFmtId="164" fontId="4" fillId="2" borderId="3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49" fontId="15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8" fillId="4" borderId="4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7" fillId="6" borderId="2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7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1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9" fillId="7" borderId="15" xfId="0" applyNumberFormat="1" applyFont="1" applyFill="1" applyBorder="1" applyAlignment="1" applyProtection="1">
      <alignment horizontal="center" vertical="center"/>
      <protection hidden="1"/>
    </xf>
    <xf numFmtId="0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21" fillId="8" borderId="0" xfId="0" applyFont="1" applyFill="1" applyAlignment="1" applyProtection="1">
      <alignment horizontal="center" vertical="center"/>
      <protection locked="0"/>
    </xf>
    <xf numFmtId="0" fontId="20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49" fontId="8" fillId="7" borderId="3" xfId="0" applyNumberFormat="1" applyFont="1" applyFill="1" applyBorder="1" applyAlignment="1" applyProtection="1">
      <alignment horizontal="center" vertical="center" wrapText="1"/>
      <protection hidden="1"/>
    </xf>
    <xf numFmtId="0" fontId="1" fillId="7" borderId="15" xfId="0" applyFont="1" applyFill="1" applyBorder="1" applyAlignment="1" applyProtection="1">
      <alignment horizontal="center" vertical="center"/>
      <protection hidden="1"/>
    </xf>
    <xf numFmtId="49" fontId="19" fillId="7" borderId="15" xfId="0" applyNumberFormat="1" applyFont="1" applyFill="1" applyBorder="1" applyAlignment="1" applyProtection="1">
      <alignment horizontal="center" vertical="center"/>
      <protection hidden="1"/>
    </xf>
    <xf numFmtId="3" fontId="19" fillId="7" borderId="15" xfId="0" applyNumberFormat="1" applyFont="1" applyFill="1" applyBorder="1" applyAlignment="1" applyProtection="1">
      <alignment horizontal="center" vertical="center"/>
      <protection hidden="1"/>
    </xf>
    <xf numFmtId="0" fontId="18" fillId="7" borderId="15" xfId="0" applyNumberFormat="1" applyFont="1" applyFill="1" applyBorder="1" applyAlignment="1" applyProtection="1">
      <alignment horizontal="center" vertical="center"/>
      <protection hidden="1"/>
    </xf>
    <xf numFmtId="0" fontId="23" fillId="7" borderId="15" xfId="0" applyNumberFormat="1" applyFont="1" applyFill="1" applyBorder="1" applyAlignment="1" applyProtection="1">
      <alignment horizontal="center" vertical="center"/>
      <protection hidden="1"/>
    </xf>
    <xf numFmtId="0" fontId="24" fillId="6" borderId="15" xfId="0" applyNumberFormat="1" applyFont="1" applyFill="1" applyBorder="1" applyAlignment="1" applyProtection="1">
      <alignment horizontal="center" vertical="center"/>
      <protection hidden="1"/>
    </xf>
    <xf numFmtId="0" fontId="22" fillId="8" borderId="15" xfId="0" applyNumberFormat="1" applyFont="1" applyFill="1" applyBorder="1" applyAlignment="1" applyProtection="1">
      <alignment horizontal="center" vertical="center"/>
      <protection hidden="1"/>
    </xf>
    <xf numFmtId="49" fontId="1" fillId="7" borderId="15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hidden="1"/>
    </xf>
    <xf numFmtId="0" fontId="28" fillId="10" borderId="16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29" fillId="11" borderId="16" xfId="0" applyFont="1" applyFill="1" applyBorder="1" applyAlignment="1">
      <alignment horizontal="center" vertical="center"/>
    </xf>
    <xf numFmtId="0" fontId="30" fillId="11" borderId="16" xfId="0" applyFont="1" applyFill="1" applyBorder="1" applyAlignment="1">
      <alignment horizontal="center" vertical="center" wrapText="1"/>
    </xf>
    <xf numFmtId="0" fontId="1" fillId="7" borderId="15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49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31" fillId="4" borderId="16" xfId="0" applyFont="1" applyFill="1" applyBorder="1" applyAlignment="1">
      <alignment horizontal="center" vertical="center" wrapText="1"/>
    </xf>
    <xf numFmtId="0" fontId="0" fillId="4" borderId="16" xfId="0" applyFont="1" applyFill="1" applyBorder="1" applyAlignment="1">
      <alignment horizontal="left" vertical="center"/>
    </xf>
    <xf numFmtId="3" fontId="0" fillId="4" borderId="16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left" vertical="center"/>
      <protection locked="0"/>
    </xf>
    <xf numFmtId="49" fontId="7" fillId="3" borderId="0" xfId="0" applyNumberFormat="1" applyFont="1" applyFill="1" applyAlignment="1" applyProtection="1">
      <alignment horizontal="center" vertical="center" wrapText="1"/>
      <protection locked="0"/>
    </xf>
    <xf numFmtId="49" fontId="4" fillId="3" borderId="0" xfId="0" applyNumberFormat="1" applyFont="1" applyFill="1" applyAlignment="1" applyProtection="1">
      <alignment horizontal="center" vertical="center" wrapText="1"/>
      <protection locked="0"/>
    </xf>
    <xf numFmtId="49" fontId="4" fillId="3" borderId="0" xfId="0" applyNumberFormat="1" applyFont="1" applyFill="1" applyAlignment="1" applyProtection="1">
      <alignment horizontal="left" vertical="center" wrapText="1"/>
      <protection locked="0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18" fillId="0" borderId="0" xfId="0" applyFont="1" applyAlignment="1">
      <alignment horizontal="center" vertical="center"/>
    </xf>
    <xf numFmtId="164" fontId="4" fillId="3" borderId="3" xfId="0" applyNumberFormat="1" applyFont="1" applyFill="1" applyBorder="1" applyAlignment="1" applyProtection="1">
      <alignment horizontal="center" wrapText="1"/>
      <protection locked="0"/>
    </xf>
    <xf numFmtId="49" fontId="4" fillId="3" borderId="0" xfId="0" applyNumberFormat="1" applyFont="1" applyFill="1" applyBorder="1" applyAlignment="1" applyProtection="1">
      <alignment horizontal="center" wrapText="1"/>
      <protection locked="0"/>
    </xf>
    <xf numFmtId="0" fontId="0" fillId="0" borderId="5" xfId="0" applyBorder="1" applyAlignment="1" applyProtection="1">
      <alignment horizontal="center"/>
      <protection locked="0"/>
    </xf>
    <xf numFmtId="0" fontId="6" fillId="0" borderId="5" xfId="0" applyNumberFormat="1" applyFont="1" applyBorder="1" applyAlignment="1" applyProtection="1">
      <alignment horizontal="center"/>
      <protection hidden="1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49" fontId="4" fillId="3" borderId="3" xfId="0" applyNumberFormat="1" applyFont="1" applyFill="1" applyBorder="1" applyAlignment="1" applyProtection="1">
      <alignment horizontal="center" wrapText="1"/>
      <protection locked="0"/>
    </xf>
    <xf numFmtId="49" fontId="4" fillId="3" borderId="10" xfId="0" applyNumberFormat="1" applyFont="1" applyFill="1" applyBorder="1" applyAlignment="1" applyProtection="1">
      <alignment horizontal="center" wrapText="1"/>
      <protection locked="0"/>
    </xf>
    <xf numFmtId="49" fontId="4" fillId="3" borderId="10" xfId="0" applyNumberFormat="1" applyFont="1" applyFill="1" applyBorder="1" applyAlignment="1" applyProtection="1">
      <alignment vertical="center" wrapText="1"/>
      <protection locked="0"/>
    </xf>
    <xf numFmtId="49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14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/>
      <protection hidden="1"/>
    </xf>
    <xf numFmtId="49" fontId="8" fillId="3" borderId="0" xfId="0" applyNumberFormat="1" applyFont="1" applyFill="1" applyBorder="1" applyAlignment="1" applyProtection="1">
      <alignment horizontal="center" vertical="center"/>
      <protection locked="0"/>
    </xf>
    <xf numFmtId="2" fontId="26" fillId="7" borderId="3" xfId="0" applyNumberFormat="1" applyFont="1" applyFill="1" applyBorder="1" applyAlignment="1" applyProtection="1">
      <alignment horizontal="center" vertical="center" wrapText="1"/>
      <protection hidden="1"/>
    </xf>
    <xf numFmtId="2" fontId="26" fillId="6" borderId="3" xfId="0" applyNumberFormat="1" applyFont="1" applyFill="1" applyBorder="1" applyAlignment="1" applyProtection="1">
      <alignment horizontal="center" vertical="center" wrapText="1"/>
      <protection hidden="1"/>
    </xf>
    <xf numFmtId="2" fontId="27" fillId="8" borderId="3" xfId="0" applyNumberFormat="1" applyFont="1" applyFill="1" applyBorder="1" applyAlignment="1" applyProtection="1">
      <alignment horizontal="center" vertical="center" wrapText="1"/>
      <protection hidden="1"/>
    </xf>
    <xf numFmtId="3" fontId="19" fillId="7" borderId="15" xfId="0" applyNumberFormat="1" applyFont="1" applyFill="1" applyBorder="1" applyAlignment="1" applyProtection="1">
      <alignment horizontal="left" vertical="center" indent="1"/>
      <protection hidden="1"/>
    </xf>
    <xf numFmtId="0" fontId="1" fillId="7" borderId="15" xfId="0" applyFont="1" applyFill="1" applyBorder="1" applyAlignment="1" applyProtection="1">
      <alignment horizontal="left" vertical="center" indent="1"/>
      <protection hidden="1"/>
    </xf>
    <xf numFmtId="0" fontId="19" fillId="7" borderId="15" xfId="0" applyNumberFormat="1" applyFont="1" applyFill="1" applyBorder="1" applyAlignment="1" applyProtection="1">
      <alignment horizontal="left" vertical="center" indent="1"/>
      <protection hidden="1"/>
    </xf>
    <xf numFmtId="49" fontId="4" fillId="3" borderId="3" xfId="0" applyNumberFormat="1" applyFont="1" applyFill="1" applyBorder="1" applyAlignment="1" applyProtection="1">
      <alignment horizontal="center" wrapText="1"/>
      <protection locked="0"/>
    </xf>
    <xf numFmtId="16" fontId="0" fillId="0" borderId="0" xfId="0" applyNumberFormat="1" applyAlignment="1">
      <alignment horizontal="center" vertical="center"/>
    </xf>
    <xf numFmtId="16" fontId="0" fillId="0" borderId="16" xfId="0" applyNumberFormat="1" applyBorder="1" applyAlignment="1">
      <alignment horizontal="center" vertical="center"/>
    </xf>
    <xf numFmtId="0" fontId="0" fillId="0" borderId="16" xfId="0" applyBorder="1"/>
    <xf numFmtId="0" fontId="1" fillId="0" borderId="16" xfId="0" applyFont="1" applyBorder="1" applyAlignment="1">
      <alignment horizontal="center" vertical="center"/>
    </xf>
    <xf numFmtId="0" fontId="1" fillId="0" borderId="0" xfId="0" applyFont="1"/>
    <xf numFmtId="49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1" xfId="0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4" fillId="2" borderId="3" xfId="0" applyNumberFormat="1" applyFont="1" applyFill="1" applyBorder="1" applyAlignment="1" applyProtection="1">
      <alignment horizontal="left" vertical="center" wrapText="1"/>
      <protection locked="0"/>
    </xf>
    <xf numFmtId="49" fontId="4" fillId="2" borderId="10" xfId="0" applyNumberFormat="1" applyFont="1" applyFill="1" applyBorder="1" applyAlignment="1" applyProtection="1">
      <alignment horizontal="left" vertical="center" wrapText="1"/>
      <protection locked="0"/>
    </xf>
    <xf numFmtId="164" fontId="4" fillId="2" borderId="3" xfId="0" applyNumberFormat="1" applyFont="1" applyFill="1" applyBorder="1" applyAlignment="1" applyProtection="1">
      <alignment horizontal="center" vertical="center" wrapText="1"/>
      <protection locked="0"/>
    </xf>
    <xf numFmtId="164" fontId="4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34" fillId="0" borderId="0" xfId="0" applyFont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49" fontId="4" fillId="3" borderId="12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11" xfId="0" applyNumberFormat="1" applyFont="1" applyFill="1" applyBorder="1" applyAlignment="1" applyProtection="1">
      <alignment horizontal="center" vertical="center" wrapText="1"/>
      <protection locked="0"/>
    </xf>
    <xf numFmtId="49" fontId="4" fillId="3" borderId="3" xfId="0" applyNumberFormat="1" applyFont="1" applyFill="1" applyBorder="1" applyAlignment="1" applyProtection="1">
      <alignment horizontal="center" wrapText="1"/>
      <protection locked="0"/>
    </xf>
    <xf numFmtId="49" fontId="4" fillId="3" borderId="10" xfId="0" applyNumberFormat="1" applyFont="1" applyFill="1" applyBorder="1" applyAlignment="1" applyProtection="1">
      <alignment horizontal="center" wrapText="1"/>
      <protection locked="0"/>
    </xf>
    <xf numFmtId="0" fontId="2" fillId="9" borderId="0" xfId="0" applyFont="1" applyFill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3" fontId="0" fillId="0" borderId="16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9" fillId="11" borderId="17" xfId="0" applyFont="1" applyFill="1" applyBorder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16" fillId="0" borderId="16" xfId="0" applyFont="1" applyBorder="1" applyAlignment="1">
      <alignment horizontal="center" vertical="center"/>
    </xf>
  </cellXfs>
  <cellStyles count="1">
    <cellStyle name="Normal" xfId="0" builtinId="0"/>
  </cellStyles>
  <dxfs count="391"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  <dxf>
      <fill>
        <patternFill>
          <bgColor rgb="FFA9A9A9"/>
        </patternFill>
      </fill>
    </dxf>
  </dxfs>
  <tableStyles count="0" defaultTableStyle="TableStyleMedium2" defaultPivotStyle="PivotStyleLight16"/>
  <colors>
    <mruColors>
      <color rgb="FFCC0000"/>
      <color rgb="FFFF7C80"/>
      <color rgb="FFFF5050"/>
      <color rgb="FF753805"/>
      <color rgb="FFBBAD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SCAFFOLDING</a:t>
            </a:r>
            <a:r>
              <a:rPr lang="en-US" baseline="0"/>
              <a:t> MATERIAL TONNAGE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511395295446231E-2"/>
          <c:y val="6.674393700787401E-2"/>
          <c:w val="0.90300116031595346"/>
          <c:h val="0.886049203849518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'SCAFFOLDING MATERIAL OVERALL'!$H$5:$P$5</c:f>
              <c:strCache>
                <c:ptCount val="9"/>
                <c:pt idx="0">
                  <c:v>JAFFURA S19 SCAFFOLDING</c:v>
                </c:pt>
                <c:pt idx="1">
                  <c:v>DAMMAM S20 SCAFFOLDING</c:v>
                </c:pt>
                <c:pt idx="2">
                  <c:v>JAFFURA S15 SCAFFOLDING</c:v>
                </c:pt>
                <c:pt idx="3">
                  <c:v>JAFFURA S16 SCAFFOLDING</c:v>
                </c:pt>
                <c:pt idx="4">
                  <c:v>MARJAN S13 SCAFFOLDING</c:v>
                </c:pt>
                <c:pt idx="5">
                  <c:v>FADHILI- 22 SCAFFOLDING</c:v>
                </c:pt>
                <c:pt idx="6">
                  <c:v>OYUN - 12 SCAFFOLDING</c:v>
                </c:pt>
                <c:pt idx="7">
                  <c:v>JAFFURA-
NMP-01</c:v>
                </c:pt>
                <c:pt idx="8">
                  <c:v>RENTAL MATERIAL</c:v>
                </c:pt>
              </c:strCache>
            </c:strRef>
          </c:cat>
          <c:val>
            <c:numRef>
              <c:f>'SCAFFOLDING MATERIAL OVERALL'!$H$6:$P$6</c:f>
              <c:numCache>
                <c:formatCode>0.00</c:formatCode>
                <c:ptCount val="9"/>
                <c:pt idx="0">
                  <c:v>166.33186499999996</c:v>
                </c:pt>
                <c:pt idx="1">
                  <c:v>66.185220000000001</c:v>
                </c:pt>
                <c:pt idx="2">
                  <c:v>883.70124899999996</c:v>
                </c:pt>
                <c:pt idx="3">
                  <c:v>37.853299999999997</c:v>
                </c:pt>
                <c:pt idx="4">
                  <c:v>4579.7550509999992</c:v>
                </c:pt>
                <c:pt idx="5">
                  <c:v>1082.244492</c:v>
                </c:pt>
                <c:pt idx="6">
                  <c:v>137.58885500000002</c:v>
                </c:pt>
                <c:pt idx="7">
                  <c:v>13.490365000000002</c:v>
                </c:pt>
                <c:pt idx="8">
                  <c:v>1496.6574499999999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D-43A2-B2B6-37E6BF8CE96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34641999"/>
        <c:axId val="1334639087"/>
      </c:barChart>
      <c:catAx>
        <c:axId val="1334641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639087"/>
        <c:crosses val="autoZero"/>
        <c:auto val="1"/>
        <c:lblAlgn val="ctr"/>
        <c:lblOffset val="100"/>
        <c:noMultiLvlLbl val="0"/>
      </c:catAx>
      <c:valAx>
        <c:axId val="1334639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64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14</xdr:row>
      <xdr:rowOff>0</xdr:rowOff>
    </xdr:from>
    <xdr:to>
      <xdr:col>31</xdr:col>
      <xdr:colOff>304800</xdr:colOff>
      <xdr:row>15</xdr:row>
      <xdr:rowOff>114300</xdr:rowOff>
    </xdr:to>
    <xdr:sp macro="" textlink="">
      <xdr:nvSpPr>
        <xdr:cNvPr id="2049" name="AutoShape 1" descr="blob:https://ontrack3.hilti.com/6edae960-0e37-4efc-9318-c9f1e354b795"/>
        <xdr:cNvSpPr>
          <a:spLocks noChangeAspect="1" noChangeArrowheads="1"/>
        </xdr:cNvSpPr>
      </xdr:nvSpPr>
      <xdr:spPr bwMode="auto">
        <a:xfrm>
          <a:off x="25927050" y="306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33</xdr:col>
      <xdr:colOff>0</xdr:colOff>
      <xdr:row>12</xdr:row>
      <xdr:rowOff>0</xdr:rowOff>
    </xdr:from>
    <xdr:to>
      <xdr:col>33</xdr:col>
      <xdr:colOff>304800</xdr:colOff>
      <xdr:row>13</xdr:row>
      <xdr:rowOff>114300</xdr:rowOff>
    </xdr:to>
    <xdr:sp macro="" textlink="">
      <xdr:nvSpPr>
        <xdr:cNvPr id="2050" name="AutoShape 2" descr="blob:https://ontrack3.hilti.com/90d0338d-5c6a-4719-b453-9b57f08426f2"/>
        <xdr:cNvSpPr>
          <a:spLocks noChangeAspect="1" noChangeArrowheads="1"/>
        </xdr:cNvSpPr>
      </xdr:nvSpPr>
      <xdr:spPr bwMode="auto">
        <a:xfrm>
          <a:off x="27412950" y="268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17</xdr:row>
      <xdr:rowOff>0</xdr:rowOff>
    </xdr:from>
    <xdr:to>
      <xdr:col>43</xdr:col>
      <xdr:colOff>304800</xdr:colOff>
      <xdr:row>18</xdr:row>
      <xdr:rowOff>114300</xdr:rowOff>
    </xdr:to>
    <xdr:sp macro="" textlink="">
      <xdr:nvSpPr>
        <xdr:cNvPr id="2" name="AutoShape 1" descr="blob:https://web.whatsapp.com/a0a73fb2-ab10-4589-869b-60a4b9351a42"/>
        <xdr:cNvSpPr>
          <a:spLocks noChangeAspect="1" noChangeArrowheads="1"/>
        </xdr:cNvSpPr>
      </xdr:nvSpPr>
      <xdr:spPr bwMode="auto">
        <a:xfrm>
          <a:off x="202558650" y="363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43</xdr:col>
      <xdr:colOff>0</xdr:colOff>
      <xdr:row>18</xdr:row>
      <xdr:rowOff>0</xdr:rowOff>
    </xdr:from>
    <xdr:to>
      <xdr:col>43</xdr:col>
      <xdr:colOff>304800</xdr:colOff>
      <xdr:row>19</xdr:row>
      <xdr:rowOff>114300</xdr:rowOff>
    </xdr:to>
    <xdr:sp macro="" textlink="">
      <xdr:nvSpPr>
        <xdr:cNvPr id="3" name="AutoShape 2" descr="blob:https://web.whatsapp.com/a0a73fb2-ab10-4589-869b-60a4b9351a42"/>
        <xdr:cNvSpPr>
          <a:spLocks noChangeAspect="1" noChangeArrowheads="1"/>
        </xdr:cNvSpPr>
      </xdr:nvSpPr>
      <xdr:spPr bwMode="auto">
        <a:xfrm>
          <a:off x="202558650" y="382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914400</xdr:colOff>
          <xdr:row>3</xdr:row>
          <xdr:rowOff>76200</xdr:rowOff>
        </xdr:to>
        <xdr:sp macro="" textlink="">
          <xdr:nvSpPr>
            <xdr:cNvPr id="14337" name="Control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44</xdr:col>
      <xdr:colOff>0</xdr:colOff>
      <xdr:row>17</xdr:row>
      <xdr:rowOff>0</xdr:rowOff>
    </xdr:from>
    <xdr:ext cx="304800" cy="304800"/>
    <xdr:sp macro="" textlink="">
      <xdr:nvSpPr>
        <xdr:cNvPr id="5" name="AutoShape 1" descr="blob:https://web.whatsapp.com/a0a73fb2-ab10-4589-869b-60a4b9351a42"/>
        <xdr:cNvSpPr>
          <a:spLocks noChangeAspect="1" noChangeArrowheads="1"/>
        </xdr:cNvSpPr>
      </xdr:nvSpPr>
      <xdr:spPr bwMode="auto">
        <a:xfrm>
          <a:off x="31384875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328</xdr:col>
      <xdr:colOff>0</xdr:colOff>
      <xdr:row>17</xdr:row>
      <xdr:rowOff>0</xdr:rowOff>
    </xdr:from>
    <xdr:to>
      <xdr:col>328</xdr:col>
      <xdr:colOff>304800</xdr:colOff>
      <xdr:row>18</xdr:row>
      <xdr:rowOff>114300</xdr:rowOff>
    </xdr:to>
    <xdr:sp macro="" textlink="">
      <xdr:nvSpPr>
        <xdr:cNvPr id="18433" name="AutoShape 1" descr="blob:https://web.whatsapp.com/a0a73fb2-ab10-4589-869b-60a4b9351a42"/>
        <xdr:cNvSpPr>
          <a:spLocks noChangeAspect="1" noChangeArrowheads="1"/>
        </xdr:cNvSpPr>
      </xdr:nvSpPr>
      <xdr:spPr bwMode="auto">
        <a:xfrm>
          <a:off x="202558650" y="363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328</xdr:col>
      <xdr:colOff>0</xdr:colOff>
      <xdr:row>18</xdr:row>
      <xdr:rowOff>0</xdr:rowOff>
    </xdr:from>
    <xdr:to>
      <xdr:col>328</xdr:col>
      <xdr:colOff>304800</xdr:colOff>
      <xdr:row>19</xdr:row>
      <xdr:rowOff>114300</xdr:rowOff>
    </xdr:to>
    <xdr:sp macro="" textlink="">
      <xdr:nvSpPr>
        <xdr:cNvPr id="18434" name="AutoShape 2" descr="blob:https://web.whatsapp.com/a0a73fb2-ab10-4589-869b-60a4b9351a42"/>
        <xdr:cNvSpPr>
          <a:spLocks noChangeAspect="1" noChangeArrowheads="1"/>
        </xdr:cNvSpPr>
      </xdr:nvSpPr>
      <xdr:spPr bwMode="auto">
        <a:xfrm>
          <a:off x="202558650" y="382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329</xdr:col>
      <xdr:colOff>0</xdr:colOff>
      <xdr:row>17</xdr:row>
      <xdr:rowOff>0</xdr:rowOff>
    </xdr:from>
    <xdr:ext cx="304800" cy="304800"/>
    <xdr:sp macro="" textlink="">
      <xdr:nvSpPr>
        <xdr:cNvPr id="4" name="AutoShape 1" descr="blob:https://web.whatsapp.com/a0a73fb2-ab10-4589-869b-60a4b9351a42"/>
        <xdr:cNvSpPr>
          <a:spLocks noChangeAspect="1" noChangeArrowheads="1"/>
        </xdr:cNvSpPr>
      </xdr:nvSpPr>
      <xdr:spPr bwMode="auto">
        <a:xfrm>
          <a:off x="32108775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329</xdr:col>
      <xdr:colOff>0</xdr:colOff>
      <xdr:row>18</xdr:row>
      <xdr:rowOff>0</xdr:rowOff>
    </xdr:from>
    <xdr:ext cx="304800" cy="304800"/>
    <xdr:sp macro="" textlink="">
      <xdr:nvSpPr>
        <xdr:cNvPr id="5" name="AutoShape 2" descr="blob:https://web.whatsapp.com/a0a73fb2-ab10-4589-869b-60a4b9351a42"/>
        <xdr:cNvSpPr>
          <a:spLocks noChangeAspect="1" noChangeArrowheads="1"/>
        </xdr:cNvSpPr>
      </xdr:nvSpPr>
      <xdr:spPr bwMode="auto">
        <a:xfrm>
          <a:off x="32108775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0</xdr:colOff>
          <xdr:row>2</xdr:row>
          <xdr:rowOff>0</xdr:rowOff>
        </xdr:from>
        <xdr:to>
          <xdr:col>85</xdr:col>
          <xdr:colOff>219075</xdr:colOff>
          <xdr:row>3</xdr:row>
          <xdr:rowOff>76200</xdr:rowOff>
        </xdr:to>
        <xdr:sp macro="" textlink="">
          <xdr:nvSpPr>
            <xdr:cNvPr id="38913" name="Control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9525</xdr:rowOff>
    </xdr:from>
    <xdr:to>
      <xdr:col>16</xdr:col>
      <xdr:colOff>942975</xdr:colOff>
      <xdr:row>4</xdr:row>
      <xdr:rowOff>0</xdr:rowOff>
    </xdr:to>
    <xdr:sp macro="[0]!GRAND_TOTAL" textlink="">
      <xdr:nvSpPr>
        <xdr:cNvPr id="3" name="Rectangle 2"/>
        <xdr:cNvSpPr/>
      </xdr:nvSpPr>
      <xdr:spPr>
        <a:xfrm>
          <a:off x="7048500" y="9525"/>
          <a:ext cx="8562975" cy="771525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SCAFFOLDING</a:t>
          </a:r>
          <a:r>
            <a:rPr lang="en-US" sz="2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MATERIAL</a:t>
          </a:r>
          <a:r>
            <a:rPr lang="en-US" sz="28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EXPORTED FROM</a:t>
          </a:r>
          <a:r>
            <a:rPr lang="en-US" sz="2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YARD</a:t>
          </a:r>
          <a:endParaRPr lang="en-US" sz="2400"/>
        </a:p>
      </xdr:txBody>
    </xdr:sp>
    <xdr:clientData/>
  </xdr:twoCellAnchor>
  <xdr:twoCellAnchor>
    <xdr:from>
      <xdr:col>7</xdr:col>
      <xdr:colOff>0</xdr:colOff>
      <xdr:row>4</xdr:row>
      <xdr:rowOff>1</xdr:rowOff>
    </xdr:from>
    <xdr:to>
      <xdr:col>7</xdr:col>
      <xdr:colOff>885825</xdr:colOff>
      <xdr:row>4</xdr:row>
      <xdr:rowOff>514351</xdr:rowOff>
    </xdr:to>
    <xdr:sp macro="[0]!Show_S019_JAFURRA" textlink="">
      <xdr:nvSpPr>
        <xdr:cNvPr id="4" name="Rectangle 3"/>
        <xdr:cNvSpPr/>
      </xdr:nvSpPr>
      <xdr:spPr>
        <a:xfrm>
          <a:off x="7610475" y="781051"/>
          <a:ext cx="885825" cy="5143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9525</xdr:rowOff>
    </xdr:from>
    <xdr:to>
      <xdr:col>8</xdr:col>
      <xdr:colOff>942975</xdr:colOff>
      <xdr:row>5</xdr:row>
      <xdr:rowOff>9525</xdr:rowOff>
    </xdr:to>
    <xdr:sp macro="[0]!Show_S020_JAFFURA" textlink="">
      <xdr:nvSpPr>
        <xdr:cNvPr id="5" name="Rectangle 4"/>
        <xdr:cNvSpPr/>
      </xdr:nvSpPr>
      <xdr:spPr>
        <a:xfrm>
          <a:off x="8362950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9525</xdr:colOff>
      <xdr:row>4</xdr:row>
      <xdr:rowOff>9525</xdr:rowOff>
    </xdr:from>
    <xdr:to>
      <xdr:col>10</xdr:col>
      <xdr:colOff>0</xdr:colOff>
      <xdr:row>5</xdr:row>
      <xdr:rowOff>9525</xdr:rowOff>
    </xdr:to>
    <xdr:sp macro="[0]!Show_S015_JAFFURA" textlink="">
      <xdr:nvSpPr>
        <xdr:cNvPr id="6" name="Rectangle 5"/>
        <xdr:cNvSpPr/>
      </xdr:nvSpPr>
      <xdr:spPr>
        <a:xfrm>
          <a:off x="9324975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895350</xdr:colOff>
      <xdr:row>4</xdr:row>
      <xdr:rowOff>0</xdr:rowOff>
    </xdr:from>
    <xdr:to>
      <xdr:col>11</xdr:col>
      <xdr:colOff>895350</xdr:colOff>
      <xdr:row>5</xdr:row>
      <xdr:rowOff>0</xdr:rowOff>
    </xdr:to>
    <xdr:sp macro="[0]!Show_S013_MARJAN" textlink="">
      <xdr:nvSpPr>
        <xdr:cNvPr id="7" name="Rectangle 6"/>
        <xdr:cNvSpPr/>
      </xdr:nvSpPr>
      <xdr:spPr>
        <a:xfrm>
          <a:off x="10344150" y="781050"/>
          <a:ext cx="904875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12</xdr:col>
      <xdr:colOff>942975</xdr:colOff>
      <xdr:row>5</xdr:row>
      <xdr:rowOff>0</xdr:rowOff>
    </xdr:to>
    <xdr:sp macro="[0]!Show_S022_FADHALI" textlink="">
      <xdr:nvSpPr>
        <xdr:cNvPr id="8" name="Rectangle 7"/>
        <xdr:cNvSpPr/>
      </xdr:nvSpPr>
      <xdr:spPr>
        <a:xfrm>
          <a:off x="11220450" y="1181100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</xdr:colOff>
      <xdr:row>4</xdr:row>
      <xdr:rowOff>9525</xdr:rowOff>
    </xdr:from>
    <xdr:to>
      <xdr:col>14</xdr:col>
      <xdr:colOff>0</xdr:colOff>
      <xdr:row>5</xdr:row>
      <xdr:rowOff>9525</xdr:rowOff>
    </xdr:to>
    <xdr:sp macro="[0]!Show_S012_OYUN" textlink="">
      <xdr:nvSpPr>
        <xdr:cNvPr id="9" name="Rectangle 8"/>
        <xdr:cNvSpPr/>
      </xdr:nvSpPr>
      <xdr:spPr>
        <a:xfrm>
          <a:off x="12182475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9525</xdr:colOff>
      <xdr:row>4</xdr:row>
      <xdr:rowOff>0</xdr:rowOff>
    </xdr:from>
    <xdr:to>
      <xdr:col>15</xdr:col>
      <xdr:colOff>0</xdr:colOff>
      <xdr:row>5</xdr:row>
      <xdr:rowOff>0</xdr:rowOff>
    </xdr:to>
    <xdr:sp macro="[0]!Show_JAFFURA_NMP01" textlink="">
      <xdr:nvSpPr>
        <xdr:cNvPr id="10" name="Rectangle 9"/>
        <xdr:cNvSpPr/>
      </xdr:nvSpPr>
      <xdr:spPr>
        <a:xfrm>
          <a:off x="13134975" y="1181100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9525</xdr:colOff>
      <xdr:row>4</xdr:row>
      <xdr:rowOff>9525</xdr:rowOff>
    </xdr:from>
    <xdr:to>
      <xdr:col>16</xdr:col>
      <xdr:colOff>0</xdr:colOff>
      <xdr:row>5</xdr:row>
      <xdr:rowOff>9525</xdr:rowOff>
    </xdr:to>
    <xdr:sp macro="[0]!Show_RENTAL_MATERIAL" textlink="">
      <xdr:nvSpPr>
        <xdr:cNvPr id="11" name="Rectangle 10"/>
        <xdr:cNvSpPr/>
      </xdr:nvSpPr>
      <xdr:spPr>
        <a:xfrm>
          <a:off x="14087475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19050</xdr:colOff>
      <xdr:row>3</xdr:row>
      <xdr:rowOff>85725</xdr:rowOff>
    </xdr:from>
    <xdr:to>
      <xdr:col>17</xdr:col>
      <xdr:colOff>9525</xdr:colOff>
      <xdr:row>4</xdr:row>
      <xdr:rowOff>571500</xdr:rowOff>
    </xdr:to>
    <xdr:sp macro="[0]!Show_ABU_DHABI" textlink="">
      <xdr:nvSpPr>
        <xdr:cNvPr id="12" name="Rectangle 11"/>
        <xdr:cNvSpPr/>
      </xdr:nvSpPr>
      <xdr:spPr>
        <a:xfrm>
          <a:off x="15049500" y="117157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9525</xdr:colOff>
      <xdr:row>4</xdr:row>
      <xdr:rowOff>9525</xdr:rowOff>
    </xdr:from>
    <xdr:to>
      <xdr:col>15</xdr:col>
      <xdr:colOff>0</xdr:colOff>
      <xdr:row>5</xdr:row>
      <xdr:rowOff>9525</xdr:rowOff>
    </xdr:to>
    <xdr:sp macro="[0]!Show_JAFFURA_NMP01" textlink="">
      <xdr:nvSpPr>
        <xdr:cNvPr id="13" name="Rectangle 12"/>
        <xdr:cNvSpPr/>
      </xdr:nvSpPr>
      <xdr:spPr>
        <a:xfrm>
          <a:off x="12211050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9525</xdr:colOff>
      <xdr:row>4</xdr:row>
      <xdr:rowOff>9525</xdr:rowOff>
    </xdr:from>
    <xdr:to>
      <xdr:col>16</xdr:col>
      <xdr:colOff>0</xdr:colOff>
      <xdr:row>5</xdr:row>
      <xdr:rowOff>9525</xdr:rowOff>
    </xdr:to>
    <xdr:sp macro="[0]!Show_RENTAL_MATERIAL" textlink="">
      <xdr:nvSpPr>
        <xdr:cNvPr id="14" name="Rectangle 13"/>
        <xdr:cNvSpPr/>
      </xdr:nvSpPr>
      <xdr:spPr>
        <a:xfrm>
          <a:off x="12211050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9525</xdr:colOff>
      <xdr:row>4</xdr:row>
      <xdr:rowOff>9525</xdr:rowOff>
    </xdr:from>
    <xdr:to>
      <xdr:col>17</xdr:col>
      <xdr:colOff>0</xdr:colOff>
      <xdr:row>5</xdr:row>
      <xdr:rowOff>9525</xdr:rowOff>
    </xdr:to>
    <xdr:sp macro="[0]!Show_ABU_DHABI" textlink="">
      <xdr:nvSpPr>
        <xdr:cNvPr id="15" name="Rectangle 14"/>
        <xdr:cNvSpPr/>
      </xdr:nvSpPr>
      <xdr:spPr>
        <a:xfrm>
          <a:off x="12211050" y="1190625"/>
          <a:ext cx="942975" cy="581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0</xdr:row>
      <xdr:rowOff>0</xdr:rowOff>
    </xdr:from>
    <xdr:to>
      <xdr:col>17</xdr:col>
      <xdr:colOff>1047750</xdr:colOff>
      <xdr:row>4</xdr:row>
      <xdr:rowOff>0</xdr:rowOff>
    </xdr:to>
    <xdr:sp macro="[0]!GRAND_TOTAL" textlink="">
      <xdr:nvSpPr>
        <xdr:cNvPr id="2" name="Rectangle 1"/>
        <xdr:cNvSpPr/>
      </xdr:nvSpPr>
      <xdr:spPr>
        <a:xfrm>
          <a:off x="15097125" y="0"/>
          <a:ext cx="1047750" cy="7810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ALL OVER  MATERIAL </a:t>
          </a:r>
        </a:p>
      </xdr:txBody>
    </xdr:sp>
    <xdr:clientData/>
  </xdr:twoCellAnchor>
  <xdr:twoCellAnchor>
    <xdr:from>
      <xdr:col>10</xdr:col>
      <xdr:colOff>9525</xdr:colOff>
      <xdr:row>4</xdr:row>
      <xdr:rowOff>9525</xdr:rowOff>
    </xdr:from>
    <xdr:to>
      <xdr:col>11</xdr:col>
      <xdr:colOff>0</xdr:colOff>
      <xdr:row>5</xdr:row>
      <xdr:rowOff>9525</xdr:rowOff>
    </xdr:to>
    <xdr:sp macro="[0]!Show_S015_JAFFURA" textlink="">
      <xdr:nvSpPr>
        <xdr:cNvPr id="16" name="Rectangle 15"/>
        <xdr:cNvSpPr/>
      </xdr:nvSpPr>
      <xdr:spPr>
        <a:xfrm>
          <a:off x="9458325" y="790575"/>
          <a:ext cx="895350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9525</xdr:colOff>
      <xdr:row>4</xdr:row>
      <xdr:rowOff>9525</xdr:rowOff>
    </xdr:from>
    <xdr:to>
      <xdr:col>11</xdr:col>
      <xdr:colOff>0</xdr:colOff>
      <xdr:row>5</xdr:row>
      <xdr:rowOff>9525</xdr:rowOff>
    </xdr:to>
    <xdr:sp macro="[0]!Show_S015_JAFFURA" textlink="">
      <xdr:nvSpPr>
        <xdr:cNvPr id="17" name="Rectangle 16"/>
        <xdr:cNvSpPr/>
      </xdr:nvSpPr>
      <xdr:spPr>
        <a:xfrm>
          <a:off x="9458325" y="790575"/>
          <a:ext cx="895350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35</xdr:col>
      <xdr:colOff>89648</xdr:colOff>
      <xdr:row>41</xdr:row>
      <xdr:rowOff>67235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607295\Downloads\JAVED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JAVED2"/>
      <sheetName val="Sheet3"/>
      <sheetName val="Filter criteria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KSA-S012</v>
          </cell>
        </row>
        <row r="2">
          <cell r="A2">
            <v>1000005000</v>
          </cell>
        </row>
        <row r="3">
          <cell r="A3">
            <v>1000005001</v>
          </cell>
        </row>
        <row r="4">
          <cell r="A4">
            <v>1000005002</v>
          </cell>
        </row>
        <row r="5">
          <cell r="A5">
            <v>1000005003</v>
          </cell>
        </row>
        <row r="6">
          <cell r="A6">
            <v>1000005004</v>
          </cell>
        </row>
        <row r="7">
          <cell r="A7">
            <v>1000005005</v>
          </cell>
        </row>
        <row r="8">
          <cell r="A8">
            <v>1000005006</v>
          </cell>
        </row>
        <row r="9">
          <cell r="A9">
            <v>1000005008</v>
          </cell>
        </row>
        <row r="10">
          <cell r="A10">
            <v>1000005009</v>
          </cell>
        </row>
        <row r="11">
          <cell r="A11">
            <v>1000005010</v>
          </cell>
        </row>
        <row r="12">
          <cell r="A12">
            <v>1000006010</v>
          </cell>
        </row>
        <row r="13">
          <cell r="A13">
            <v>1000006424</v>
          </cell>
        </row>
        <row r="14">
          <cell r="A14">
            <v>1000006666</v>
          </cell>
          <cell r="D14">
            <v>104</v>
          </cell>
        </row>
        <row r="15">
          <cell r="A15">
            <v>1000006667</v>
          </cell>
          <cell r="D15">
            <v>193</v>
          </cell>
        </row>
        <row r="16">
          <cell r="A16">
            <v>1000006668</v>
          </cell>
        </row>
        <row r="17">
          <cell r="A17">
            <v>1000006673</v>
          </cell>
        </row>
        <row r="18">
          <cell r="A18">
            <v>1000006674</v>
          </cell>
        </row>
        <row r="19">
          <cell r="A19">
            <v>1000006676</v>
          </cell>
          <cell r="D19">
            <v>6</v>
          </cell>
        </row>
        <row r="20">
          <cell r="A20">
            <v>1000006676</v>
          </cell>
        </row>
        <row r="21">
          <cell r="A21">
            <v>1000006677</v>
          </cell>
          <cell r="D21">
            <v>148</v>
          </cell>
        </row>
        <row r="22">
          <cell r="A22">
            <v>1000006777</v>
          </cell>
        </row>
        <row r="23">
          <cell r="A23">
            <v>3000000009</v>
          </cell>
          <cell r="D23">
            <v>200</v>
          </cell>
        </row>
        <row r="24">
          <cell r="A24">
            <v>3000000010</v>
          </cell>
          <cell r="D24">
            <v>15</v>
          </cell>
        </row>
        <row r="25">
          <cell r="A25">
            <v>3000000011</v>
          </cell>
        </row>
        <row r="26">
          <cell r="A26">
            <v>3000000060</v>
          </cell>
        </row>
        <row r="27">
          <cell r="A27">
            <v>3000000061</v>
          </cell>
          <cell r="D27">
            <v>150</v>
          </cell>
        </row>
        <row r="28">
          <cell r="A28">
            <v>3000000062</v>
          </cell>
        </row>
        <row r="29">
          <cell r="A29">
            <v>3000000063</v>
          </cell>
        </row>
        <row r="30">
          <cell r="A30">
            <v>3000000064</v>
          </cell>
        </row>
        <row r="31">
          <cell r="A31">
            <v>3000000068</v>
          </cell>
          <cell r="D31">
            <v>2474</v>
          </cell>
        </row>
        <row r="32">
          <cell r="A32">
            <v>3000000069</v>
          </cell>
        </row>
        <row r="33">
          <cell r="A33">
            <v>3000000301</v>
          </cell>
        </row>
        <row r="34">
          <cell r="A34">
            <v>3000000302</v>
          </cell>
        </row>
        <row r="35">
          <cell r="A35">
            <v>3000000303</v>
          </cell>
          <cell r="D35">
            <v>150</v>
          </cell>
        </row>
        <row r="36">
          <cell r="A36">
            <v>3000000304</v>
          </cell>
          <cell r="D36">
            <v>176</v>
          </cell>
        </row>
        <row r="37">
          <cell r="A37">
            <v>3000000305</v>
          </cell>
        </row>
        <row r="38">
          <cell r="A38">
            <v>3000000306</v>
          </cell>
          <cell r="D38">
            <v>78</v>
          </cell>
        </row>
        <row r="39">
          <cell r="A39">
            <v>3000000307</v>
          </cell>
        </row>
        <row r="40">
          <cell r="A40">
            <v>3000000308</v>
          </cell>
        </row>
        <row r="41">
          <cell r="A41">
            <v>3000000309</v>
          </cell>
          <cell r="D41">
            <v>295</v>
          </cell>
        </row>
        <row r="42">
          <cell r="A42">
            <v>3000000310</v>
          </cell>
        </row>
        <row r="43">
          <cell r="A43">
            <v>3000000312</v>
          </cell>
        </row>
        <row r="44">
          <cell r="A44">
            <v>3000000313</v>
          </cell>
        </row>
        <row r="45">
          <cell r="A45">
            <v>3000000314</v>
          </cell>
          <cell r="D45">
            <v>45</v>
          </cell>
        </row>
        <row r="46">
          <cell r="A46">
            <v>3000000315</v>
          </cell>
        </row>
        <row r="47">
          <cell r="A47">
            <v>3000000316</v>
          </cell>
        </row>
        <row r="48">
          <cell r="A48">
            <v>3000000317</v>
          </cell>
        </row>
        <row r="49">
          <cell r="A49">
            <v>3000000318</v>
          </cell>
          <cell r="D49">
            <v>224</v>
          </cell>
        </row>
        <row r="50">
          <cell r="A50">
            <v>3000000345</v>
          </cell>
          <cell r="D50">
            <v>600</v>
          </cell>
        </row>
        <row r="51">
          <cell r="A51">
            <v>3000000346</v>
          </cell>
        </row>
        <row r="52">
          <cell r="A52">
            <v>3000000347</v>
          </cell>
          <cell r="D52">
            <v>325</v>
          </cell>
        </row>
        <row r="53">
          <cell r="A53">
            <v>3000000348</v>
          </cell>
        </row>
        <row r="54">
          <cell r="A54">
            <v>3000000349</v>
          </cell>
        </row>
        <row r="55">
          <cell r="A55">
            <v>3000000352</v>
          </cell>
        </row>
        <row r="56">
          <cell r="A56">
            <v>3000000353</v>
          </cell>
        </row>
        <row r="57">
          <cell r="A57">
            <v>3000000354</v>
          </cell>
        </row>
        <row r="58">
          <cell r="A58">
            <v>3000000355</v>
          </cell>
        </row>
        <row r="59">
          <cell r="A59">
            <v>3000000356</v>
          </cell>
        </row>
        <row r="60">
          <cell r="A60">
            <v>3000000358</v>
          </cell>
          <cell r="D60">
            <v>25</v>
          </cell>
        </row>
        <row r="61">
          <cell r="A61">
            <v>3000000359</v>
          </cell>
          <cell r="D61">
            <v>25</v>
          </cell>
        </row>
        <row r="62">
          <cell r="A62">
            <v>3000000361</v>
          </cell>
        </row>
        <row r="63">
          <cell r="A63">
            <v>3000000363</v>
          </cell>
          <cell r="D63">
            <v>50</v>
          </cell>
        </row>
        <row r="64">
          <cell r="A64">
            <v>3000000364</v>
          </cell>
          <cell r="D64">
            <v>35</v>
          </cell>
        </row>
        <row r="65">
          <cell r="A65">
            <v>3000000437</v>
          </cell>
          <cell r="D65">
            <v>420</v>
          </cell>
        </row>
        <row r="66">
          <cell r="A66">
            <v>3000000628</v>
          </cell>
        </row>
        <row r="67">
          <cell r="A67">
            <v>3000000701</v>
          </cell>
          <cell r="D67">
            <v>729</v>
          </cell>
        </row>
        <row r="68">
          <cell r="A68">
            <v>3000000707</v>
          </cell>
        </row>
        <row r="69">
          <cell r="A69">
            <v>3000000840</v>
          </cell>
          <cell r="D69">
            <v>2800</v>
          </cell>
        </row>
        <row r="70">
          <cell r="A70">
            <v>3000000849</v>
          </cell>
          <cell r="D70">
            <v>5396</v>
          </cell>
        </row>
        <row r="71">
          <cell r="A71">
            <v>3000001060</v>
          </cell>
        </row>
        <row r="72">
          <cell r="A72">
            <v>3000001061</v>
          </cell>
          <cell r="D72">
            <v>30</v>
          </cell>
        </row>
        <row r="73">
          <cell r="A73">
            <v>3000001062</v>
          </cell>
          <cell r="D73">
            <v>65</v>
          </cell>
        </row>
        <row r="74">
          <cell r="A74">
            <v>3000001063</v>
          </cell>
        </row>
        <row r="75">
          <cell r="A75">
            <v>3000001064</v>
          </cell>
          <cell r="D75">
            <v>110</v>
          </cell>
        </row>
        <row r="76">
          <cell r="A76">
            <v>3000001065</v>
          </cell>
        </row>
        <row r="77">
          <cell r="A77">
            <v>3000001196</v>
          </cell>
          <cell r="D77">
            <v>132</v>
          </cell>
        </row>
        <row r="78">
          <cell r="A78">
            <v>3000001211</v>
          </cell>
        </row>
        <row r="79">
          <cell r="A79">
            <v>3000001212</v>
          </cell>
          <cell r="D79">
            <v>132</v>
          </cell>
        </row>
        <row r="80">
          <cell r="A80">
            <v>3000001214</v>
          </cell>
          <cell r="D80">
            <v>100</v>
          </cell>
        </row>
        <row r="81">
          <cell r="A81">
            <v>3000001215</v>
          </cell>
          <cell r="D81">
            <v>675</v>
          </cell>
        </row>
        <row r="82">
          <cell r="A82">
            <v>3000001215</v>
          </cell>
        </row>
        <row r="83">
          <cell r="A83">
            <v>3000001216</v>
          </cell>
        </row>
        <row r="84">
          <cell r="A84">
            <v>3000001217</v>
          </cell>
        </row>
        <row r="85">
          <cell r="A85">
            <v>3000001220</v>
          </cell>
        </row>
        <row r="86">
          <cell r="A86">
            <v>3000001221</v>
          </cell>
        </row>
        <row r="87">
          <cell r="A87">
            <v>3000001221</v>
          </cell>
        </row>
        <row r="88">
          <cell r="A88">
            <v>3000001222</v>
          </cell>
        </row>
        <row r="89">
          <cell r="A89">
            <v>3000001223</v>
          </cell>
        </row>
        <row r="90">
          <cell r="A90">
            <v>3000001223</v>
          </cell>
        </row>
        <row r="91">
          <cell r="A91">
            <v>3000001224</v>
          </cell>
        </row>
        <row r="92">
          <cell r="A92">
            <v>3000001229</v>
          </cell>
          <cell r="D92">
            <v>1440</v>
          </cell>
        </row>
        <row r="93">
          <cell r="A93">
            <v>3000001802</v>
          </cell>
          <cell r="D93">
            <v>100</v>
          </cell>
        </row>
        <row r="94">
          <cell r="A94">
            <v>3000002322</v>
          </cell>
          <cell r="D94">
            <v>7</v>
          </cell>
        </row>
        <row r="95">
          <cell r="A95">
            <v>3000002330</v>
          </cell>
        </row>
        <row r="96">
          <cell r="A96">
            <v>3000002332</v>
          </cell>
        </row>
        <row r="97">
          <cell r="A97">
            <v>3000002333</v>
          </cell>
        </row>
        <row r="98">
          <cell r="A98">
            <v>3000002334</v>
          </cell>
          <cell r="D98">
            <v>10</v>
          </cell>
        </row>
        <row r="99">
          <cell r="A99">
            <v>3000002340</v>
          </cell>
          <cell r="D99">
            <v>178</v>
          </cell>
        </row>
        <row r="100">
          <cell r="A100">
            <v>3000002341</v>
          </cell>
        </row>
        <row r="101">
          <cell r="A101">
            <v>3000002341</v>
          </cell>
          <cell r="D101">
            <v>300</v>
          </cell>
        </row>
        <row r="102">
          <cell r="A102">
            <v>3000002634</v>
          </cell>
          <cell r="D102">
            <v>41</v>
          </cell>
        </row>
        <row r="103">
          <cell r="A103">
            <v>3000002635</v>
          </cell>
        </row>
        <row r="104">
          <cell r="A104">
            <v>3000002636</v>
          </cell>
        </row>
        <row r="105">
          <cell r="A105">
            <v>3000002688</v>
          </cell>
        </row>
        <row r="106">
          <cell r="A106">
            <v>3000002692</v>
          </cell>
          <cell r="D106">
            <v>449</v>
          </cell>
        </row>
        <row r="107">
          <cell r="A107">
            <v>3000002693</v>
          </cell>
        </row>
        <row r="108">
          <cell r="A108">
            <v>3000002696</v>
          </cell>
          <cell r="D108">
            <v>666</v>
          </cell>
        </row>
        <row r="109">
          <cell r="A109">
            <v>3000002697</v>
          </cell>
          <cell r="D109">
            <v>793</v>
          </cell>
        </row>
        <row r="110">
          <cell r="A110">
            <v>3000002698</v>
          </cell>
          <cell r="D110">
            <v>753</v>
          </cell>
        </row>
        <row r="111">
          <cell r="A111">
            <v>3000002699</v>
          </cell>
          <cell r="D111">
            <v>432</v>
          </cell>
        </row>
        <row r="112">
          <cell r="A112">
            <v>3000002700</v>
          </cell>
          <cell r="D112">
            <v>521</v>
          </cell>
        </row>
        <row r="113">
          <cell r="A113">
            <v>3000002701</v>
          </cell>
          <cell r="D113">
            <v>258</v>
          </cell>
        </row>
        <row r="114">
          <cell r="A114">
            <v>3000002771</v>
          </cell>
        </row>
        <row r="115">
          <cell r="A115">
            <v>3000002777</v>
          </cell>
          <cell r="D115">
            <v>95</v>
          </cell>
        </row>
        <row r="116">
          <cell r="A116">
            <v>3000002869</v>
          </cell>
        </row>
        <row r="117">
          <cell r="A117">
            <v>3000003029</v>
          </cell>
          <cell r="D117">
            <v>138</v>
          </cell>
        </row>
        <row r="118">
          <cell r="A118">
            <v>3000003396</v>
          </cell>
        </row>
        <row r="119">
          <cell r="A119">
            <v>3000003827</v>
          </cell>
          <cell r="D119">
            <v>25</v>
          </cell>
        </row>
        <row r="120">
          <cell r="A120">
            <v>3000003828</v>
          </cell>
        </row>
        <row r="121">
          <cell r="A121">
            <v>3000003972</v>
          </cell>
        </row>
        <row r="122">
          <cell r="A122">
            <v>3000004464</v>
          </cell>
        </row>
        <row r="123">
          <cell r="A123">
            <v>3000004953</v>
          </cell>
        </row>
        <row r="124">
          <cell r="A124">
            <v>3000004954</v>
          </cell>
          <cell r="D124">
            <v>10</v>
          </cell>
        </row>
        <row r="125">
          <cell r="A125">
            <v>3000004956</v>
          </cell>
          <cell r="D125">
            <v>120</v>
          </cell>
        </row>
        <row r="126">
          <cell r="A126">
            <v>3000004957</v>
          </cell>
          <cell r="D126">
            <v>30</v>
          </cell>
        </row>
        <row r="127">
          <cell r="A127">
            <v>3000004960</v>
          </cell>
          <cell r="D127">
            <v>2</v>
          </cell>
        </row>
        <row r="128">
          <cell r="A128">
            <v>3000008514</v>
          </cell>
          <cell r="D128">
            <v>250</v>
          </cell>
        </row>
        <row r="129">
          <cell r="A129">
            <v>3000008515</v>
          </cell>
        </row>
        <row r="130">
          <cell r="A130">
            <v>3000008516</v>
          </cell>
        </row>
        <row r="131">
          <cell r="A131">
            <v>3000008517</v>
          </cell>
        </row>
        <row r="132">
          <cell r="A132">
            <v>3000008518</v>
          </cell>
        </row>
        <row r="133">
          <cell r="A133">
            <v>3000008519</v>
          </cell>
        </row>
        <row r="134">
          <cell r="A134">
            <v>3000008521</v>
          </cell>
        </row>
        <row r="135">
          <cell r="A135">
            <v>3000008524</v>
          </cell>
        </row>
        <row r="136">
          <cell r="A136">
            <v>3000008526</v>
          </cell>
        </row>
        <row r="137">
          <cell r="A137">
            <v>4000000224</v>
          </cell>
        </row>
        <row r="138">
          <cell r="A138">
            <v>4000015242</v>
          </cell>
          <cell r="D138">
            <v>28</v>
          </cell>
        </row>
        <row r="139">
          <cell r="A139">
            <v>4000015243</v>
          </cell>
          <cell r="D139">
            <v>15</v>
          </cell>
        </row>
        <row r="140">
          <cell r="A140">
            <v>4000015244</v>
          </cell>
          <cell r="D140">
            <v>10</v>
          </cell>
        </row>
        <row r="141">
          <cell r="A141">
            <v>4000015245</v>
          </cell>
          <cell r="D141">
            <v>14</v>
          </cell>
        </row>
        <row r="142">
          <cell r="A142">
            <v>4000015675</v>
          </cell>
          <cell r="D142">
            <v>12</v>
          </cell>
        </row>
        <row r="143">
          <cell r="A143">
            <v>4000015873</v>
          </cell>
          <cell r="D143">
            <v>151</v>
          </cell>
        </row>
        <row r="144">
          <cell r="A144">
            <v>4000017082</v>
          </cell>
          <cell r="D144">
            <v>95</v>
          </cell>
        </row>
        <row r="145">
          <cell r="A145">
            <v>4000017083</v>
          </cell>
          <cell r="D145">
            <v>50</v>
          </cell>
        </row>
        <row r="146">
          <cell r="A146">
            <v>4000017084</v>
          </cell>
        </row>
        <row r="147">
          <cell r="A147">
            <v>5000000004</v>
          </cell>
        </row>
        <row r="148">
          <cell r="A148">
            <v>5000000006</v>
          </cell>
        </row>
        <row r="149">
          <cell r="A149">
            <v>5000000007</v>
          </cell>
        </row>
        <row r="150">
          <cell r="A150">
            <v>5000000008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G170"/>
  <sheetViews>
    <sheetView workbookViewId="0">
      <pane xSplit="5" topLeftCell="FX1" activePane="topRight" state="frozen"/>
      <selection pane="topRight" activeCell="GC2" sqref="GC2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10.85546875" customWidth="1"/>
    <col min="6" max="20" width="9.140625" style="22" customWidth="1"/>
    <col min="21" max="22" width="11" style="22" customWidth="1"/>
    <col min="23" max="23" width="11" style="22" bestFit="1" customWidth="1"/>
    <col min="24" max="48" width="12" customWidth="1"/>
    <col min="49" max="83" width="9.5703125" bestFit="1" customWidth="1"/>
    <col min="84" max="84" width="9.85546875" bestFit="1" customWidth="1"/>
    <col min="85" max="87" width="9.140625" customWidth="1"/>
    <col min="88" max="88" width="10.28515625" customWidth="1"/>
    <col min="89" max="90" width="11.140625" bestFit="1" customWidth="1"/>
    <col min="91" max="91" width="11.140625" style="22" bestFit="1" customWidth="1"/>
    <col min="92" max="92" width="11.140625" bestFit="1" customWidth="1"/>
    <col min="93" max="93" width="10.28515625" customWidth="1"/>
    <col min="94" max="96" width="9.140625" customWidth="1"/>
    <col min="97" max="97" width="10.7109375" customWidth="1"/>
    <col min="98" max="100" width="10.140625" customWidth="1"/>
    <col min="101" max="101" width="11.140625" customWidth="1"/>
    <col min="102" max="103" width="9" customWidth="1"/>
    <col min="104" max="104" width="11" customWidth="1"/>
    <col min="105" max="105" width="9" customWidth="1"/>
    <col min="106" max="110" width="7.7109375" customWidth="1"/>
    <col min="111" max="111" width="7.42578125" customWidth="1"/>
    <col min="112" max="113" width="8.85546875" customWidth="1"/>
    <col min="114" max="115" width="7.7109375" customWidth="1"/>
    <col min="116" max="116" width="6.85546875" customWidth="1"/>
    <col min="117" max="166" width="9.140625" customWidth="1"/>
    <col min="167" max="168" width="9.85546875" customWidth="1"/>
    <col min="169" max="173" width="9.140625" customWidth="1"/>
    <col min="174" max="176" width="11.140625" style="22" customWidth="1"/>
    <col min="177" max="177" width="9.85546875" customWidth="1"/>
    <col min="178" max="178" width="11.85546875" customWidth="1"/>
    <col min="179" max="185" width="11.85546875" style="22" customWidth="1"/>
    <col min="186" max="189" width="9.140625" style="22" customWidth="1"/>
  </cols>
  <sheetData>
    <row r="1" spans="1:189" ht="57" thickBot="1" x14ac:dyDescent="0.3">
      <c r="A1" s="149" t="s">
        <v>1</v>
      </c>
      <c r="B1" s="149" t="s">
        <v>174</v>
      </c>
      <c r="C1" s="149" t="s">
        <v>175</v>
      </c>
      <c r="D1" s="26"/>
      <c r="E1" s="37" t="s">
        <v>188</v>
      </c>
      <c r="F1" s="26" t="s">
        <v>207</v>
      </c>
      <c r="G1" s="26" t="s">
        <v>207</v>
      </c>
      <c r="H1" s="26" t="s">
        <v>207</v>
      </c>
      <c r="I1" s="26" t="s">
        <v>207</v>
      </c>
      <c r="J1" s="26" t="s">
        <v>207</v>
      </c>
      <c r="K1" s="26" t="s">
        <v>207</v>
      </c>
      <c r="L1" s="26" t="s">
        <v>207</v>
      </c>
      <c r="M1" s="26" t="s">
        <v>207</v>
      </c>
      <c r="N1" s="26" t="s">
        <v>207</v>
      </c>
      <c r="O1" s="26" t="s">
        <v>207</v>
      </c>
      <c r="P1" s="26" t="s">
        <v>207</v>
      </c>
      <c r="Q1" s="26" t="s">
        <v>207</v>
      </c>
      <c r="R1" s="26" t="s">
        <v>207</v>
      </c>
      <c r="S1" s="26" t="s">
        <v>207</v>
      </c>
      <c r="T1" s="26" t="s">
        <v>207</v>
      </c>
      <c r="U1" s="26" t="s">
        <v>208</v>
      </c>
      <c r="V1" s="26" t="s">
        <v>208</v>
      </c>
      <c r="W1" s="26" t="s">
        <v>208</v>
      </c>
      <c r="X1" s="26" t="s">
        <v>213</v>
      </c>
      <c r="Y1" s="26" t="s">
        <v>213</v>
      </c>
      <c r="Z1" s="26" t="s">
        <v>213</v>
      </c>
      <c r="AA1" s="26" t="s">
        <v>213</v>
      </c>
      <c r="AB1" s="26" t="s">
        <v>213</v>
      </c>
      <c r="AC1" s="26" t="s">
        <v>213</v>
      </c>
      <c r="AD1" s="26" t="s">
        <v>213</v>
      </c>
      <c r="AE1" s="26" t="s">
        <v>213</v>
      </c>
      <c r="AF1" s="26" t="s">
        <v>213</v>
      </c>
      <c r="AG1" s="26" t="s">
        <v>213</v>
      </c>
      <c r="AH1" s="26" t="s">
        <v>213</v>
      </c>
      <c r="AI1" s="26" t="s">
        <v>213</v>
      </c>
      <c r="AJ1" s="26" t="s">
        <v>213</v>
      </c>
      <c r="AK1" s="26" t="s">
        <v>213</v>
      </c>
      <c r="AL1" s="26" t="s">
        <v>213</v>
      </c>
      <c r="AM1" s="26" t="s">
        <v>213</v>
      </c>
      <c r="AN1" s="26" t="s">
        <v>213</v>
      </c>
      <c r="AO1" s="26" t="s">
        <v>213</v>
      </c>
      <c r="AP1" s="26" t="s">
        <v>213</v>
      </c>
      <c r="AQ1" s="26" t="s">
        <v>213</v>
      </c>
      <c r="AR1" s="26" t="s">
        <v>213</v>
      </c>
      <c r="AS1" s="26" t="s">
        <v>213</v>
      </c>
      <c r="AT1" s="26" t="s">
        <v>213</v>
      </c>
      <c r="AU1" s="26" t="s">
        <v>213</v>
      </c>
      <c r="AV1" s="26" t="s">
        <v>213</v>
      </c>
      <c r="AW1" s="27" t="s">
        <v>284</v>
      </c>
      <c r="AX1" s="27" t="s">
        <v>284</v>
      </c>
      <c r="AY1" s="27" t="s">
        <v>284</v>
      </c>
      <c r="AZ1" s="27" t="s">
        <v>284</v>
      </c>
      <c r="BA1" s="27" t="s">
        <v>284</v>
      </c>
      <c r="BB1" s="27" t="s">
        <v>284</v>
      </c>
      <c r="BC1" s="27" t="s">
        <v>284</v>
      </c>
      <c r="BD1" s="27" t="s">
        <v>284</v>
      </c>
      <c r="BE1" s="27" t="s">
        <v>284</v>
      </c>
      <c r="BF1" s="27" t="s">
        <v>284</v>
      </c>
      <c r="BG1" s="27" t="s">
        <v>284</v>
      </c>
      <c r="BH1" s="27" t="s">
        <v>284</v>
      </c>
      <c r="BI1" s="27" t="s">
        <v>284</v>
      </c>
      <c r="BJ1" s="27" t="s">
        <v>284</v>
      </c>
      <c r="BK1" s="27" t="s">
        <v>284</v>
      </c>
      <c r="BL1" s="27" t="s">
        <v>284</v>
      </c>
      <c r="BM1" s="27" t="s">
        <v>284</v>
      </c>
      <c r="BN1" s="27" t="s">
        <v>284</v>
      </c>
      <c r="BO1" s="27" t="s">
        <v>284</v>
      </c>
      <c r="BP1" s="27" t="s">
        <v>284</v>
      </c>
      <c r="BQ1" s="27" t="s">
        <v>284</v>
      </c>
      <c r="BR1" s="27" t="s">
        <v>284</v>
      </c>
      <c r="BS1" s="27" t="s">
        <v>284</v>
      </c>
      <c r="BT1" s="27" t="s">
        <v>284</v>
      </c>
      <c r="BU1" s="27" t="s">
        <v>284</v>
      </c>
      <c r="BV1" s="27" t="s">
        <v>284</v>
      </c>
      <c r="BW1" s="27" t="s">
        <v>284</v>
      </c>
      <c r="BX1" s="27" t="s">
        <v>284</v>
      </c>
      <c r="BY1" s="27" t="s">
        <v>284</v>
      </c>
      <c r="BZ1" s="27" t="s">
        <v>284</v>
      </c>
      <c r="CA1" s="27" t="s">
        <v>284</v>
      </c>
      <c r="CB1" s="27" t="s">
        <v>284</v>
      </c>
      <c r="CC1" s="27" t="s">
        <v>284</v>
      </c>
      <c r="CD1" s="27" t="s">
        <v>284</v>
      </c>
      <c r="CE1" s="27" t="s">
        <v>284</v>
      </c>
      <c r="CF1" s="27" t="s">
        <v>285</v>
      </c>
      <c r="CG1" s="26" t="s">
        <v>287</v>
      </c>
      <c r="CH1" s="26" t="s">
        <v>287</v>
      </c>
      <c r="CI1" s="26" t="s">
        <v>287</v>
      </c>
      <c r="CJ1" s="26" t="s">
        <v>287</v>
      </c>
      <c r="CK1" s="26" t="s">
        <v>213</v>
      </c>
      <c r="CL1" s="26" t="s">
        <v>213</v>
      </c>
      <c r="CM1" s="26" t="s">
        <v>207</v>
      </c>
      <c r="CN1" s="26" t="s">
        <v>207</v>
      </c>
      <c r="CO1" s="26" t="s">
        <v>310</v>
      </c>
      <c r="CP1" s="26" t="s">
        <v>310</v>
      </c>
      <c r="CQ1" s="26" t="s">
        <v>310</v>
      </c>
      <c r="CR1" s="26" t="s">
        <v>310</v>
      </c>
      <c r="CS1" s="26" t="s">
        <v>310</v>
      </c>
      <c r="CT1" s="26" t="s">
        <v>311</v>
      </c>
      <c r="CU1" s="26" t="s">
        <v>310</v>
      </c>
      <c r="CV1" s="26" t="s">
        <v>310</v>
      </c>
      <c r="CW1" s="26" t="s">
        <v>310</v>
      </c>
      <c r="CX1" s="26" t="s">
        <v>310</v>
      </c>
      <c r="CY1" s="26" t="s">
        <v>310</v>
      </c>
      <c r="CZ1" s="26" t="s">
        <v>310</v>
      </c>
      <c r="DA1" s="26" t="s">
        <v>310</v>
      </c>
      <c r="DB1" s="26" t="s">
        <v>310</v>
      </c>
      <c r="DC1" s="26" t="s">
        <v>310</v>
      </c>
      <c r="DD1" s="26" t="s">
        <v>310</v>
      </c>
      <c r="DE1" s="26" t="s">
        <v>310</v>
      </c>
      <c r="DF1" s="26" t="s">
        <v>310</v>
      </c>
      <c r="DG1" s="26" t="s">
        <v>310</v>
      </c>
      <c r="DH1" s="26" t="s">
        <v>310</v>
      </c>
      <c r="DI1" s="26" t="s">
        <v>310</v>
      </c>
      <c r="DJ1" s="26" t="s">
        <v>310</v>
      </c>
      <c r="DK1" s="26" t="s">
        <v>310</v>
      </c>
      <c r="DL1" s="26" t="s">
        <v>310</v>
      </c>
      <c r="DM1" s="53" t="s">
        <v>35</v>
      </c>
      <c r="DN1" s="26" t="s">
        <v>310</v>
      </c>
      <c r="DO1" s="26" t="s">
        <v>310</v>
      </c>
      <c r="DP1" s="26" t="s">
        <v>310</v>
      </c>
      <c r="DQ1" s="26" t="s">
        <v>310</v>
      </c>
      <c r="DR1" s="26" t="s">
        <v>311</v>
      </c>
      <c r="DS1" s="26" t="s">
        <v>310</v>
      </c>
      <c r="DT1" s="26" t="s">
        <v>310</v>
      </c>
      <c r="DU1" s="26" t="s">
        <v>310</v>
      </c>
      <c r="DV1" s="26" t="s">
        <v>310</v>
      </c>
      <c r="DW1" s="26" t="s">
        <v>310</v>
      </c>
      <c r="DX1" s="26" t="s">
        <v>310</v>
      </c>
      <c r="DY1" s="26" t="s">
        <v>310</v>
      </c>
      <c r="DZ1" s="26" t="s">
        <v>310</v>
      </c>
      <c r="EA1" s="26" t="s">
        <v>310</v>
      </c>
      <c r="EB1" s="26" t="s">
        <v>310</v>
      </c>
      <c r="EC1" s="26" t="s">
        <v>310</v>
      </c>
      <c r="ED1" s="26" t="s">
        <v>310</v>
      </c>
      <c r="EE1" s="26" t="s">
        <v>310</v>
      </c>
      <c r="EF1" s="26" t="s">
        <v>310</v>
      </c>
      <c r="EG1" s="26" t="s">
        <v>310</v>
      </c>
      <c r="EH1" s="26" t="s">
        <v>310</v>
      </c>
      <c r="EI1" s="26" t="s">
        <v>310</v>
      </c>
      <c r="EJ1" s="26" t="s">
        <v>310</v>
      </c>
      <c r="EK1" s="26" t="s">
        <v>310</v>
      </c>
      <c r="EL1" s="26" t="s">
        <v>310</v>
      </c>
      <c r="EM1" s="26" t="s">
        <v>310</v>
      </c>
      <c r="EN1" s="26" t="s">
        <v>310</v>
      </c>
      <c r="EO1" s="26" t="s">
        <v>310</v>
      </c>
      <c r="EP1" s="26" t="s">
        <v>310</v>
      </c>
      <c r="EQ1" s="26" t="s">
        <v>310</v>
      </c>
      <c r="ER1" s="26" t="s">
        <v>310</v>
      </c>
      <c r="ES1" s="26" t="s">
        <v>310</v>
      </c>
      <c r="ET1" s="26" t="s">
        <v>310</v>
      </c>
      <c r="EU1" s="26" t="s">
        <v>310</v>
      </c>
      <c r="EV1" s="26" t="s">
        <v>310</v>
      </c>
      <c r="EW1" s="26" t="s">
        <v>310</v>
      </c>
      <c r="EX1" s="26" t="s">
        <v>310</v>
      </c>
      <c r="EY1" s="26" t="s">
        <v>310</v>
      </c>
      <c r="EZ1" s="26" t="s">
        <v>310</v>
      </c>
      <c r="FA1" s="26" t="s">
        <v>310</v>
      </c>
      <c r="FB1" s="26" t="s">
        <v>310</v>
      </c>
      <c r="FC1" s="26" t="s">
        <v>310</v>
      </c>
      <c r="FD1" s="26" t="s">
        <v>310</v>
      </c>
      <c r="FE1" s="26" t="s">
        <v>310</v>
      </c>
      <c r="FF1" s="26" t="s">
        <v>310</v>
      </c>
      <c r="FG1" s="26" t="s">
        <v>310</v>
      </c>
      <c r="FH1" s="26" t="s">
        <v>310</v>
      </c>
      <c r="FI1" s="26" t="s">
        <v>310</v>
      </c>
      <c r="FJ1" s="26" t="s">
        <v>310</v>
      </c>
      <c r="FK1" s="26" t="s">
        <v>310</v>
      </c>
      <c r="FL1" s="26" t="s">
        <v>310</v>
      </c>
      <c r="FM1" s="26" t="s">
        <v>310</v>
      </c>
      <c r="FN1" s="26" t="s">
        <v>310</v>
      </c>
      <c r="FO1" s="26" t="s">
        <v>310</v>
      </c>
      <c r="FP1" s="26" t="s">
        <v>310</v>
      </c>
      <c r="FQ1" s="26" t="s">
        <v>310</v>
      </c>
      <c r="FR1" s="26" t="s">
        <v>310</v>
      </c>
      <c r="FS1" s="26" t="s">
        <v>310</v>
      </c>
      <c r="FT1" s="26" t="s">
        <v>310</v>
      </c>
      <c r="FU1" s="26" t="s">
        <v>312</v>
      </c>
      <c r="FV1" s="26" t="s">
        <v>312</v>
      </c>
      <c r="FW1" s="26" t="s">
        <v>312</v>
      </c>
      <c r="FX1" s="26" t="s">
        <v>312</v>
      </c>
      <c r="FY1" s="26" t="s">
        <v>313</v>
      </c>
      <c r="FZ1" s="26" t="s">
        <v>313</v>
      </c>
      <c r="GA1" s="26" t="s">
        <v>313</v>
      </c>
      <c r="GB1" s="26" t="s">
        <v>313</v>
      </c>
      <c r="GC1" s="26" t="s">
        <v>310</v>
      </c>
      <c r="GD1" s="26"/>
      <c r="GE1" s="26"/>
      <c r="GF1" s="26"/>
      <c r="GG1" s="25" t="s">
        <v>177</v>
      </c>
    </row>
    <row r="2" spans="1:189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192</v>
      </c>
      <c r="G2" s="25" t="s">
        <v>193</v>
      </c>
      <c r="H2" s="25" t="s">
        <v>194</v>
      </c>
      <c r="I2" s="25" t="s">
        <v>195</v>
      </c>
      <c r="J2" s="25" t="s">
        <v>196</v>
      </c>
      <c r="K2" s="25" t="s">
        <v>197</v>
      </c>
      <c r="L2" s="25" t="s">
        <v>198</v>
      </c>
      <c r="M2" s="25" t="s">
        <v>199</v>
      </c>
      <c r="N2" s="25" t="s">
        <v>200</v>
      </c>
      <c r="O2" s="25" t="s">
        <v>201</v>
      </c>
      <c r="P2" s="25" t="s">
        <v>202</v>
      </c>
      <c r="Q2" s="25" t="s">
        <v>203</v>
      </c>
      <c r="R2" s="25" t="s">
        <v>204</v>
      </c>
      <c r="S2" s="25" t="s">
        <v>205</v>
      </c>
      <c r="T2" s="25" t="s">
        <v>206</v>
      </c>
      <c r="U2" s="25" t="s">
        <v>209</v>
      </c>
      <c r="V2" s="25" t="s">
        <v>210</v>
      </c>
      <c r="W2" s="25" t="s">
        <v>212</v>
      </c>
      <c r="X2" s="25" t="s">
        <v>214</v>
      </c>
      <c r="Y2" s="25" t="s">
        <v>215</v>
      </c>
      <c r="Z2" s="25" t="s">
        <v>216</v>
      </c>
      <c r="AA2" s="25" t="s">
        <v>217</v>
      </c>
      <c r="AB2" s="25" t="s">
        <v>218</v>
      </c>
      <c r="AC2" s="25" t="s">
        <v>219</v>
      </c>
      <c r="AD2" s="25" t="s">
        <v>220</v>
      </c>
      <c r="AE2" s="25" t="s">
        <v>221</v>
      </c>
      <c r="AF2" s="25" t="s">
        <v>222</v>
      </c>
      <c r="AG2" s="25" t="s">
        <v>223</v>
      </c>
      <c r="AH2" s="25" t="s">
        <v>224</v>
      </c>
      <c r="AI2" s="25" t="s">
        <v>225</v>
      </c>
      <c r="AJ2" s="25" t="s">
        <v>226</v>
      </c>
      <c r="AK2" s="25" t="s">
        <v>227</v>
      </c>
      <c r="AL2" s="25" t="s">
        <v>228</v>
      </c>
      <c r="AM2" s="25" t="s">
        <v>214</v>
      </c>
      <c r="AN2" s="25" t="s">
        <v>229</v>
      </c>
      <c r="AO2" s="25" t="s">
        <v>230</v>
      </c>
      <c r="AP2" s="25" t="s">
        <v>231</v>
      </c>
      <c r="AQ2" s="25" t="s">
        <v>232</v>
      </c>
      <c r="AR2" s="25" t="s">
        <v>233</v>
      </c>
      <c r="AS2" s="25" t="s">
        <v>234</v>
      </c>
      <c r="AT2" s="25" t="s">
        <v>235</v>
      </c>
      <c r="AU2" s="25" t="s">
        <v>236</v>
      </c>
      <c r="AV2" s="25" t="s">
        <v>237</v>
      </c>
      <c r="AW2" s="41" t="s">
        <v>249</v>
      </c>
      <c r="AX2" s="41" t="s">
        <v>250</v>
      </c>
      <c r="AY2" s="41" t="s">
        <v>251</v>
      </c>
      <c r="AZ2" s="41" t="s">
        <v>252</v>
      </c>
      <c r="BA2" s="41" t="s">
        <v>253</v>
      </c>
      <c r="BB2" s="41" t="s">
        <v>254</v>
      </c>
      <c r="BC2" s="41" t="s">
        <v>255</v>
      </c>
      <c r="BD2" s="41" t="s">
        <v>256</v>
      </c>
      <c r="BE2" s="41" t="s">
        <v>257</v>
      </c>
      <c r="BF2" s="41" t="s">
        <v>258</v>
      </c>
      <c r="BG2" s="41" t="s">
        <v>259</v>
      </c>
      <c r="BH2" s="41" t="s">
        <v>260</v>
      </c>
      <c r="BI2" s="41" t="s">
        <v>261</v>
      </c>
      <c r="BJ2" s="41" t="s">
        <v>262</v>
      </c>
      <c r="BK2" s="41" t="s">
        <v>263</v>
      </c>
      <c r="BL2" s="41" t="s">
        <v>264</v>
      </c>
      <c r="BM2" s="41" t="s">
        <v>265</v>
      </c>
      <c r="BN2" s="41" t="s">
        <v>266</v>
      </c>
      <c r="BO2" s="41" t="s">
        <v>267</v>
      </c>
      <c r="BP2" s="41" t="s">
        <v>268</v>
      </c>
      <c r="BQ2" s="41" t="s">
        <v>269</v>
      </c>
      <c r="BR2" s="41" t="s">
        <v>270</v>
      </c>
      <c r="BS2" s="41" t="s">
        <v>271</v>
      </c>
      <c r="BT2" s="41" t="s">
        <v>272</v>
      </c>
      <c r="BU2" s="41" t="s">
        <v>273</v>
      </c>
      <c r="BV2" s="41" t="s">
        <v>274</v>
      </c>
      <c r="BW2" s="41" t="s">
        <v>275</v>
      </c>
      <c r="BX2" s="41" t="s">
        <v>276</v>
      </c>
      <c r="BY2" s="41" t="s">
        <v>277</v>
      </c>
      <c r="BZ2" s="41" t="s">
        <v>278</v>
      </c>
      <c r="CA2" s="41" t="s">
        <v>279</v>
      </c>
      <c r="CB2" s="41" t="s">
        <v>280</v>
      </c>
      <c r="CC2" s="41" t="s">
        <v>281</v>
      </c>
      <c r="CD2" s="41" t="s">
        <v>282</v>
      </c>
      <c r="CE2" s="41" t="s">
        <v>283</v>
      </c>
      <c r="CF2" s="41">
        <v>6056</v>
      </c>
      <c r="CG2" s="25" t="s">
        <v>288</v>
      </c>
      <c r="CH2" s="25" t="s">
        <v>289</v>
      </c>
      <c r="CI2" s="25" t="s">
        <v>290</v>
      </c>
      <c r="CJ2" s="25" t="s">
        <v>291</v>
      </c>
      <c r="CK2" s="41">
        <v>6191</v>
      </c>
      <c r="CL2" s="41">
        <v>6192</v>
      </c>
      <c r="CM2" s="25" t="s">
        <v>308</v>
      </c>
      <c r="CN2" s="25" t="s">
        <v>309</v>
      </c>
      <c r="CO2" s="25" t="s">
        <v>314</v>
      </c>
      <c r="CP2" s="25" t="s">
        <v>315</v>
      </c>
      <c r="CQ2" s="25" t="s">
        <v>316</v>
      </c>
      <c r="CR2" s="25" t="s">
        <v>317</v>
      </c>
      <c r="CS2" s="25" t="s">
        <v>318</v>
      </c>
      <c r="CT2" s="25" t="s">
        <v>319</v>
      </c>
      <c r="CU2" s="25" t="s">
        <v>320</v>
      </c>
      <c r="CV2" s="25" t="s">
        <v>321</v>
      </c>
      <c r="CW2" s="25" t="s">
        <v>322</v>
      </c>
      <c r="CX2" s="25" t="s">
        <v>323</v>
      </c>
      <c r="CY2" s="25" t="s">
        <v>324</v>
      </c>
      <c r="CZ2" s="25" t="s">
        <v>325</v>
      </c>
      <c r="DA2" s="25" t="s">
        <v>326</v>
      </c>
      <c r="DB2" s="25" t="s">
        <v>327</v>
      </c>
      <c r="DC2" s="25" t="s">
        <v>328</v>
      </c>
      <c r="DD2" s="25" t="s">
        <v>329</v>
      </c>
      <c r="DE2" s="25" t="s">
        <v>330</v>
      </c>
      <c r="DF2" s="25" t="s">
        <v>331</v>
      </c>
      <c r="DG2" s="25" t="s">
        <v>332</v>
      </c>
      <c r="DH2" s="25" t="s">
        <v>333</v>
      </c>
      <c r="DI2" s="25" t="s">
        <v>334</v>
      </c>
      <c r="DJ2" s="25" t="s">
        <v>335</v>
      </c>
      <c r="DK2" s="25" t="s">
        <v>336</v>
      </c>
      <c r="DL2" s="25" t="s">
        <v>337</v>
      </c>
      <c r="DM2" s="25" t="s">
        <v>338</v>
      </c>
      <c r="DN2" s="25" t="s">
        <v>339</v>
      </c>
      <c r="DO2" s="25" t="s">
        <v>340</v>
      </c>
      <c r="DP2" s="25" t="s">
        <v>341</v>
      </c>
      <c r="DQ2" s="25" t="s">
        <v>342</v>
      </c>
      <c r="DR2" s="25" t="s">
        <v>343</v>
      </c>
      <c r="DS2" s="25" t="s">
        <v>344</v>
      </c>
      <c r="DT2" s="25" t="s">
        <v>345</v>
      </c>
      <c r="DU2" s="25" t="s">
        <v>346</v>
      </c>
      <c r="DV2" s="25" t="s">
        <v>347</v>
      </c>
      <c r="DW2" s="25" t="s">
        <v>348</v>
      </c>
      <c r="DX2" s="25" t="s">
        <v>349</v>
      </c>
      <c r="DY2" s="25" t="s">
        <v>350</v>
      </c>
      <c r="DZ2" s="25" t="s">
        <v>351</v>
      </c>
      <c r="EA2" s="25" t="s">
        <v>352</v>
      </c>
      <c r="EB2" s="25" t="s">
        <v>353</v>
      </c>
      <c r="EC2" s="25" t="s">
        <v>354</v>
      </c>
      <c r="ED2" s="25" t="s">
        <v>355</v>
      </c>
      <c r="EE2" s="25" t="s">
        <v>356</v>
      </c>
      <c r="EF2" s="25" t="s">
        <v>357</v>
      </c>
      <c r="EG2" s="25" t="s">
        <v>358</v>
      </c>
      <c r="EH2" s="25" t="s">
        <v>359</v>
      </c>
      <c r="EI2" s="25" t="s">
        <v>360</v>
      </c>
      <c r="EJ2" s="25" t="s">
        <v>361</v>
      </c>
      <c r="EK2" s="25" t="s">
        <v>362</v>
      </c>
      <c r="EL2" s="25" t="s">
        <v>363</v>
      </c>
      <c r="EM2" s="25" t="s">
        <v>364</v>
      </c>
      <c r="EN2" s="25" t="s">
        <v>365</v>
      </c>
      <c r="EO2" s="25" t="s">
        <v>366</v>
      </c>
      <c r="EP2" s="25" t="s">
        <v>367</v>
      </c>
      <c r="EQ2" s="25" t="s">
        <v>368</v>
      </c>
      <c r="ER2" s="25" t="s">
        <v>369</v>
      </c>
      <c r="ES2" s="25" t="s">
        <v>370</v>
      </c>
      <c r="ET2" s="25" t="s">
        <v>371</v>
      </c>
      <c r="EU2" s="25" t="s">
        <v>372</v>
      </c>
      <c r="EV2" s="25" t="s">
        <v>373</v>
      </c>
      <c r="EW2" s="25" t="s">
        <v>374</v>
      </c>
      <c r="EX2" s="25" t="s">
        <v>375</v>
      </c>
      <c r="EY2" s="25" t="s">
        <v>376</v>
      </c>
      <c r="EZ2" s="25" t="s">
        <v>377</v>
      </c>
      <c r="FA2" s="25" t="s">
        <v>378</v>
      </c>
      <c r="FB2" s="25" t="s">
        <v>379</v>
      </c>
      <c r="FC2" s="25" t="s">
        <v>380</v>
      </c>
      <c r="FD2" s="25" t="s">
        <v>381</v>
      </c>
      <c r="FE2" s="25" t="s">
        <v>382</v>
      </c>
      <c r="FF2" s="25" t="s">
        <v>383</v>
      </c>
      <c r="FG2" s="25" t="s">
        <v>384</v>
      </c>
      <c r="FH2" s="25" t="s">
        <v>385</v>
      </c>
      <c r="FI2" s="25" t="s">
        <v>386</v>
      </c>
      <c r="FJ2" s="25" t="s">
        <v>387</v>
      </c>
      <c r="FK2" s="25" t="s">
        <v>388</v>
      </c>
      <c r="FL2" s="25" t="s">
        <v>389</v>
      </c>
      <c r="FM2" s="25" t="s">
        <v>390</v>
      </c>
      <c r="FN2" s="25" t="s">
        <v>391</v>
      </c>
      <c r="FO2" s="25" t="s">
        <v>392</v>
      </c>
      <c r="FP2" s="25" t="s">
        <v>393</v>
      </c>
      <c r="FQ2" s="25" t="s">
        <v>394</v>
      </c>
      <c r="FR2" s="25" t="s">
        <v>395</v>
      </c>
      <c r="FS2" s="25" t="s">
        <v>396</v>
      </c>
      <c r="FT2" s="25" t="s">
        <v>397</v>
      </c>
      <c r="FU2" s="25" t="s">
        <v>398</v>
      </c>
      <c r="FV2" s="25" t="s">
        <v>399</v>
      </c>
      <c r="FW2" s="25" t="s">
        <v>400</v>
      </c>
      <c r="FX2" s="25" t="s">
        <v>401</v>
      </c>
      <c r="FY2" s="25" t="s">
        <v>402</v>
      </c>
      <c r="FZ2" s="25" t="s">
        <v>403</v>
      </c>
      <c r="GA2" s="25" t="s">
        <v>404</v>
      </c>
      <c r="GB2" s="25" t="s">
        <v>35</v>
      </c>
      <c r="GC2" s="25" t="s">
        <v>421</v>
      </c>
      <c r="GD2" s="25"/>
      <c r="GE2" s="25"/>
      <c r="GF2" s="25"/>
      <c r="GG2" s="25"/>
    </row>
    <row r="3" spans="1:189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27">
        <v>45805</v>
      </c>
      <c r="G3" s="27">
        <v>45808</v>
      </c>
      <c r="H3" s="27">
        <v>45819</v>
      </c>
      <c r="I3" s="27">
        <v>45819</v>
      </c>
      <c r="J3" s="27">
        <v>45819</v>
      </c>
      <c r="K3" s="27">
        <v>45836</v>
      </c>
      <c r="L3" s="27">
        <v>45836</v>
      </c>
      <c r="M3" s="27">
        <v>45843</v>
      </c>
      <c r="N3" s="27">
        <v>45846</v>
      </c>
      <c r="O3" s="27">
        <v>45848</v>
      </c>
      <c r="P3" s="27">
        <v>45853</v>
      </c>
      <c r="Q3" s="27">
        <v>45866</v>
      </c>
      <c r="R3" s="27">
        <v>45872</v>
      </c>
      <c r="S3" s="27">
        <v>45879</v>
      </c>
      <c r="T3" s="27">
        <v>45879</v>
      </c>
      <c r="U3" s="34">
        <v>45761</v>
      </c>
      <c r="V3" s="34">
        <v>45761</v>
      </c>
      <c r="W3" s="34">
        <v>45774</v>
      </c>
      <c r="X3" s="27">
        <v>45717</v>
      </c>
      <c r="Y3" s="34">
        <v>45195</v>
      </c>
      <c r="Z3" s="34">
        <v>45225</v>
      </c>
      <c r="AA3" s="34">
        <v>45232</v>
      </c>
      <c r="AB3" s="34">
        <v>45237</v>
      </c>
      <c r="AC3" s="34">
        <v>45238</v>
      </c>
      <c r="AD3" s="34">
        <v>45417</v>
      </c>
      <c r="AE3" s="34">
        <v>45496</v>
      </c>
      <c r="AF3" s="34">
        <v>45130</v>
      </c>
      <c r="AG3" s="34">
        <v>45500</v>
      </c>
      <c r="AH3" s="34">
        <v>45685</v>
      </c>
      <c r="AI3" s="34">
        <v>45696</v>
      </c>
      <c r="AJ3" s="34">
        <v>45699</v>
      </c>
      <c r="AK3" s="34">
        <v>45706</v>
      </c>
      <c r="AL3" s="34">
        <v>45713</v>
      </c>
      <c r="AM3" s="34">
        <v>45717</v>
      </c>
      <c r="AN3" s="34">
        <v>45738</v>
      </c>
      <c r="AO3" s="34">
        <v>45750</v>
      </c>
      <c r="AP3" s="34">
        <v>45757</v>
      </c>
      <c r="AQ3" s="34">
        <v>45766</v>
      </c>
      <c r="AR3" s="34">
        <v>45795</v>
      </c>
      <c r="AS3" s="34">
        <v>45841</v>
      </c>
      <c r="AT3" s="34">
        <v>45814</v>
      </c>
      <c r="AU3" s="34">
        <v>45859</v>
      </c>
      <c r="AV3" s="34">
        <v>45880</v>
      </c>
      <c r="AW3" s="27">
        <v>45659</v>
      </c>
      <c r="AX3" s="27">
        <v>45659</v>
      </c>
      <c r="AY3" s="27">
        <v>45659</v>
      </c>
      <c r="AZ3" s="27">
        <v>45683</v>
      </c>
      <c r="BA3" s="27">
        <v>45683</v>
      </c>
      <c r="BB3" s="27">
        <v>45683</v>
      </c>
      <c r="BC3" s="27">
        <v>45684</v>
      </c>
      <c r="BD3" s="27">
        <v>45684</v>
      </c>
      <c r="BE3" s="27">
        <v>45684</v>
      </c>
      <c r="BF3" s="27">
        <v>45686</v>
      </c>
      <c r="BG3" s="27">
        <v>45690</v>
      </c>
      <c r="BH3" s="27">
        <v>45690</v>
      </c>
      <c r="BI3" s="27">
        <v>45690</v>
      </c>
      <c r="BJ3" s="27">
        <v>45690</v>
      </c>
      <c r="BK3" s="27">
        <v>45690</v>
      </c>
      <c r="BL3" s="27">
        <v>45690</v>
      </c>
      <c r="BM3" s="27">
        <v>45700</v>
      </c>
      <c r="BN3" s="27">
        <v>45700</v>
      </c>
      <c r="BO3" s="27">
        <v>45700</v>
      </c>
      <c r="BP3" s="27">
        <v>45700</v>
      </c>
      <c r="BQ3" s="27">
        <v>45700</v>
      </c>
      <c r="BR3" s="27">
        <v>45700</v>
      </c>
      <c r="BS3" s="27">
        <v>45714</v>
      </c>
      <c r="BT3" s="27">
        <v>45707</v>
      </c>
      <c r="BU3" s="27">
        <v>45707</v>
      </c>
      <c r="BV3" s="27">
        <v>45707</v>
      </c>
      <c r="BW3" s="27">
        <v>45785</v>
      </c>
      <c r="BX3" s="27">
        <v>45707</v>
      </c>
      <c r="BY3" s="27" t="s">
        <v>238</v>
      </c>
      <c r="BZ3" s="27" t="s">
        <v>238</v>
      </c>
      <c r="CA3" s="27" t="s">
        <v>238</v>
      </c>
      <c r="CB3" s="27" t="s">
        <v>238</v>
      </c>
      <c r="CC3" s="27" t="s">
        <v>239</v>
      </c>
      <c r="CD3" s="27" t="s">
        <v>239</v>
      </c>
      <c r="CE3" s="27" t="s">
        <v>239</v>
      </c>
      <c r="CF3" s="27">
        <v>45103</v>
      </c>
      <c r="CG3" s="27">
        <v>45789</v>
      </c>
      <c r="CH3" s="27">
        <v>45789</v>
      </c>
      <c r="CI3" s="27">
        <v>45853</v>
      </c>
      <c r="CJ3" s="27">
        <v>45865</v>
      </c>
      <c r="CK3" s="34">
        <v>45883</v>
      </c>
      <c r="CL3" s="34">
        <v>45883</v>
      </c>
      <c r="CM3" s="34">
        <v>45888</v>
      </c>
      <c r="CN3" s="34">
        <v>45888</v>
      </c>
      <c r="CO3" s="27">
        <v>45428</v>
      </c>
      <c r="CP3" s="27">
        <v>45428</v>
      </c>
      <c r="CQ3" s="27">
        <v>45452</v>
      </c>
      <c r="CR3" s="27">
        <v>45462</v>
      </c>
      <c r="CS3" s="34">
        <v>45473</v>
      </c>
      <c r="CT3" s="34">
        <v>45481</v>
      </c>
      <c r="CU3" s="34">
        <v>45496</v>
      </c>
      <c r="CV3" s="34">
        <v>45501</v>
      </c>
      <c r="CW3" s="34">
        <v>45524</v>
      </c>
      <c r="CX3" s="27">
        <v>45546</v>
      </c>
      <c r="CY3" s="27">
        <v>45547</v>
      </c>
      <c r="CZ3" s="34">
        <v>45549</v>
      </c>
      <c r="DA3" s="27">
        <v>45551</v>
      </c>
      <c r="DB3" s="53">
        <v>45552</v>
      </c>
      <c r="DC3" s="53">
        <v>45553</v>
      </c>
      <c r="DD3" s="53">
        <v>45554</v>
      </c>
      <c r="DE3" s="53">
        <v>45556</v>
      </c>
      <c r="DF3" s="53">
        <v>45557</v>
      </c>
      <c r="DG3" s="53" t="s">
        <v>405</v>
      </c>
      <c r="DH3" s="53">
        <v>45560</v>
      </c>
      <c r="DI3" s="53">
        <v>45561</v>
      </c>
      <c r="DJ3" s="53">
        <v>45563</v>
      </c>
      <c r="DK3" s="53">
        <v>45563</v>
      </c>
      <c r="DL3" s="53">
        <v>45567</v>
      </c>
      <c r="DM3" s="53">
        <v>45569</v>
      </c>
      <c r="DN3" s="53">
        <v>45570</v>
      </c>
      <c r="DO3" s="53">
        <v>45571</v>
      </c>
      <c r="DP3" s="53">
        <v>45572</v>
      </c>
      <c r="DQ3" s="53">
        <v>45574</v>
      </c>
      <c r="DR3" s="53">
        <v>45577</v>
      </c>
      <c r="DS3" s="53">
        <v>45577</v>
      </c>
      <c r="DT3" s="53">
        <v>45578</v>
      </c>
      <c r="DU3" s="53">
        <v>45580</v>
      </c>
      <c r="DV3" s="53">
        <v>45582</v>
      </c>
      <c r="DW3" s="53">
        <v>45584</v>
      </c>
      <c r="DX3" s="53">
        <v>45589</v>
      </c>
      <c r="DY3" s="53">
        <v>45592</v>
      </c>
      <c r="DZ3" s="53">
        <v>45595</v>
      </c>
      <c r="EA3" s="53">
        <v>45595</v>
      </c>
      <c r="EB3" s="53">
        <v>45598</v>
      </c>
      <c r="EC3" s="53">
        <v>45607</v>
      </c>
      <c r="ED3" s="53">
        <v>45608</v>
      </c>
      <c r="EE3" s="53">
        <v>45614</v>
      </c>
      <c r="EF3" s="53">
        <v>45619</v>
      </c>
      <c r="EG3" s="53">
        <v>45630</v>
      </c>
      <c r="EH3" s="53">
        <v>45630</v>
      </c>
      <c r="EI3" s="53">
        <v>45647</v>
      </c>
      <c r="EJ3" s="53">
        <v>45693</v>
      </c>
      <c r="EK3" s="53">
        <v>45715</v>
      </c>
      <c r="EL3" s="53">
        <v>45720</v>
      </c>
      <c r="EM3" s="53">
        <v>45721</v>
      </c>
      <c r="EN3" s="53">
        <v>45725</v>
      </c>
      <c r="EO3" s="53">
        <v>45752</v>
      </c>
      <c r="EP3" s="53">
        <v>45753</v>
      </c>
      <c r="EQ3" s="53">
        <v>45761</v>
      </c>
      <c r="ER3" s="53">
        <v>45770</v>
      </c>
      <c r="ES3" s="53">
        <v>45774</v>
      </c>
      <c r="ET3" s="53">
        <v>45776</v>
      </c>
      <c r="EU3" s="53">
        <v>45780</v>
      </c>
      <c r="EV3" s="53">
        <v>45782</v>
      </c>
      <c r="EW3" s="53">
        <v>45787</v>
      </c>
      <c r="EX3" s="53">
        <v>45797</v>
      </c>
      <c r="EY3" s="53">
        <v>45803</v>
      </c>
      <c r="EZ3" s="53">
        <v>45806</v>
      </c>
      <c r="FA3" s="53">
        <v>45809</v>
      </c>
      <c r="FB3" s="53">
        <v>45810</v>
      </c>
      <c r="FC3" s="53">
        <v>45811</v>
      </c>
      <c r="FD3" s="53">
        <v>45812</v>
      </c>
      <c r="FE3" s="53">
        <v>45817</v>
      </c>
      <c r="FF3" s="53">
        <v>45818</v>
      </c>
      <c r="FG3" s="53">
        <v>45819</v>
      </c>
      <c r="FH3" s="53">
        <v>45820</v>
      </c>
      <c r="FI3" s="53">
        <v>45822</v>
      </c>
      <c r="FJ3" s="53">
        <v>45825</v>
      </c>
      <c r="FK3" s="53">
        <v>45831</v>
      </c>
      <c r="FL3" s="53">
        <v>45836</v>
      </c>
      <c r="FM3" s="53">
        <v>45840</v>
      </c>
      <c r="FN3" s="53">
        <v>45847</v>
      </c>
      <c r="FO3" s="53">
        <v>45854</v>
      </c>
      <c r="FP3" s="53">
        <v>45860</v>
      </c>
      <c r="FQ3" s="53" t="s">
        <v>239</v>
      </c>
      <c r="FR3" s="34">
        <v>45857</v>
      </c>
      <c r="FS3" s="34">
        <v>45842</v>
      </c>
      <c r="FT3" s="34">
        <v>45844</v>
      </c>
      <c r="FU3" s="53">
        <v>45882</v>
      </c>
      <c r="FV3" s="54">
        <v>45883</v>
      </c>
      <c r="FW3" s="54">
        <v>45883</v>
      </c>
      <c r="FX3" s="54">
        <v>45882</v>
      </c>
      <c r="FY3" s="54">
        <v>45627</v>
      </c>
      <c r="FZ3" s="54">
        <v>45612</v>
      </c>
      <c r="GA3" s="54">
        <v>45554</v>
      </c>
      <c r="GB3" s="54" t="s">
        <v>35</v>
      </c>
      <c r="GC3" s="54">
        <v>45888</v>
      </c>
      <c r="GD3" s="27"/>
      <c r="GE3" s="27"/>
      <c r="GF3" s="27"/>
      <c r="GG3" s="27"/>
    </row>
    <row r="4" spans="1:189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39">
        <v>1154</v>
      </c>
      <c r="AX4" s="39">
        <v>1154</v>
      </c>
      <c r="AY4" s="39">
        <v>1154</v>
      </c>
      <c r="AZ4" s="39">
        <v>2156</v>
      </c>
      <c r="BA4" s="39">
        <v>2156</v>
      </c>
      <c r="BB4" s="39">
        <v>2156</v>
      </c>
      <c r="BC4" s="39">
        <v>1161</v>
      </c>
      <c r="BD4" s="39">
        <v>1161</v>
      </c>
      <c r="BE4" s="39">
        <v>1162</v>
      </c>
      <c r="BF4" s="39">
        <v>2157</v>
      </c>
      <c r="BG4" s="39">
        <v>2158</v>
      </c>
      <c r="BH4" s="39">
        <v>2160</v>
      </c>
      <c r="BI4" s="39">
        <v>1163</v>
      </c>
      <c r="BJ4" s="39">
        <v>1164</v>
      </c>
      <c r="BK4" s="39">
        <v>2161</v>
      </c>
      <c r="BL4" s="39">
        <v>2159</v>
      </c>
      <c r="BM4" s="39">
        <v>2166</v>
      </c>
      <c r="BN4" s="39">
        <v>1167</v>
      </c>
      <c r="BO4" s="39">
        <v>1166</v>
      </c>
      <c r="BP4" s="39">
        <v>2167</v>
      </c>
      <c r="BQ4" s="39">
        <v>2164</v>
      </c>
      <c r="BR4" s="39">
        <v>2165</v>
      </c>
      <c r="BS4" s="39">
        <v>2169</v>
      </c>
      <c r="BT4" s="39">
        <v>2170</v>
      </c>
      <c r="BU4" s="39">
        <v>2171</v>
      </c>
      <c r="BV4" s="39">
        <v>1170</v>
      </c>
      <c r="BW4" s="39">
        <v>2176</v>
      </c>
      <c r="BX4" s="39">
        <v>2190</v>
      </c>
      <c r="BY4" s="39" t="s">
        <v>240</v>
      </c>
      <c r="BZ4" s="39" t="s">
        <v>241</v>
      </c>
      <c r="CA4" s="39" t="s">
        <v>242</v>
      </c>
      <c r="CB4" s="39" t="s">
        <v>243</v>
      </c>
      <c r="CC4" s="39" t="s">
        <v>244</v>
      </c>
      <c r="CD4" s="39" t="s">
        <v>245</v>
      </c>
      <c r="CE4" s="39" t="s">
        <v>246</v>
      </c>
      <c r="CF4" s="39" t="s">
        <v>247</v>
      </c>
      <c r="CG4" s="32"/>
      <c r="CH4" s="32"/>
      <c r="CI4" s="32"/>
      <c r="CJ4" s="32"/>
      <c r="CK4" s="39"/>
      <c r="CL4" s="39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2"/>
      <c r="DW4" s="32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2"/>
      <c r="EI4" s="32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2"/>
      <c r="EW4" s="32"/>
      <c r="EX4" s="32"/>
      <c r="EY4" s="32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2"/>
      <c r="FK4" s="32"/>
      <c r="FL4" s="32"/>
      <c r="FM4" s="32"/>
      <c r="FN4" s="32"/>
      <c r="FO4" s="32"/>
      <c r="FP4" s="32"/>
      <c r="FQ4" s="32"/>
      <c r="FR4" s="32"/>
      <c r="FS4" s="32"/>
      <c r="FT4" s="32"/>
      <c r="FU4" s="32"/>
      <c r="FV4" s="32"/>
      <c r="FW4" s="32"/>
      <c r="FX4" s="32"/>
      <c r="FY4" s="32"/>
      <c r="FZ4" s="32"/>
      <c r="GA4" s="32"/>
      <c r="GB4" s="32"/>
      <c r="GC4" s="32"/>
      <c r="GD4" s="32"/>
      <c r="GE4" s="32"/>
      <c r="GF4" s="32"/>
      <c r="GG4" s="32"/>
    </row>
    <row r="5" spans="1:189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>
        <v>791</v>
      </c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>
        <v>460</v>
      </c>
      <c r="DM5" s="22"/>
      <c r="DN5" s="22"/>
      <c r="DO5" s="22">
        <v>328</v>
      </c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22"/>
      <c r="EC5" s="22"/>
      <c r="ED5" s="22"/>
      <c r="EE5" s="22"/>
      <c r="EF5" s="22"/>
      <c r="EG5" s="22"/>
      <c r="EH5" s="22"/>
      <c r="EI5" s="22"/>
      <c r="EJ5" s="22"/>
      <c r="EK5" s="22"/>
      <c r="EL5" s="22"/>
      <c r="EM5" s="22"/>
      <c r="EN5" s="22"/>
      <c r="EO5" s="22"/>
      <c r="EP5" s="22"/>
      <c r="EQ5" s="22"/>
      <c r="ER5" s="22"/>
      <c r="ES5" s="22"/>
      <c r="ET5" s="22"/>
      <c r="EU5" s="22"/>
      <c r="EV5" s="22"/>
      <c r="EW5" s="22"/>
      <c r="EX5" s="22"/>
      <c r="EY5" s="22"/>
      <c r="EZ5" s="22"/>
      <c r="FA5" s="22"/>
      <c r="FB5" s="22"/>
      <c r="FC5" s="22"/>
      <c r="FD5" s="22"/>
      <c r="FE5" s="22"/>
      <c r="FF5" s="22"/>
      <c r="FG5" s="22"/>
      <c r="FH5" s="22"/>
      <c r="FI5" s="22"/>
      <c r="FJ5" s="22"/>
      <c r="FK5" s="22"/>
      <c r="FL5" s="22"/>
      <c r="FM5" s="22"/>
      <c r="FN5" s="22"/>
      <c r="FO5" s="22"/>
      <c r="FP5" s="22"/>
      <c r="FQ5" s="22"/>
      <c r="FU5" s="22"/>
      <c r="FV5" s="22"/>
      <c r="GG5" s="22">
        <v>1579</v>
      </c>
    </row>
    <row r="6" spans="1:189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  <c r="DS6" s="22"/>
      <c r="DT6" s="22"/>
      <c r="DU6" s="22"/>
      <c r="DV6" s="22"/>
      <c r="DW6" s="22"/>
      <c r="DX6" s="22"/>
      <c r="DY6" s="22"/>
      <c r="DZ6" s="22"/>
      <c r="EA6" s="22"/>
      <c r="EB6" s="22"/>
      <c r="EC6" s="22"/>
      <c r="ED6" s="22"/>
      <c r="EE6" s="22"/>
      <c r="EF6" s="22"/>
      <c r="EG6" s="22"/>
      <c r="EH6" s="22"/>
      <c r="EI6" s="22"/>
      <c r="EJ6" s="22"/>
      <c r="EK6" s="22"/>
      <c r="EL6" s="22"/>
      <c r="EM6" s="22"/>
      <c r="EN6" s="22"/>
      <c r="EO6" s="22"/>
      <c r="EP6" s="22"/>
      <c r="EQ6" s="22"/>
      <c r="ER6" s="22"/>
      <c r="ES6" s="22"/>
      <c r="ET6" s="22"/>
      <c r="EU6" s="22"/>
      <c r="EV6" s="22"/>
      <c r="EW6" s="22"/>
      <c r="EX6" s="22"/>
      <c r="EY6" s="22"/>
      <c r="EZ6" s="22"/>
      <c r="FA6" s="22"/>
      <c r="FB6" s="22"/>
      <c r="FC6" s="22"/>
      <c r="FD6" s="22"/>
      <c r="FE6" s="22"/>
      <c r="FF6" s="22"/>
      <c r="FG6" s="22"/>
      <c r="FH6" s="22"/>
      <c r="FI6" s="22"/>
      <c r="FJ6" s="22"/>
      <c r="FK6" s="22"/>
      <c r="FL6" s="22"/>
      <c r="FM6" s="22"/>
      <c r="FN6" s="22"/>
      <c r="FO6" s="22"/>
      <c r="FP6" s="22"/>
      <c r="FQ6" s="22"/>
      <c r="FU6" s="22"/>
      <c r="FV6" s="22"/>
      <c r="GG6" s="22">
        <v>0</v>
      </c>
    </row>
    <row r="7" spans="1:189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U7" s="22"/>
      <c r="FV7" s="22"/>
      <c r="GG7" s="22">
        <v>0</v>
      </c>
    </row>
    <row r="8" spans="1:189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I8" s="22">
        <v>5</v>
      </c>
      <c r="T8" s="22">
        <v>3</v>
      </c>
      <c r="X8" s="35"/>
      <c r="Y8" s="35"/>
      <c r="Z8" s="35"/>
      <c r="AA8" s="35"/>
      <c r="AB8" s="35"/>
      <c r="AC8" s="35"/>
      <c r="AD8" s="35"/>
      <c r="AE8" s="35"/>
      <c r="AF8" s="35"/>
      <c r="AG8" s="35">
        <v>2</v>
      </c>
      <c r="AH8" s="35"/>
      <c r="AI8" s="35"/>
      <c r="AJ8" s="35"/>
      <c r="AK8" s="35"/>
      <c r="AL8" s="35"/>
      <c r="AM8" s="35"/>
      <c r="AN8" s="35">
        <v>2</v>
      </c>
      <c r="AO8" s="35"/>
      <c r="AP8" s="35">
        <v>4</v>
      </c>
      <c r="AQ8" s="35"/>
      <c r="AR8" s="35"/>
      <c r="AS8" s="35"/>
      <c r="AT8" s="35">
        <v>5</v>
      </c>
      <c r="AU8" s="35">
        <v>5</v>
      </c>
      <c r="AV8" s="35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>
        <v>10</v>
      </c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>
        <v>9</v>
      </c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>
        <v>26</v>
      </c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U8" s="22"/>
      <c r="FV8" s="22"/>
      <c r="GC8" s="22">
        <v>30</v>
      </c>
      <c r="GG8" s="22">
        <v>101</v>
      </c>
    </row>
    <row r="9" spans="1:189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I9" s="22">
        <v>2</v>
      </c>
      <c r="N9" s="22">
        <v>21</v>
      </c>
      <c r="P9" s="22">
        <v>45</v>
      </c>
      <c r="T9" s="22">
        <v>3</v>
      </c>
      <c r="X9" s="35"/>
      <c r="Y9" s="35"/>
      <c r="Z9" s="35"/>
      <c r="AA9" s="35"/>
      <c r="AB9" s="35">
        <v>8</v>
      </c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>
        <v>2</v>
      </c>
      <c r="AO9" s="35"/>
      <c r="AP9" s="35"/>
      <c r="AQ9" s="35"/>
      <c r="AR9" s="35"/>
      <c r="AS9" s="35"/>
      <c r="AT9" s="35"/>
      <c r="AU9" s="35"/>
      <c r="AV9" s="35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>
        <v>5</v>
      </c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>
        <v>7</v>
      </c>
      <c r="DH9" s="22"/>
      <c r="DI9" s="22">
        <v>24</v>
      </c>
      <c r="DJ9" s="22"/>
      <c r="DK9" s="22"/>
      <c r="DL9" s="22"/>
      <c r="DM9" s="22"/>
      <c r="DN9" s="22"/>
      <c r="DO9" s="22"/>
      <c r="DP9" s="22"/>
      <c r="DQ9" s="22"/>
      <c r="DR9" s="22">
        <v>24</v>
      </c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U9" s="22"/>
      <c r="FV9" s="22"/>
      <c r="GC9" s="22">
        <v>30</v>
      </c>
      <c r="GG9" s="22">
        <v>171</v>
      </c>
    </row>
    <row r="10" spans="1:189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U10" s="22">
        <v>20</v>
      </c>
      <c r="X10" s="36">
        <v>10</v>
      </c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>
        <v>1</v>
      </c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>
        <v>35</v>
      </c>
      <c r="EA10" s="22"/>
      <c r="EB10" s="22">
        <v>6</v>
      </c>
      <c r="EC10" s="22">
        <v>19</v>
      </c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>
        <v>4</v>
      </c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U10" s="22"/>
      <c r="FV10" s="22"/>
      <c r="GG10" s="22">
        <v>95</v>
      </c>
    </row>
    <row r="11" spans="1:189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I11" s="22">
        <v>5</v>
      </c>
      <c r="L11" s="22">
        <v>10</v>
      </c>
      <c r="N11" s="22">
        <v>10</v>
      </c>
      <c r="T11" s="22">
        <v>3</v>
      </c>
      <c r="X11" s="36">
        <v>10</v>
      </c>
      <c r="Y11" s="36"/>
      <c r="Z11" s="36"/>
      <c r="AA11" s="36"/>
      <c r="AB11" s="36"/>
      <c r="AC11" s="36"/>
      <c r="AD11" s="36"/>
      <c r="AE11" s="36"/>
      <c r="AF11" s="36"/>
      <c r="AG11" s="36">
        <v>4</v>
      </c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>
        <v>30</v>
      </c>
      <c r="CJ11" s="22"/>
      <c r="CK11" s="22"/>
      <c r="CL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>
        <v>10</v>
      </c>
      <c r="DH11" s="22"/>
      <c r="DI11" s="22">
        <v>24</v>
      </c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22"/>
      <c r="EZ11" s="22">
        <v>30</v>
      </c>
      <c r="FA11" s="22"/>
      <c r="FB11" s="22">
        <v>30</v>
      </c>
      <c r="FC11" s="22"/>
      <c r="FD11" s="22"/>
      <c r="FE11" s="22"/>
      <c r="FF11" s="22"/>
      <c r="FG11" s="22"/>
      <c r="FH11" s="22"/>
      <c r="FI11" s="22"/>
      <c r="FJ11" s="22"/>
      <c r="FK11" s="22"/>
      <c r="FL11" s="22"/>
      <c r="FM11" s="22"/>
      <c r="FN11" s="22"/>
      <c r="FO11" s="22"/>
      <c r="FP11" s="22"/>
      <c r="FQ11" s="22"/>
      <c r="FU11" s="22"/>
      <c r="FV11" s="22"/>
      <c r="GG11" s="22">
        <v>166</v>
      </c>
    </row>
    <row r="12" spans="1:189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U12" s="22"/>
      <c r="FV12" s="22"/>
      <c r="GG12" s="22">
        <v>0</v>
      </c>
    </row>
    <row r="13" spans="1:189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>
        <v>2</v>
      </c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U13" s="22"/>
      <c r="FV13" s="22"/>
      <c r="GG13" s="22">
        <v>2</v>
      </c>
    </row>
    <row r="14" spans="1:189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N14" s="22">
        <v>5</v>
      </c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>
        <v>15</v>
      </c>
      <c r="AT14" s="36"/>
      <c r="AU14" s="36"/>
      <c r="AV14" s="36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>
        <v>40</v>
      </c>
      <c r="BW14" s="22"/>
      <c r="BX14" s="22"/>
      <c r="BY14" s="22">
        <v>10</v>
      </c>
      <c r="BZ14" s="22"/>
      <c r="CA14" s="22"/>
      <c r="CB14" s="22">
        <v>8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O14" s="22"/>
      <c r="CP14" s="22"/>
      <c r="CQ14" s="22"/>
      <c r="CR14" s="22"/>
      <c r="CS14" s="22"/>
      <c r="CT14" s="22"/>
      <c r="CU14" s="22"/>
      <c r="CV14" s="22"/>
      <c r="CW14" s="22">
        <v>20</v>
      </c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U14" s="22"/>
      <c r="FV14" s="22"/>
      <c r="GG14" s="22">
        <v>98</v>
      </c>
    </row>
    <row r="15" spans="1:189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U15" s="22"/>
      <c r="FV15" s="22"/>
      <c r="GG15" s="22">
        <v>0</v>
      </c>
    </row>
    <row r="16" spans="1:189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X16" s="36"/>
      <c r="Y16" s="36">
        <v>1</v>
      </c>
      <c r="Z16" s="36">
        <v>5</v>
      </c>
      <c r="AA16" s="36"/>
      <c r="AB16" s="36">
        <v>1</v>
      </c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>
        <v>14</v>
      </c>
      <c r="CA16" s="22">
        <v>5</v>
      </c>
      <c r="CB16" s="22">
        <v>8</v>
      </c>
      <c r="CC16" s="22"/>
      <c r="CD16" s="22">
        <v>10</v>
      </c>
      <c r="CE16" s="22">
        <v>5</v>
      </c>
      <c r="CF16" s="22"/>
      <c r="CG16" s="22"/>
      <c r="CH16" s="22"/>
      <c r="CI16" s="22"/>
      <c r="CJ16" s="22"/>
      <c r="CK16" s="22"/>
      <c r="CL16" s="22"/>
      <c r="CO16" s="22"/>
      <c r="CP16" s="22"/>
      <c r="CQ16" s="22"/>
      <c r="CR16" s="22"/>
      <c r="CS16" s="22"/>
      <c r="CT16" s="22"/>
      <c r="CU16" s="22"/>
      <c r="CV16" s="22"/>
      <c r="CW16" s="22">
        <v>20</v>
      </c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U16" s="22"/>
      <c r="FV16" s="22"/>
      <c r="GG16" s="22">
        <v>69</v>
      </c>
    </row>
    <row r="17" spans="1:189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>
        <v>5</v>
      </c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U17" s="22"/>
      <c r="FV17" s="22"/>
      <c r="GG17" s="22">
        <v>5</v>
      </c>
    </row>
    <row r="18" spans="1:189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>
        <v>12</v>
      </c>
      <c r="CA18" s="22"/>
      <c r="CB18" s="22"/>
      <c r="CC18" s="22"/>
      <c r="CD18" s="22">
        <v>5</v>
      </c>
      <c r="CE18" s="22"/>
      <c r="CF18" s="22"/>
      <c r="CG18" s="22"/>
      <c r="CH18" s="22"/>
      <c r="CI18" s="22"/>
      <c r="CJ18" s="22"/>
      <c r="CK18" s="22"/>
      <c r="CL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U18" s="22"/>
      <c r="FV18" s="22"/>
      <c r="GG18" s="22">
        <v>17</v>
      </c>
    </row>
    <row r="19" spans="1:189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F19" s="22">
        <v>20</v>
      </c>
      <c r="G19" s="22">
        <v>100</v>
      </c>
      <c r="K19" s="22">
        <v>320</v>
      </c>
      <c r="O19" s="22">
        <v>311</v>
      </c>
      <c r="P19" s="22">
        <v>128</v>
      </c>
      <c r="R19" s="22">
        <v>100</v>
      </c>
      <c r="S19" s="22">
        <v>300</v>
      </c>
      <c r="W19" s="22">
        <v>124</v>
      </c>
      <c r="X19" s="36">
        <v>50</v>
      </c>
      <c r="Y19" s="36">
        <v>17</v>
      </c>
      <c r="Z19" s="36">
        <v>10</v>
      </c>
      <c r="AA19" s="36">
        <v>22</v>
      </c>
      <c r="AB19" s="36">
        <v>50</v>
      </c>
      <c r="AC19" s="36"/>
      <c r="AD19" s="36"/>
      <c r="AE19" s="36"/>
      <c r="AF19" s="36">
        <v>50</v>
      </c>
      <c r="AG19" s="36"/>
      <c r="AH19" s="36"/>
      <c r="AI19" s="36"/>
      <c r="AJ19" s="36">
        <v>30</v>
      </c>
      <c r="AK19" s="36"/>
      <c r="AL19" s="36"/>
      <c r="AM19" s="36"/>
      <c r="AN19" s="36"/>
      <c r="AO19" s="36"/>
      <c r="AP19" s="36"/>
      <c r="AQ19" s="36"/>
      <c r="AR19" s="36">
        <v>100</v>
      </c>
      <c r="AS19" s="36"/>
      <c r="AT19" s="36"/>
      <c r="AU19" s="36"/>
      <c r="AV19" s="36">
        <v>200</v>
      </c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>
        <v>985</v>
      </c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>
        <v>220</v>
      </c>
      <c r="BZ19" s="22">
        <v>221</v>
      </c>
      <c r="CA19" s="22"/>
      <c r="CB19" s="22"/>
      <c r="CC19" s="22"/>
      <c r="CD19" s="22"/>
      <c r="CE19" s="22"/>
      <c r="CF19" s="22"/>
      <c r="CG19" s="22">
        <v>160</v>
      </c>
      <c r="CH19" s="22"/>
      <c r="CI19" s="22"/>
      <c r="CJ19" s="22">
        <v>1050</v>
      </c>
      <c r="CK19" s="22"/>
      <c r="CL19" s="22">
        <v>200</v>
      </c>
      <c r="CM19" s="22">
        <v>200</v>
      </c>
      <c r="CO19" s="22">
        <v>45</v>
      </c>
      <c r="CP19" s="22"/>
      <c r="CQ19" s="22">
        <v>100</v>
      </c>
      <c r="CR19" s="22"/>
      <c r="CS19" s="22"/>
      <c r="CT19" s="22"/>
      <c r="CU19" s="22"/>
      <c r="CV19" s="22"/>
      <c r="CW19" s="22">
        <v>400</v>
      </c>
      <c r="CX19" s="22"/>
      <c r="CY19" s="22"/>
      <c r="CZ19" s="22"/>
      <c r="DA19" s="22"/>
      <c r="DB19" s="22"/>
      <c r="DC19" s="22"/>
      <c r="DD19" s="22"/>
      <c r="DE19" s="22">
        <v>560</v>
      </c>
      <c r="DF19" s="22"/>
      <c r="DG19" s="22"/>
      <c r="DH19" s="22">
        <v>79</v>
      </c>
      <c r="DI19" s="22">
        <v>375</v>
      </c>
      <c r="DJ19" s="22"/>
      <c r="DK19" s="22"/>
      <c r="DL19" s="22"/>
      <c r="DM19" s="22"/>
      <c r="DN19" s="22"/>
      <c r="DO19" s="22"/>
      <c r="DP19" s="22">
        <v>243</v>
      </c>
      <c r="DQ19" s="22"/>
      <c r="DR19" s="22"/>
      <c r="DS19" s="22"/>
      <c r="DT19" s="22"/>
      <c r="DU19" s="22"/>
      <c r="DV19" s="22"/>
      <c r="DW19" s="22">
        <v>150</v>
      </c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>
        <v>200</v>
      </c>
      <c r="ES19" s="22">
        <v>400</v>
      </c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>
        <v>200</v>
      </c>
      <c r="FM19" s="22"/>
      <c r="FN19" s="22">
        <v>316</v>
      </c>
      <c r="FO19" s="22"/>
      <c r="FP19" s="22"/>
      <c r="FQ19" s="22"/>
      <c r="FU19" s="22"/>
      <c r="FV19" s="22"/>
      <c r="GG19" s="22">
        <v>8036</v>
      </c>
    </row>
    <row r="20" spans="1:189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G20" s="22">
        <v>40</v>
      </c>
      <c r="I20" s="22">
        <v>100</v>
      </c>
      <c r="X20" s="36"/>
      <c r="Y20" s="36"/>
      <c r="Z20" s="36">
        <v>35</v>
      </c>
      <c r="AA20" s="36">
        <v>8</v>
      </c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>
        <v>50</v>
      </c>
      <c r="AO20" s="36"/>
      <c r="AP20" s="36">
        <v>100</v>
      </c>
      <c r="AQ20" s="36"/>
      <c r="AR20" s="36"/>
      <c r="AS20" s="36"/>
      <c r="AT20" s="36"/>
      <c r="AU20" s="36"/>
      <c r="AV20" s="36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>
        <v>462</v>
      </c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O20" s="22">
        <v>4</v>
      </c>
      <c r="CP20" s="22"/>
      <c r="CQ20" s="22"/>
      <c r="CR20" s="22"/>
      <c r="CS20" s="22"/>
      <c r="CT20" s="22"/>
      <c r="CU20" s="22"/>
      <c r="CV20" s="22"/>
      <c r="CW20" s="22"/>
      <c r="CX20" s="22">
        <v>100</v>
      </c>
      <c r="CY20" s="22"/>
      <c r="CZ20" s="22"/>
      <c r="DA20" s="22"/>
      <c r="DB20" s="22"/>
      <c r="DC20" s="22"/>
      <c r="DD20" s="22"/>
      <c r="DE20" s="22"/>
      <c r="DF20" s="22"/>
      <c r="DG20" s="22">
        <v>100</v>
      </c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>
        <v>400</v>
      </c>
      <c r="EV20" s="22"/>
      <c r="EW20" s="22"/>
      <c r="EX20" s="22"/>
      <c r="EY20" s="22"/>
      <c r="EZ20" s="22">
        <v>200</v>
      </c>
      <c r="FA20" s="22"/>
      <c r="FB20" s="22"/>
      <c r="FC20" s="22">
        <v>450</v>
      </c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U20" s="22"/>
      <c r="FV20" s="22"/>
      <c r="GG20" s="22">
        <v>2049</v>
      </c>
    </row>
    <row r="21" spans="1:189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G21" s="22">
        <v>50</v>
      </c>
      <c r="I21" s="22">
        <v>100</v>
      </c>
      <c r="M21" s="22">
        <v>500</v>
      </c>
      <c r="S21" s="22">
        <v>100</v>
      </c>
      <c r="X21" s="36"/>
      <c r="Y21" s="36"/>
      <c r="Z21" s="36"/>
      <c r="AA21" s="36"/>
      <c r="AB21" s="36"/>
      <c r="AC21" s="36"/>
      <c r="AD21" s="36">
        <v>50</v>
      </c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>
        <v>50</v>
      </c>
      <c r="AP21" s="36"/>
      <c r="AQ21" s="36"/>
      <c r="AR21" s="36"/>
      <c r="AS21" s="36"/>
      <c r="AT21" s="36"/>
      <c r="AU21" s="36"/>
      <c r="AV21" s="36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>
        <v>2000</v>
      </c>
      <c r="BZ21" s="22"/>
      <c r="CA21" s="22"/>
      <c r="CB21" s="22"/>
      <c r="CC21" s="22">
        <v>1000</v>
      </c>
      <c r="CD21" s="22"/>
      <c r="CE21" s="22"/>
      <c r="CF21" s="22"/>
      <c r="CG21" s="22"/>
      <c r="CH21" s="22"/>
      <c r="CI21" s="22"/>
      <c r="CJ21" s="22"/>
      <c r="CK21" s="22"/>
      <c r="CL21" s="22">
        <v>50</v>
      </c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>
        <v>10</v>
      </c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U21" s="22"/>
      <c r="FV21" s="22"/>
      <c r="GG21" s="22">
        <v>3910</v>
      </c>
    </row>
    <row r="22" spans="1:189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U22" s="22"/>
      <c r="FV22" s="22"/>
      <c r="GG22" s="22">
        <v>0</v>
      </c>
    </row>
    <row r="23" spans="1:189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U23" s="22"/>
      <c r="FV23" s="22"/>
      <c r="GG23" s="22">
        <v>0</v>
      </c>
    </row>
    <row r="24" spans="1:189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T24" s="22">
        <v>4</v>
      </c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U24" s="22"/>
      <c r="FV24" s="22"/>
      <c r="GG24" s="22">
        <v>4</v>
      </c>
    </row>
    <row r="25" spans="1:189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T25" s="22">
        <v>4</v>
      </c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U25" s="22"/>
      <c r="FV25" s="22"/>
      <c r="GG25" s="22">
        <v>4</v>
      </c>
    </row>
    <row r="26" spans="1:189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U26" s="22"/>
      <c r="FV26" s="22"/>
      <c r="GG26" s="22">
        <v>0</v>
      </c>
    </row>
    <row r="27" spans="1:189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G27" s="22">
        <v>522</v>
      </c>
      <c r="I27" s="22">
        <v>200</v>
      </c>
      <c r="K27" s="22">
        <v>600</v>
      </c>
      <c r="M27" s="22">
        <v>2020</v>
      </c>
      <c r="O27" s="22">
        <v>820</v>
      </c>
      <c r="P27" s="22">
        <v>524</v>
      </c>
      <c r="R27" s="22">
        <v>320</v>
      </c>
      <c r="S27" s="22">
        <v>212</v>
      </c>
      <c r="U27" s="22">
        <v>250</v>
      </c>
      <c r="X27" s="36">
        <v>100</v>
      </c>
      <c r="Y27" s="36">
        <v>50</v>
      </c>
      <c r="Z27" s="36">
        <v>60</v>
      </c>
      <c r="AA27" s="36">
        <v>216</v>
      </c>
      <c r="AB27" s="36">
        <v>100</v>
      </c>
      <c r="AC27" s="36"/>
      <c r="AD27" s="36"/>
      <c r="AE27" s="36"/>
      <c r="AF27" s="36">
        <v>250</v>
      </c>
      <c r="AG27" s="36"/>
      <c r="AH27" s="36"/>
      <c r="AI27" s="36"/>
      <c r="AJ27" s="36"/>
      <c r="AK27" s="36"/>
      <c r="AL27" s="36">
        <v>350</v>
      </c>
      <c r="AM27" s="36"/>
      <c r="AN27" s="36"/>
      <c r="AO27" s="36">
        <v>800</v>
      </c>
      <c r="AP27" s="36"/>
      <c r="AQ27" s="36">
        <v>100</v>
      </c>
      <c r="AR27" s="36"/>
      <c r="AS27" s="36"/>
      <c r="AT27" s="36"/>
      <c r="AU27" s="36"/>
      <c r="AV27" s="36"/>
      <c r="AW27" s="22"/>
      <c r="AX27" s="22"/>
      <c r="AY27" s="22"/>
      <c r="AZ27" s="22"/>
      <c r="BA27" s="22">
        <v>3000</v>
      </c>
      <c r="BB27" s="22">
        <v>3000</v>
      </c>
      <c r="BC27" s="22">
        <v>6000</v>
      </c>
      <c r="BD27" s="22">
        <v>5000</v>
      </c>
      <c r="BE27" s="22"/>
      <c r="BF27" s="22"/>
      <c r="BG27" s="22"/>
      <c r="BH27" s="22"/>
      <c r="BI27" s="22">
        <v>6000</v>
      </c>
      <c r="BJ27" s="22"/>
      <c r="BK27" s="22"/>
      <c r="BL27" s="22"/>
      <c r="BM27" s="22"/>
      <c r="BN27" s="22">
        <v>414</v>
      </c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>
        <v>3000</v>
      </c>
      <c r="BZ27" s="22">
        <v>6000</v>
      </c>
      <c r="CA27" s="22">
        <v>3000</v>
      </c>
      <c r="CB27" s="22">
        <v>3000</v>
      </c>
      <c r="CC27" s="22"/>
      <c r="CD27" s="22"/>
      <c r="CE27" s="22"/>
      <c r="CF27" s="22"/>
      <c r="CG27" s="22">
        <v>100</v>
      </c>
      <c r="CH27" s="22">
        <v>38</v>
      </c>
      <c r="CI27" s="22">
        <v>15</v>
      </c>
      <c r="CJ27" s="22"/>
      <c r="CK27" s="22"/>
      <c r="CL27" s="22">
        <v>448</v>
      </c>
      <c r="CM27" s="22">
        <v>20</v>
      </c>
      <c r="CO27" s="22">
        <v>200</v>
      </c>
      <c r="CP27" s="22"/>
      <c r="CQ27" s="22">
        <v>250</v>
      </c>
      <c r="CR27" s="22"/>
      <c r="CS27" s="22"/>
      <c r="CT27" s="22"/>
      <c r="CU27" s="22"/>
      <c r="CV27" s="22"/>
      <c r="CW27" s="22">
        <v>500</v>
      </c>
      <c r="CX27" s="22"/>
      <c r="CY27" s="22"/>
      <c r="CZ27" s="22"/>
      <c r="DA27" s="22"/>
      <c r="DB27" s="22"/>
      <c r="DC27" s="22"/>
      <c r="DD27" s="22"/>
      <c r="DE27" s="22">
        <v>3510</v>
      </c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>
        <v>2327</v>
      </c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>
        <v>1000</v>
      </c>
      <c r="EP27" s="22"/>
      <c r="EQ27" s="22"/>
      <c r="ER27" s="22"/>
      <c r="ES27" s="22">
        <v>2180</v>
      </c>
      <c r="ET27" s="22"/>
      <c r="EU27" s="22">
        <v>600</v>
      </c>
      <c r="EV27" s="22"/>
      <c r="EW27" s="22"/>
      <c r="EX27" s="22">
        <v>900</v>
      </c>
      <c r="EY27" s="22"/>
      <c r="EZ27" s="22">
        <v>2000</v>
      </c>
      <c r="FA27" s="22"/>
      <c r="FB27" s="22">
        <v>1000</v>
      </c>
      <c r="FC27" s="22">
        <v>1833</v>
      </c>
      <c r="FD27" s="22"/>
      <c r="FE27" s="22"/>
      <c r="FF27" s="22">
        <v>1200</v>
      </c>
      <c r="FG27" s="22"/>
      <c r="FH27" s="22"/>
      <c r="FI27" s="22">
        <v>2200</v>
      </c>
      <c r="FJ27" s="22"/>
      <c r="FK27" s="22"/>
      <c r="FL27" s="22">
        <v>2400</v>
      </c>
      <c r="FM27" s="22"/>
      <c r="FN27" s="22"/>
      <c r="FO27" s="22">
        <v>22</v>
      </c>
      <c r="FP27" s="22"/>
      <c r="FQ27" s="22">
        <v>39</v>
      </c>
      <c r="FT27" s="22">
        <v>7408</v>
      </c>
      <c r="FU27" s="22"/>
      <c r="FV27" s="22"/>
      <c r="FW27" s="22">
        <v>4548</v>
      </c>
      <c r="GG27" s="22">
        <v>80646</v>
      </c>
    </row>
    <row r="28" spans="1:189" x14ac:dyDescent="0.25">
      <c r="A28" s="9">
        <v>24</v>
      </c>
      <c r="B28" s="9" t="s">
        <v>35</v>
      </c>
      <c r="C28" s="12" t="s">
        <v>36</v>
      </c>
      <c r="D28" s="9" t="s">
        <v>12</v>
      </c>
      <c r="E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U28" s="22"/>
      <c r="FV28" s="22"/>
    </row>
    <row r="29" spans="1:189" x14ac:dyDescent="0.25">
      <c r="A29" s="9">
        <v>25</v>
      </c>
      <c r="B29" s="9">
        <v>3000001221</v>
      </c>
      <c r="C29" s="12" t="s">
        <v>37</v>
      </c>
      <c r="D29" s="9" t="s">
        <v>12</v>
      </c>
      <c r="E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U29" s="22"/>
      <c r="FV29" s="22"/>
    </row>
    <row r="30" spans="1:189" x14ac:dyDescent="0.25">
      <c r="A30" s="9">
        <v>26</v>
      </c>
      <c r="B30" s="9">
        <v>3000001223</v>
      </c>
      <c r="C30" s="12" t="s">
        <v>38</v>
      </c>
      <c r="D30" s="9" t="s">
        <v>12</v>
      </c>
      <c r="E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U30" s="22"/>
      <c r="FV30" s="22"/>
    </row>
    <row r="31" spans="1:189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O31" s="22"/>
      <c r="CP31" s="22"/>
      <c r="CQ31" s="22"/>
      <c r="CR31" s="22">
        <v>66</v>
      </c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U31" s="22"/>
      <c r="FV31" s="22"/>
      <c r="GG31" s="22">
        <v>66</v>
      </c>
    </row>
    <row r="32" spans="1:189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T32" s="22">
        <v>4</v>
      </c>
      <c r="X32" s="36">
        <v>4</v>
      </c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>
        <v>4</v>
      </c>
      <c r="AR32" s="36"/>
      <c r="AS32" s="36"/>
      <c r="AT32" s="36"/>
      <c r="AU32" s="36"/>
      <c r="AV32" s="36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>
        <v>8</v>
      </c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>
        <v>8</v>
      </c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U32" s="22"/>
      <c r="FV32" s="22"/>
      <c r="GG32" s="22">
        <v>28</v>
      </c>
    </row>
    <row r="33" spans="1:189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U33" s="22"/>
      <c r="FV33" s="22"/>
      <c r="GG33" s="22">
        <v>0</v>
      </c>
    </row>
    <row r="34" spans="1:189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U34" s="22"/>
      <c r="FV34" s="22"/>
      <c r="GG34" s="22">
        <v>0</v>
      </c>
    </row>
    <row r="35" spans="1:189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U35" s="22"/>
      <c r="FV35" s="22"/>
      <c r="GG35" s="22">
        <v>0</v>
      </c>
    </row>
    <row r="36" spans="1:189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U36" s="22"/>
      <c r="FV36" s="22"/>
      <c r="GG36" s="22">
        <v>0</v>
      </c>
    </row>
    <row r="37" spans="1:189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>
        <v>15</v>
      </c>
      <c r="DG37" s="22"/>
      <c r="DH37" s="22"/>
      <c r="DI37" s="22"/>
      <c r="DJ37" s="22"/>
      <c r="DK37" s="22"/>
      <c r="DL37" s="22"/>
      <c r="DM37" s="22"/>
      <c r="DN37" s="22"/>
      <c r="DO37" s="22"/>
      <c r="DP37" s="22">
        <v>61</v>
      </c>
      <c r="DQ37" s="22"/>
      <c r="DR37" s="22"/>
      <c r="DS37" s="22"/>
      <c r="DT37" s="22"/>
      <c r="DU37" s="22"/>
      <c r="DV37" s="22"/>
      <c r="DW37" s="22"/>
      <c r="DX37" s="22">
        <v>145</v>
      </c>
      <c r="DY37" s="22">
        <v>5</v>
      </c>
      <c r="DZ37" s="22"/>
      <c r="EA37" s="22">
        <v>137</v>
      </c>
      <c r="EB37" s="22"/>
      <c r="EC37" s="22">
        <v>100</v>
      </c>
      <c r="ED37" s="22">
        <v>429</v>
      </c>
      <c r="EE37" s="22">
        <v>205</v>
      </c>
      <c r="EF37" s="22">
        <v>496</v>
      </c>
      <c r="EG37" s="22">
        <v>105</v>
      </c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U37" s="22"/>
      <c r="FV37" s="22"/>
      <c r="GG37" s="22">
        <v>1698</v>
      </c>
    </row>
    <row r="38" spans="1:189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>
        <v>600</v>
      </c>
      <c r="AS38" s="36"/>
      <c r="AT38" s="36"/>
      <c r="AU38" s="36"/>
      <c r="AV38" s="36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>
        <v>140</v>
      </c>
      <c r="DQ38" s="22"/>
      <c r="DR38" s="22"/>
      <c r="DS38" s="22"/>
      <c r="DT38" s="22"/>
      <c r="DU38" s="22"/>
      <c r="DV38" s="22"/>
      <c r="DW38" s="22"/>
      <c r="DX38" s="22">
        <v>90</v>
      </c>
      <c r="DY38" s="22"/>
      <c r="DZ38" s="22"/>
      <c r="EA38" s="22">
        <v>147</v>
      </c>
      <c r="EB38" s="22"/>
      <c r="EC38" s="22">
        <v>100</v>
      </c>
      <c r="ED38" s="22"/>
      <c r="EE38" s="22">
        <v>430</v>
      </c>
      <c r="EF38" s="22">
        <v>304</v>
      </c>
      <c r="EG38" s="22">
        <v>98</v>
      </c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  <c r="EZ38" s="22"/>
      <c r="FA38" s="22"/>
      <c r="FB38" s="22"/>
      <c r="FC38" s="22"/>
      <c r="FD38" s="22"/>
      <c r="FE38" s="22"/>
      <c r="FF38" s="22"/>
      <c r="FG38" s="22"/>
      <c r="FH38" s="22"/>
      <c r="FI38" s="22"/>
      <c r="FJ38" s="22"/>
      <c r="FK38" s="22"/>
      <c r="FL38" s="22"/>
      <c r="FM38" s="22"/>
      <c r="FN38" s="22"/>
      <c r="FO38" s="22"/>
      <c r="FP38" s="22"/>
      <c r="FQ38" s="22"/>
      <c r="FU38" s="22"/>
      <c r="FV38" s="22"/>
      <c r="GG38" s="22">
        <v>1909</v>
      </c>
    </row>
    <row r="39" spans="1:189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>
        <v>79</v>
      </c>
      <c r="DB39" s="22"/>
      <c r="DC39" s="22">
        <v>75</v>
      </c>
      <c r="DD39" s="22"/>
      <c r="DE39" s="22"/>
      <c r="DF39" s="22">
        <v>45</v>
      </c>
      <c r="DG39" s="22"/>
      <c r="DH39" s="22"/>
      <c r="DI39" s="22"/>
      <c r="DJ39" s="22"/>
      <c r="DK39" s="22">
        <v>500</v>
      </c>
      <c r="DL39" s="22"/>
      <c r="DM39" s="22">
        <v>109</v>
      </c>
      <c r="DN39" s="22"/>
      <c r="DO39" s="22"/>
      <c r="DP39" s="22">
        <v>20</v>
      </c>
      <c r="DQ39" s="22"/>
      <c r="DR39" s="22"/>
      <c r="DS39" s="22"/>
      <c r="DT39" s="22"/>
      <c r="DU39" s="22"/>
      <c r="DV39" s="22">
        <v>600</v>
      </c>
      <c r="DW39" s="22">
        <v>105</v>
      </c>
      <c r="DX39" s="22"/>
      <c r="DY39" s="22">
        <v>5</v>
      </c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U39" s="22"/>
      <c r="FV39" s="22"/>
      <c r="GG39" s="22">
        <v>1538</v>
      </c>
    </row>
    <row r="40" spans="1:189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>
        <v>310</v>
      </c>
      <c r="DD40" s="22"/>
      <c r="DE40" s="22"/>
      <c r="DF40" s="22"/>
      <c r="DG40" s="22"/>
      <c r="DH40" s="22"/>
      <c r="DI40" s="22"/>
      <c r="DJ40" s="22"/>
      <c r="DK40" s="22"/>
      <c r="DL40" s="22"/>
      <c r="DM40" s="22">
        <v>8</v>
      </c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U40" s="22"/>
      <c r="FV40" s="22"/>
      <c r="GG40" s="22">
        <v>318</v>
      </c>
    </row>
    <row r="41" spans="1:189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>
        <v>180</v>
      </c>
      <c r="CZ41" s="22"/>
      <c r="DA41" s="22"/>
      <c r="DB41" s="22"/>
      <c r="DC41" s="22">
        <v>50</v>
      </c>
      <c r="DD41" s="22"/>
      <c r="DE41" s="22"/>
      <c r="DF41" s="22"/>
      <c r="DG41" s="22"/>
      <c r="DH41" s="22"/>
      <c r="DI41" s="22"/>
      <c r="DJ41" s="22"/>
      <c r="DK41" s="22"/>
      <c r="DL41" s="22"/>
      <c r="DM41" s="22">
        <v>8</v>
      </c>
      <c r="DN41" s="22"/>
      <c r="DO41" s="22"/>
      <c r="DP41" s="22">
        <v>21</v>
      </c>
      <c r="DQ41" s="22"/>
      <c r="DR41" s="22"/>
      <c r="DS41" s="22"/>
      <c r="DT41" s="22"/>
      <c r="DU41" s="22"/>
      <c r="DV41" s="22"/>
      <c r="DW41" s="22"/>
      <c r="DX41" s="22">
        <v>77</v>
      </c>
      <c r="DY41" s="22">
        <v>3</v>
      </c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  <c r="EZ41" s="22"/>
      <c r="FA41" s="22"/>
      <c r="FB41" s="22"/>
      <c r="FC41" s="22"/>
      <c r="FD41" s="22"/>
      <c r="FE41" s="22"/>
      <c r="FF41" s="22"/>
      <c r="FG41" s="22"/>
      <c r="FH41" s="22"/>
      <c r="FI41" s="22"/>
      <c r="FJ41" s="22"/>
      <c r="FK41" s="22"/>
      <c r="FL41" s="22"/>
      <c r="FM41" s="22"/>
      <c r="FN41" s="22"/>
      <c r="FO41" s="22"/>
      <c r="FP41" s="22"/>
      <c r="FQ41" s="22"/>
      <c r="FU41" s="22"/>
      <c r="FV41" s="22"/>
      <c r="GG41" s="22">
        <v>339</v>
      </c>
    </row>
    <row r="42" spans="1:189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>
        <v>45</v>
      </c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>
        <v>28</v>
      </c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U42" s="22"/>
      <c r="FV42" s="22"/>
      <c r="GG42" s="22">
        <v>73</v>
      </c>
    </row>
    <row r="43" spans="1:189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>
        <v>10</v>
      </c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  <c r="EZ43" s="22"/>
      <c r="FA43" s="22"/>
      <c r="FB43" s="22"/>
      <c r="FC43" s="22"/>
      <c r="FD43" s="22"/>
      <c r="FE43" s="22"/>
      <c r="FF43" s="22"/>
      <c r="FG43" s="22"/>
      <c r="FH43" s="22"/>
      <c r="FI43" s="22"/>
      <c r="FJ43" s="22"/>
      <c r="FK43" s="22"/>
      <c r="FL43" s="22"/>
      <c r="FM43" s="22"/>
      <c r="FN43" s="22"/>
      <c r="FO43" s="22"/>
      <c r="FP43" s="22"/>
      <c r="FQ43" s="22"/>
      <c r="FU43" s="22"/>
      <c r="FV43" s="22"/>
      <c r="GG43" s="22">
        <v>10</v>
      </c>
    </row>
    <row r="44" spans="1:189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>
        <v>1845</v>
      </c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>
        <v>346</v>
      </c>
      <c r="DQ44" s="22"/>
      <c r="DR44" s="22"/>
      <c r="DS44" s="22">
        <v>1500</v>
      </c>
      <c r="DT44" s="22"/>
      <c r="DU44" s="22"/>
      <c r="DV44" s="22"/>
      <c r="DW44" s="22">
        <v>800</v>
      </c>
      <c r="DX44" s="22"/>
      <c r="DY44" s="22"/>
      <c r="DZ44" s="22"/>
      <c r="EA44" s="22">
        <v>980</v>
      </c>
      <c r="EB44" s="22">
        <v>1020</v>
      </c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22"/>
      <c r="EZ44" s="22"/>
      <c r="FA44" s="22"/>
      <c r="FB44" s="22"/>
      <c r="FC44" s="22"/>
      <c r="FD44" s="22"/>
      <c r="FE44" s="22"/>
      <c r="FF44" s="22"/>
      <c r="FG44" s="22"/>
      <c r="FH44" s="22"/>
      <c r="FI44" s="22"/>
      <c r="FJ44" s="22"/>
      <c r="FK44" s="22"/>
      <c r="FL44" s="22"/>
      <c r="FM44" s="22"/>
      <c r="FN44" s="22"/>
      <c r="FO44" s="22"/>
      <c r="FP44" s="22"/>
      <c r="FQ44" s="22"/>
      <c r="FU44" s="22"/>
      <c r="FV44" s="22"/>
      <c r="GG44" s="22">
        <v>6491</v>
      </c>
    </row>
    <row r="45" spans="1:189" x14ac:dyDescent="0.25">
      <c r="A45" s="9">
        <v>41</v>
      </c>
      <c r="B45" s="9">
        <v>3000000008</v>
      </c>
      <c r="C45" s="12" t="s">
        <v>53</v>
      </c>
      <c r="D45" s="9" t="s">
        <v>12</v>
      </c>
      <c r="E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>
        <v>106</v>
      </c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  <c r="EZ45" s="22"/>
      <c r="FA45" s="22"/>
      <c r="FB45" s="22"/>
      <c r="FC45" s="22"/>
      <c r="FD45" s="22"/>
      <c r="FE45" s="22"/>
      <c r="FF45" s="22"/>
      <c r="FG45" s="22"/>
      <c r="FH45" s="22"/>
      <c r="FI45" s="22"/>
      <c r="FJ45" s="22"/>
      <c r="FK45" s="22"/>
      <c r="FL45" s="22"/>
      <c r="FM45" s="22"/>
      <c r="FN45" s="22"/>
      <c r="FO45" s="22"/>
      <c r="FP45" s="22"/>
      <c r="FQ45" s="22"/>
      <c r="FU45" s="22"/>
      <c r="FV45" s="22"/>
      <c r="GG45" s="22">
        <v>106</v>
      </c>
    </row>
    <row r="46" spans="1:189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>
        <v>680</v>
      </c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U46" s="22"/>
      <c r="FV46" s="22"/>
      <c r="GG46" s="22">
        <v>680</v>
      </c>
    </row>
    <row r="47" spans="1:189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>
        <v>364</v>
      </c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>
        <v>480</v>
      </c>
      <c r="DM47" s="22"/>
      <c r="DN47" s="22"/>
      <c r="DO47" s="22">
        <v>20</v>
      </c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U47" s="22"/>
      <c r="FV47" s="22"/>
      <c r="GG47" s="22">
        <v>864</v>
      </c>
    </row>
    <row r="48" spans="1:189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>
        <v>50</v>
      </c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U48" s="22"/>
      <c r="FV48" s="22"/>
      <c r="GG48" s="22">
        <v>50</v>
      </c>
    </row>
    <row r="49" spans="1:189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>
        <v>5</v>
      </c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>
        <v>4</v>
      </c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U49" s="22"/>
      <c r="FV49" s="22"/>
      <c r="GG49" s="22">
        <v>9</v>
      </c>
    </row>
    <row r="50" spans="1:189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>
        <v>50</v>
      </c>
      <c r="DA50" s="22"/>
      <c r="DB50" s="22"/>
      <c r="DC50" s="22">
        <v>1000</v>
      </c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>
        <v>200</v>
      </c>
      <c r="DT50" s="22"/>
      <c r="DU50" s="22"/>
      <c r="DV50" s="22"/>
      <c r="DW50" s="22"/>
      <c r="DX50" s="22"/>
      <c r="DY50" s="22">
        <v>782</v>
      </c>
      <c r="DZ50" s="22"/>
      <c r="EA50" s="22">
        <v>1000</v>
      </c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U50" s="22"/>
      <c r="FV50" s="22"/>
      <c r="GG50" s="22">
        <v>3032</v>
      </c>
    </row>
    <row r="51" spans="1:189" x14ac:dyDescent="0.25">
      <c r="A51" s="9">
        <v>47</v>
      </c>
      <c r="B51" s="9">
        <v>3000003069</v>
      </c>
      <c r="C51" s="12" t="s">
        <v>59</v>
      </c>
      <c r="D51" s="9" t="s">
        <v>12</v>
      </c>
      <c r="E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>
        <v>128</v>
      </c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  <c r="EZ51" s="22"/>
      <c r="FA51" s="22"/>
      <c r="FB51" s="22"/>
      <c r="FC51" s="22"/>
      <c r="FD51" s="22"/>
      <c r="FE51" s="22"/>
      <c r="FF51" s="22"/>
      <c r="FG51" s="22"/>
      <c r="FH51" s="22"/>
      <c r="FI51" s="22"/>
      <c r="FJ51" s="22"/>
      <c r="FK51" s="22"/>
      <c r="FL51" s="22"/>
      <c r="FM51" s="22"/>
      <c r="FN51" s="22"/>
      <c r="FO51" s="22"/>
      <c r="FP51" s="22"/>
      <c r="FQ51" s="22"/>
      <c r="FU51" s="22"/>
      <c r="FV51" s="22"/>
    </row>
    <row r="52" spans="1:189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>
        <v>37</v>
      </c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22"/>
      <c r="DN52" s="22"/>
      <c r="DO52" s="22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22"/>
      <c r="EC52" s="22"/>
      <c r="ED52" s="22"/>
      <c r="EE52" s="22"/>
      <c r="EF52" s="22"/>
      <c r="EG52" s="22"/>
      <c r="EH52" s="22"/>
      <c r="EI52" s="22"/>
      <c r="EJ52" s="22"/>
      <c r="EK52" s="22"/>
      <c r="EL52" s="22"/>
      <c r="EM52" s="22"/>
      <c r="EN52" s="22"/>
      <c r="EO52" s="22"/>
      <c r="EP52" s="22"/>
      <c r="EQ52" s="22"/>
      <c r="ER52" s="22"/>
      <c r="ES52" s="22"/>
      <c r="ET52" s="22"/>
      <c r="EU52" s="22"/>
      <c r="EV52" s="22"/>
      <c r="EW52" s="22"/>
      <c r="EX52" s="22"/>
      <c r="EY52" s="22"/>
      <c r="EZ52" s="22"/>
      <c r="FA52" s="22"/>
      <c r="FB52" s="22"/>
      <c r="FC52" s="22"/>
      <c r="FD52" s="22"/>
      <c r="FE52" s="22"/>
      <c r="FF52" s="22"/>
      <c r="FG52" s="22"/>
      <c r="FH52" s="22"/>
      <c r="FI52" s="22"/>
      <c r="FJ52" s="22"/>
      <c r="FK52" s="22"/>
      <c r="FL52" s="22"/>
      <c r="FM52" s="22"/>
      <c r="FN52" s="22"/>
      <c r="FO52" s="22"/>
      <c r="FP52" s="22"/>
      <c r="FQ52" s="22"/>
      <c r="FU52" s="22"/>
      <c r="FV52" s="22"/>
      <c r="GG52" s="22">
        <v>37</v>
      </c>
    </row>
    <row r="53" spans="1:189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>
        <v>12</v>
      </c>
      <c r="DC53" s="22">
        <v>250</v>
      </c>
      <c r="DD53" s="22"/>
      <c r="DE53" s="22"/>
      <c r="DF53" s="22"/>
      <c r="DG53" s="22"/>
      <c r="DH53" s="22"/>
      <c r="DI53" s="22"/>
      <c r="DJ53" s="22"/>
      <c r="DK53" s="22"/>
      <c r="DL53" s="22"/>
      <c r="DM53" s="22"/>
      <c r="DN53" s="22"/>
      <c r="DO53" s="22"/>
      <c r="DP53" s="22"/>
      <c r="DQ53" s="22"/>
      <c r="DR53" s="22"/>
      <c r="DS53" s="22">
        <v>50</v>
      </c>
      <c r="DT53" s="22"/>
      <c r="DU53" s="22"/>
      <c r="DV53" s="22"/>
      <c r="DW53" s="22"/>
      <c r="DX53" s="22"/>
      <c r="DY53" s="22">
        <v>53</v>
      </c>
      <c r="DZ53" s="22"/>
      <c r="EA53" s="22"/>
      <c r="EB53" s="22"/>
      <c r="EC53" s="22"/>
      <c r="ED53" s="22"/>
      <c r="EE53" s="22"/>
      <c r="EF53" s="22"/>
      <c r="EG53" s="22"/>
      <c r="EH53" s="22"/>
      <c r="EI53" s="22"/>
      <c r="EJ53" s="22"/>
      <c r="EK53" s="22"/>
      <c r="EL53" s="22"/>
      <c r="EM53" s="22"/>
      <c r="EN53" s="22"/>
      <c r="EO53" s="22"/>
      <c r="EP53" s="22"/>
      <c r="EQ53" s="22"/>
      <c r="ER53" s="22"/>
      <c r="ES53" s="22"/>
      <c r="ET53" s="22"/>
      <c r="EU53" s="22"/>
      <c r="EV53" s="22"/>
      <c r="EW53" s="22"/>
      <c r="EX53" s="22"/>
      <c r="EY53" s="22">
        <v>1</v>
      </c>
      <c r="EZ53" s="22"/>
      <c r="FA53" s="22"/>
      <c r="FB53" s="22"/>
      <c r="FC53" s="22"/>
      <c r="FD53" s="22"/>
      <c r="FE53" s="22"/>
      <c r="FF53" s="22"/>
      <c r="FG53" s="22"/>
      <c r="FH53" s="22"/>
      <c r="FI53" s="22"/>
      <c r="FJ53" s="22"/>
      <c r="FK53" s="22"/>
      <c r="FL53" s="22"/>
      <c r="FM53" s="22"/>
      <c r="FN53" s="22"/>
      <c r="FO53" s="22"/>
      <c r="FP53" s="22"/>
      <c r="FQ53" s="22"/>
      <c r="FU53" s="22"/>
      <c r="FV53" s="22"/>
      <c r="GG53" s="22">
        <v>366</v>
      </c>
    </row>
    <row r="54" spans="1:189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H54" s="22">
        <v>50</v>
      </c>
      <c r="I54" s="22">
        <v>50</v>
      </c>
      <c r="K54" s="22">
        <v>150</v>
      </c>
      <c r="M54" s="22">
        <v>504</v>
      </c>
      <c r="S54" s="22">
        <v>100</v>
      </c>
      <c r="X54" s="36">
        <v>100</v>
      </c>
      <c r="Y54" s="36"/>
      <c r="Z54" s="36">
        <v>20</v>
      </c>
      <c r="AA54" s="36">
        <v>50</v>
      </c>
      <c r="AB54" s="36">
        <v>50</v>
      </c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22"/>
      <c r="AX54" s="22"/>
      <c r="AY54" s="22"/>
      <c r="AZ54" s="22"/>
      <c r="BA54" s="22"/>
      <c r="BB54" s="22"/>
      <c r="BC54" s="22"/>
      <c r="BD54" s="22">
        <v>1700</v>
      </c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>
        <v>3300</v>
      </c>
      <c r="BW54" s="22"/>
      <c r="BX54" s="22"/>
      <c r="BY54" s="22"/>
      <c r="BZ54" s="22">
        <v>3000</v>
      </c>
      <c r="CA54" s="22"/>
      <c r="CB54" s="22"/>
      <c r="CC54" s="22"/>
      <c r="CD54" s="22"/>
      <c r="CE54" s="22"/>
      <c r="CF54" s="22"/>
      <c r="CG54" s="22"/>
      <c r="CH54" s="22"/>
      <c r="CI54" s="22"/>
      <c r="CJ54" s="22">
        <v>140</v>
      </c>
      <c r="CK54" s="22">
        <v>200</v>
      </c>
      <c r="CL54" s="22"/>
      <c r="CN54" s="22">
        <v>250</v>
      </c>
      <c r="CO54" s="22"/>
      <c r="CP54" s="22"/>
      <c r="CQ54" s="22">
        <v>50</v>
      </c>
      <c r="CR54" s="22"/>
      <c r="CS54" s="22">
        <v>100</v>
      </c>
      <c r="CT54" s="22"/>
      <c r="CU54" s="22"/>
      <c r="CV54" s="22">
        <v>50</v>
      </c>
      <c r="CW54" s="22">
        <v>300</v>
      </c>
      <c r="CX54" s="22"/>
      <c r="CY54" s="22"/>
      <c r="CZ54" s="22"/>
      <c r="DA54" s="22"/>
      <c r="DB54" s="22"/>
      <c r="DC54" s="22"/>
      <c r="DD54" s="22">
        <v>8</v>
      </c>
      <c r="DE54" s="22">
        <v>209</v>
      </c>
      <c r="DF54" s="22"/>
      <c r="DG54" s="22"/>
      <c r="DH54" s="22"/>
      <c r="DI54" s="22"/>
      <c r="DJ54" s="22"/>
      <c r="DK54" s="22"/>
      <c r="DL54" s="22"/>
      <c r="DM54" s="22"/>
      <c r="DN54" s="22"/>
      <c r="DO54" s="22"/>
      <c r="DP54" s="22"/>
      <c r="DQ54" s="22"/>
      <c r="DR54" s="22"/>
      <c r="DS54" s="22"/>
      <c r="DT54" s="22"/>
      <c r="DU54" s="22"/>
      <c r="DV54" s="22"/>
      <c r="DW54" s="22"/>
      <c r="DX54" s="22"/>
      <c r="DY54" s="22"/>
      <c r="DZ54" s="22"/>
      <c r="EA54" s="22"/>
      <c r="EB54" s="22"/>
      <c r="EC54" s="22">
        <v>150</v>
      </c>
      <c r="ED54" s="22"/>
      <c r="EE54" s="22">
        <v>200</v>
      </c>
      <c r="EF54" s="22">
        <v>100</v>
      </c>
      <c r="EG54" s="22"/>
      <c r="EH54" s="22"/>
      <c r="EI54" s="22"/>
      <c r="EJ54" s="22"/>
      <c r="EK54" s="22"/>
      <c r="EL54" s="22"/>
      <c r="EM54" s="22"/>
      <c r="EN54" s="22"/>
      <c r="EO54" s="22"/>
      <c r="EP54" s="22"/>
      <c r="EQ54" s="22"/>
      <c r="ER54" s="22"/>
      <c r="ES54" s="22"/>
      <c r="ET54" s="22"/>
      <c r="EU54" s="22">
        <v>1200</v>
      </c>
      <c r="EV54" s="22"/>
      <c r="EW54" s="22"/>
      <c r="EX54" s="22"/>
      <c r="EY54" s="22"/>
      <c r="EZ54" s="22"/>
      <c r="FA54" s="22"/>
      <c r="FB54" s="22">
        <v>500</v>
      </c>
      <c r="FC54" s="22"/>
      <c r="FD54" s="22"/>
      <c r="FE54" s="22"/>
      <c r="FF54" s="22"/>
      <c r="FG54" s="22"/>
      <c r="FH54" s="22"/>
      <c r="FI54" s="22">
        <v>1200</v>
      </c>
      <c r="FJ54" s="22"/>
      <c r="FK54" s="22"/>
      <c r="FL54" s="22">
        <v>3000</v>
      </c>
      <c r="FM54" s="22"/>
      <c r="FN54" s="22"/>
      <c r="FO54" s="22"/>
      <c r="FP54" s="22"/>
      <c r="FQ54" s="22">
        <v>1800</v>
      </c>
      <c r="FU54" s="22"/>
      <c r="FV54" s="22"/>
      <c r="FW54" s="22">
        <v>1500</v>
      </c>
      <c r="GG54" s="22">
        <v>20031</v>
      </c>
    </row>
    <row r="55" spans="1:189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O55" s="22"/>
      <c r="CP55" s="22"/>
      <c r="CQ55" s="22"/>
      <c r="CR55" s="22"/>
      <c r="CS55" s="22">
        <v>6</v>
      </c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22"/>
      <c r="DN55" s="22"/>
      <c r="DO55" s="22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22"/>
      <c r="EC55" s="22"/>
      <c r="ED55" s="22"/>
      <c r="EE55" s="22"/>
      <c r="EF55" s="22"/>
      <c r="EG55" s="22"/>
      <c r="EH55" s="22"/>
      <c r="EI55" s="22"/>
      <c r="EJ55" s="22"/>
      <c r="EK55" s="22"/>
      <c r="EL55" s="22"/>
      <c r="EM55" s="22"/>
      <c r="EN55" s="22"/>
      <c r="EO55" s="22"/>
      <c r="EP55" s="22"/>
      <c r="EQ55" s="22"/>
      <c r="ER55" s="22"/>
      <c r="ES55" s="22"/>
      <c r="ET55" s="22"/>
      <c r="EU55" s="22"/>
      <c r="EV55" s="22"/>
      <c r="EW55" s="22"/>
      <c r="EX55" s="22"/>
      <c r="EY55" s="22"/>
      <c r="EZ55" s="22"/>
      <c r="FA55" s="22"/>
      <c r="FB55" s="22"/>
      <c r="FC55" s="22"/>
      <c r="FD55" s="22"/>
      <c r="FE55" s="22"/>
      <c r="FF55" s="22"/>
      <c r="FG55" s="22"/>
      <c r="FH55" s="22"/>
      <c r="FI55" s="22"/>
      <c r="FJ55" s="22"/>
      <c r="FK55" s="22"/>
      <c r="FL55" s="22"/>
      <c r="FM55" s="22"/>
      <c r="FN55" s="22"/>
      <c r="FO55" s="22"/>
      <c r="FP55" s="22"/>
      <c r="FQ55" s="22"/>
      <c r="FU55" s="22"/>
      <c r="FV55" s="22"/>
      <c r="GG55" s="22">
        <v>6</v>
      </c>
    </row>
    <row r="56" spans="1:189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O56" s="22"/>
      <c r="CP56" s="22"/>
      <c r="CQ56" s="22"/>
      <c r="CR56" s="22"/>
      <c r="CS56" s="22">
        <v>168</v>
      </c>
      <c r="CT56" s="22"/>
      <c r="CU56" s="22"/>
      <c r="CV56" s="22"/>
      <c r="CW56" s="22"/>
      <c r="CX56" s="22"/>
      <c r="CY56" s="22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22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22"/>
      <c r="EH56" s="22"/>
      <c r="EI56" s="22"/>
      <c r="EJ56" s="22"/>
      <c r="EK56" s="22"/>
      <c r="EL56" s="22"/>
      <c r="EM56" s="22"/>
      <c r="EN56" s="22"/>
      <c r="EO56" s="22"/>
      <c r="EP56" s="22"/>
      <c r="EQ56" s="22"/>
      <c r="ER56" s="22"/>
      <c r="ES56" s="22"/>
      <c r="ET56" s="22"/>
      <c r="EU56" s="22"/>
      <c r="EV56" s="22"/>
      <c r="EW56" s="22"/>
      <c r="EX56" s="22"/>
      <c r="EY56" s="22"/>
      <c r="EZ56" s="22"/>
      <c r="FA56" s="22"/>
      <c r="FB56" s="22"/>
      <c r="FC56" s="22"/>
      <c r="FD56" s="22"/>
      <c r="FE56" s="22"/>
      <c r="FF56" s="22"/>
      <c r="FG56" s="22"/>
      <c r="FH56" s="22"/>
      <c r="FI56" s="22"/>
      <c r="FJ56" s="22"/>
      <c r="FK56" s="22"/>
      <c r="FL56" s="22"/>
      <c r="FM56" s="22"/>
      <c r="FN56" s="22"/>
      <c r="FO56" s="22"/>
      <c r="FP56" s="22"/>
      <c r="FQ56" s="22"/>
      <c r="FU56" s="22"/>
      <c r="FV56" s="22"/>
      <c r="GG56" s="22">
        <v>168</v>
      </c>
    </row>
    <row r="57" spans="1:189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O57" s="22"/>
      <c r="CP57" s="22"/>
      <c r="CQ57" s="22"/>
      <c r="CR57" s="22"/>
      <c r="CS57" s="22">
        <v>67</v>
      </c>
      <c r="CT57" s="22"/>
      <c r="CU57" s="22"/>
      <c r="CV57" s="22"/>
      <c r="CW57" s="22"/>
      <c r="CX57" s="22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  <c r="DJ57" s="22"/>
      <c r="DK57" s="22"/>
      <c r="DL57" s="22"/>
      <c r="DM57" s="22"/>
      <c r="DN57" s="22"/>
      <c r="DO57" s="22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22"/>
      <c r="EC57" s="22"/>
      <c r="ED57" s="22"/>
      <c r="EE57" s="22"/>
      <c r="EF57" s="22"/>
      <c r="EG57" s="22"/>
      <c r="EH57" s="22"/>
      <c r="EI57" s="22"/>
      <c r="EJ57" s="22"/>
      <c r="EK57" s="22"/>
      <c r="EL57" s="22"/>
      <c r="EM57" s="22"/>
      <c r="EN57" s="22"/>
      <c r="EO57" s="22"/>
      <c r="EP57" s="22"/>
      <c r="EQ57" s="22"/>
      <c r="ER57" s="22"/>
      <c r="ES57" s="22"/>
      <c r="ET57" s="22"/>
      <c r="EU57" s="22"/>
      <c r="EV57" s="22"/>
      <c r="EW57" s="22"/>
      <c r="EX57" s="22"/>
      <c r="EY57" s="22"/>
      <c r="EZ57" s="22"/>
      <c r="FA57" s="22"/>
      <c r="FB57" s="22"/>
      <c r="FC57" s="22"/>
      <c r="FD57" s="22"/>
      <c r="FE57" s="22"/>
      <c r="FF57" s="22"/>
      <c r="FG57" s="22"/>
      <c r="FH57" s="22"/>
      <c r="FI57" s="22"/>
      <c r="FJ57" s="22"/>
      <c r="FK57" s="22"/>
      <c r="FL57" s="22"/>
      <c r="FM57" s="22"/>
      <c r="FN57" s="22"/>
      <c r="FO57" s="22"/>
      <c r="FP57" s="22"/>
      <c r="FQ57" s="22"/>
      <c r="FU57" s="22"/>
      <c r="FV57" s="22"/>
      <c r="GG57" s="22">
        <v>67</v>
      </c>
    </row>
    <row r="58" spans="1:189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O58" s="22"/>
      <c r="CP58" s="22"/>
      <c r="CQ58" s="22"/>
      <c r="CR58" s="22"/>
      <c r="CS58" s="22">
        <v>350</v>
      </c>
      <c r="CT58" s="22"/>
      <c r="CU58" s="22"/>
      <c r="CV58" s="22"/>
      <c r="CW58" s="22"/>
      <c r="CX58" s="22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  <c r="DJ58" s="22"/>
      <c r="DK58" s="22"/>
      <c r="DL58" s="22"/>
      <c r="DM58" s="22"/>
      <c r="DN58" s="22"/>
      <c r="DO58" s="22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22"/>
      <c r="EC58" s="22"/>
      <c r="ED58" s="22"/>
      <c r="EE58" s="22"/>
      <c r="EF58" s="22"/>
      <c r="EG58" s="22"/>
      <c r="EH58" s="22"/>
      <c r="EI58" s="22"/>
      <c r="EJ58" s="22"/>
      <c r="EK58" s="22"/>
      <c r="EL58" s="22"/>
      <c r="EM58" s="22"/>
      <c r="EN58" s="22"/>
      <c r="EO58" s="22"/>
      <c r="EP58" s="22"/>
      <c r="EQ58" s="22"/>
      <c r="ER58" s="22"/>
      <c r="ES58" s="22"/>
      <c r="ET58" s="22"/>
      <c r="EU58" s="22"/>
      <c r="EV58" s="22"/>
      <c r="EW58" s="22"/>
      <c r="EX58" s="22"/>
      <c r="EY58" s="22"/>
      <c r="EZ58" s="22"/>
      <c r="FA58" s="22"/>
      <c r="FB58" s="22"/>
      <c r="FC58" s="22"/>
      <c r="FD58" s="22"/>
      <c r="FE58" s="22"/>
      <c r="FF58" s="22"/>
      <c r="FG58" s="22"/>
      <c r="FH58" s="22"/>
      <c r="FI58" s="22"/>
      <c r="FJ58" s="22"/>
      <c r="FK58" s="22"/>
      <c r="FL58" s="22"/>
      <c r="FM58" s="22"/>
      <c r="FN58" s="22"/>
      <c r="FO58" s="22"/>
      <c r="FP58" s="22"/>
      <c r="FQ58" s="22"/>
      <c r="FU58" s="22"/>
      <c r="FV58" s="22"/>
      <c r="GG58" s="22">
        <v>350</v>
      </c>
    </row>
    <row r="59" spans="1:189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O59" s="22"/>
      <c r="CP59" s="22"/>
      <c r="CQ59" s="22"/>
      <c r="CR59" s="22"/>
      <c r="CS59" s="22">
        <v>84</v>
      </c>
      <c r="CT59" s="22"/>
      <c r="CU59" s="22"/>
      <c r="CV59" s="22"/>
      <c r="CW59" s="22"/>
      <c r="CX59" s="22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  <c r="DJ59" s="22"/>
      <c r="DK59" s="22"/>
      <c r="DL59" s="22"/>
      <c r="DM59" s="22"/>
      <c r="DN59" s="22"/>
      <c r="DO59" s="22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22"/>
      <c r="EC59" s="22"/>
      <c r="ED59" s="22"/>
      <c r="EE59" s="22"/>
      <c r="EF59" s="22"/>
      <c r="EG59" s="22"/>
      <c r="EH59" s="22"/>
      <c r="EI59" s="22"/>
      <c r="EJ59" s="22"/>
      <c r="EK59" s="22"/>
      <c r="EL59" s="22"/>
      <c r="EM59" s="22"/>
      <c r="EN59" s="22"/>
      <c r="EO59" s="22"/>
      <c r="EP59" s="22"/>
      <c r="EQ59" s="22"/>
      <c r="ER59" s="22"/>
      <c r="ES59" s="22"/>
      <c r="ET59" s="22"/>
      <c r="EU59" s="22"/>
      <c r="EV59" s="22"/>
      <c r="EW59" s="22"/>
      <c r="EX59" s="22"/>
      <c r="EY59" s="22"/>
      <c r="EZ59" s="22"/>
      <c r="FA59" s="22"/>
      <c r="FB59" s="22"/>
      <c r="FC59" s="22"/>
      <c r="FD59" s="22"/>
      <c r="FE59" s="22"/>
      <c r="FF59" s="22"/>
      <c r="FG59" s="22"/>
      <c r="FH59" s="22"/>
      <c r="FI59" s="22"/>
      <c r="FJ59" s="22"/>
      <c r="FK59" s="22"/>
      <c r="FL59" s="22"/>
      <c r="FM59" s="22"/>
      <c r="FN59" s="22"/>
      <c r="FO59" s="22"/>
      <c r="FP59" s="22"/>
      <c r="FQ59" s="22"/>
      <c r="FU59" s="22"/>
      <c r="FV59" s="22"/>
      <c r="GG59" s="22">
        <v>84</v>
      </c>
    </row>
    <row r="60" spans="1:189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O60" s="22"/>
      <c r="CP60" s="22"/>
      <c r="CQ60" s="22"/>
      <c r="CR60" s="22"/>
      <c r="CS60" s="22">
        <v>63</v>
      </c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22"/>
      <c r="EC60" s="22"/>
      <c r="ED60" s="22"/>
      <c r="EE60" s="22"/>
      <c r="EF60" s="22"/>
      <c r="EG60" s="22"/>
      <c r="EH60" s="22"/>
      <c r="EI60" s="22"/>
      <c r="EJ60" s="22"/>
      <c r="EK60" s="22"/>
      <c r="EL60" s="22"/>
      <c r="EM60" s="22"/>
      <c r="EN60" s="22"/>
      <c r="EO60" s="22"/>
      <c r="EP60" s="22"/>
      <c r="EQ60" s="22"/>
      <c r="ER60" s="22"/>
      <c r="ES60" s="22"/>
      <c r="ET60" s="22"/>
      <c r="EU60" s="22"/>
      <c r="EV60" s="22"/>
      <c r="EW60" s="22"/>
      <c r="EX60" s="22"/>
      <c r="EY60" s="22"/>
      <c r="EZ60" s="22"/>
      <c r="FA60" s="22"/>
      <c r="FB60" s="22"/>
      <c r="FC60" s="22"/>
      <c r="FD60" s="22"/>
      <c r="FE60" s="22"/>
      <c r="FF60" s="22"/>
      <c r="FG60" s="22"/>
      <c r="FH60" s="22"/>
      <c r="FI60" s="22"/>
      <c r="FJ60" s="22"/>
      <c r="FK60" s="22"/>
      <c r="FL60" s="22"/>
      <c r="FM60" s="22"/>
      <c r="FN60" s="22"/>
      <c r="FO60" s="22"/>
      <c r="FP60" s="22"/>
      <c r="FQ60" s="22"/>
      <c r="FU60" s="22"/>
      <c r="FV60" s="22"/>
      <c r="GG60" s="22">
        <v>63</v>
      </c>
    </row>
    <row r="61" spans="1:189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O61" s="22"/>
      <c r="CP61" s="22"/>
      <c r="CQ61" s="22"/>
      <c r="CR61" s="22"/>
      <c r="CS61" s="22">
        <v>26</v>
      </c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U61" s="22"/>
      <c r="FV61" s="22"/>
      <c r="GG61" s="22">
        <v>26</v>
      </c>
    </row>
    <row r="62" spans="1:189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O62" s="22"/>
      <c r="CP62" s="22"/>
      <c r="CQ62" s="22"/>
      <c r="CR62" s="22"/>
      <c r="CS62" s="22">
        <v>224</v>
      </c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U62" s="22"/>
      <c r="FV62" s="22"/>
      <c r="GG62" s="22">
        <v>224</v>
      </c>
    </row>
    <row r="63" spans="1:189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O63" s="22"/>
      <c r="CP63" s="22"/>
      <c r="CQ63" s="22"/>
      <c r="CR63" s="22"/>
      <c r="CS63" s="22">
        <v>20</v>
      </c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U63" s="22"/>
      <c r="FV63" s="22"/>
      <c r="GG63" s="22">
        <v>20</v>
      </c>
    </row>
    <row r="64" spans="1:189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O64" s="22"/>
      <c r="CP64" s="22"/>
      <c r="CQ64" s="22"/>
      <c r="CR64" s="22"/>
      <c r="CS64" s="22">
        <v>20</v>
      </c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U64" s="22"/>
      <c r="FV64" s="22"/>
      <c r="GG64" s="22">
        <v>20</v>
      </c>
    </row>
    <row r="65" spans="1:189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O65" s="22"/>
      <c r="CP65" s="22"/>
      <c r="CQ65" s="22"/>
      <c r="CR65" s="22"/>
      <c r="CS65" s="22">
        <v>42</v>
      </c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U65" s="22"/>
      <c r="FV65" s="22"/>
      <c r="GG65" s="22">
        <v>42</v>
      </c>
    </row>
    <row r="66" spans="1:189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O66" s="22"/>
      <c r="CP66" s="22"/>
      <c r="CQ66" s="22"/>
      <c r="CR66" s="22"/>
      <c r="CS66" s="22">
        <v>2</v>
      </c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U66" s="22"/>
      <c r="FV66" s="22"/>
      <c r="GG66" s="22">
        <v>2</v>
      </c>
    </row>
    <row r="67" spans="1:189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G67" s="22">
        <v>50</v>
      </c>
      <c r="J67" s="22">
        <v>100</v>
      </c>
      <c r="R67" s="22">
        <v>100</v>
      </c>
      <c r="S67" s="22">
        <v>100</v>
      </c>
      <c r="X67" s="36">
        <v>50</v>
      </c>
      <c r="Y67" s="36"/>
      <c r="Z67" s="36"/>
      <c r="AA67" s="36"/>
      <c r="AB67" s="36"/>
      <c r="AC67" s="36"/>
      <c r="AD67" s="36"/>
      <c r="AE67" s="36">
        <v>28</v>
      </c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22"/>
      <c r="AX67" s="22"/>
      <c r="AY67" s="22"/>
      <c r="AZ67" s="22"/>
      <c r="BA67" s="22"/>
      <c r="BB67" s="22"/>
      <c r="BC67" s="22">
        <v>400</v>
      </c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>
        <v>150</v>
      </c>
      <c r="BZ67" s="22"/>
      <c r="CA67" s="22">
        <v>150</v>
      </c>
      <c r="CB67" s="22"/>
      <c r="CC67" s="22">
        <v>200</v>
      </c>
      <c r="CD67" s="22"/>
      <c r="CE67" s="22"/>
      <c r="CF67" s="22"/>
      <c r="CG67" s="22"/>
      <c r="CH67" s="22">
        <v>175</v>
      </c>
      <c r="CI67" s="22"/>
      <c r="CJ67" s="22"/>
      <c r="CK67" s="22">
        <v>100</v>
      </c>
      <c r="CL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>
        <v>100</v>
      </c>
      <c r="DF67" s="22"/>
      <c r="DG67" s="22">
        <v>29</v>
      </c>
      <c r="DH67" s="22"/>
      <c r="DI67" s="22"/>
      <c r="DJ67" s="22">
        <v>69</v>
      </c>
      <c r="DK67" s="22"/>
      <c r="DL67" s="22"/>
      <c r="DM67" s="22"/>
      <c r="DN67" s="22">
        <v>55</v>
      </c>
      <c r="DO67" s="22"/>
      <c r="DP67" s="22"/>
      <c r="DQ67" s="22"/>
      <c r="DR67" s="22"/>
      <c r="DS67" s="22">
        <v>148</v>
      </c>
      <c r="DT67" s="22"/>
      <c r="DU67" s="22"/>
      <c r="DV67" s="22"/>
      <c r="DW67" s="22"/>
      <c r="DX67" s="22"/>
      <c r="DY67" s="22"/>
      <c r="DZ67" s="22"/>
      <c r="EA67" s="22"/>
      <c r="EB67" s="22"/>
      <c r="EC67" s="22">
        <v>200</v>
      </c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>
        <v>200</v>
      </c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>
        <v>100</v>
      </c>
      <c r="FJ67" s="22"/>
      <c r="FK67" s="22"/>
      <c r="FL67" s="22"/>
      <c r="FM67" s="22"/>
      <c r="FN67" s="22"/>
      <c r="FO67" s="22"/>
      <c r="FP67" s="22"/>
      <c r="FQ67" s="22"/>
      <c r="FU67" s="22"/>
      <c r="FV67" s="22"/>
      <c r="GG67" s="22">
        <v>2504</v>
      </c>
    </row>
    <row r="68" spans="1:189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U68" s="22">
        <v>100</v>
      </c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  <c r="CZ68" s="22"/>
      <c r="DA68" s="22"/>
      <c r="DB68" s="22"/>
      <c r="DC68" s="22"/>
      <c r="DD68" s="22"/>
      <c r="DE68" s="22"/>
      <c r="DF68" s="22"/>
      <c r="DG68" s="22"/>
      <c r="DH68" s="22"/>
      <c r="DI68" s="22"/>
      <c r="DJ68" s="22"/>
      <c r="DK68" s="22"/>
      <c r="DL68" s="22"/>
      <c r="DM68" s="22"/>
      <c r="DN68" s="22"/>
      <c r="DO68" s="22"/>
      <c r="DP68" s="22"/>
      <c r="DQ68" s="22"/>
      <c r="DR68" s="22"/>
      <c r="DS68" s="22">
        <v>90</v>
      </c>
      <c r="DT68" s="22"/>
      <c r="DU68" s="22">
        <v>100</v>
      </c>
      <c r="DV68" s="22"/>
      <c r="DW68" s="22"/>
      <c r="DX68" s="22"/>
      <c r="DY68" s="22"/>
      <c r="DZ68" s="22"/>
      <c r="EA68" s="22"/>
      <c r="EB68" s="22"/>
      <c r="EC68" s="22"/>
      <c r="ED68" s="22"/>
      <c r="EE68" s="22"/>
      <c r="EF68" s="22"/>
      <c r="EG68" s="22"/>
      <c r="EH68" s="22"/>
      <c r="EI68" s="22"/>
      <c r="EJ68" s="22"/>
      <c r="EK68" s="22"/>
      <c r="EL68" s="22"/>
      <c r="EM68" s="22"/>
      <c r="EN68" s="22"/>
      <c r="EO68" s="22"/>
      <c r="EP68" s="22"/>
      <c r="EQ68" s="22"/>
      <c r="ER68" s="22"/>
      <c r="ES68" s="22"/>
      <c r="ET68" s="22"/>
      <c r="EU68" s="22"/>
      <c r="EV68" s="22"/>
      <c r="EW68" s="22"/>
      <c r="EX68" s="22"/>
      <c r="EY68" s="22"/>
      <c r="EZ68" s="22"/>
      <c r="FA68" s="22"/>
      <c r="FB68" s="22"/>
      <c r="FC68" s="22"/>
      <c r="FD68" s="22"/>
      <c r="FE68" s="22"/>
      <c r="FF68" s="22"/>
      <c r="FG68" s="22"/>
      <c r="FH68" s="22"/>
      <c r="FI68" s="22"/>
      <c r="FJ68" s="22"/>
      <c r="FK68" s="22"/>
      <c r="FL68" s="22">
        <v>200</v>
      </c>
      <c r="FM68" s="22"/>
      <c r="FN68" s="22"/>
      <c r="FO68" s="22"/>
      <c r="FP68" s="22"/>
      <c r="FQ68" s="22"/>
      <c r="FT68" s="22">
        <v>1</v>
      </c>
      <c r="FU68" s="22"/>
      <c r="FV68" s="22"/>
      <c r="GG68" s="22">
        <v>491</v>
      </c>
    </row>
    <row r="69" spans="1:189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G69" s="22">
        <v>69</v>
      </c>
      <c r="J69" s="22">
        <v>100</v>
      </c>
      <c r="K69" s="22">
        <v>100</v>
      </c>
      <c r="M69" s="22">
        <v>21</v>
      </c>
      <c r="O69" s="22">
        <v>19</v>
      </c>
      <c r="P69" s="22">
        <v>19</v>
      </c>
      <c r="R69" s="22">
        <v>119</v>
      </c>
      <c r="S69" s="22">
        <v>119</v>
      </c>
      <c r="W69" s="22">
        <v>100</v>
      </c>
      <c r="X69" s="36"/>
      <c r="Y69" s="36"/>
      <c r="Z69" s="36"/>
      <c r="AA69" s="36"/>
      <c r="AB69" s="36"/>
      <c r="AC69" s="36"/>
      <c r="AD69" s="36"/>
      <c r="AE69" s="36">
        <v>25</v>
      </c>
      <c r="AF69" s="36"/>
      <c r="AG69" s="36">
        <v>7</v>
      </c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22"/>
      <c r="AX69" s="22"/>
      <c r="AY69" s="22"/>
      <c r="AZ69" s="22"/>
      <c r="BA69" s="22">
        <v>300</v>
      </c>
      <c r="BB69" s="22"/>
      <c r="BC69" s="22"/>
      <c r="BD69" s="22"/>
      <c r="BE69" s="22"/>
      <c r="BF69" s="22"/>
      <c r="BG69" s="22"/>
      <c r="BH69" s="22"/>
      <c r="BI69" s="22">
        <v>252</v>
      </c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  <c r="BV69" s="22"/>
      <c r="BW69" s="22"/>
      <c r="BX69" s="22"/>
      <c r="BY69" s="22">
        <v>300</v>
      </c>
      <c r="BZ69" s="22">
        <v>50</v>
      </c>
      <c r="CA69" s="22">
        <v>150</v>
      </c>
      <c r="CB69" s="22"/>
      <c r="CC69" s="22"/>
      <c r="CD69" s="22"/>
      <c r="CE69" s="22"/>
      <c r="CF69" s="22"/>
      <c r="CG69" s="22"/>
      <c r="CH69" s="22">
        <v>238</v>
      </c>
      <c r="CI69" s="22">
        <v>19</v>
      </c>
      <c r="CJ69" s="22"/>
      <c r="CK69" s="22">
        <v>100</v>
      </c>
      <c r="CL69" s="22"/>
      <c r="CM69" s="22">
        <v>13</v>
      </c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  <c r="CZ69" s="22"/>
      <c r="DA69" s="22"/>
      <c r="DB69" s="22"/>
      <c r="DC69" s="22"/>
      <c r="DD69" s="22"/>
      <c r="DE69" s="22"/>
      <c r="DF69" s="22">
        <v>100</v>
      </c>
      <c r="DG69" s="22">
        <v>39</v>
      </c>
      <c r="DH69" s="22"/>
      <c r="DI69" s="22"/>
      <c r="DJ69" s="22"/>
      <c r="DK69" s="22"/>
      <c r="DL69" s="22"/>
      <c r="DM69" s="22"/>
      <c r="DN69" s="22">
        <v>82</v>
      </c>
      <c r="DO69" s="22"/>
      <c r="DP69" s="22"/>
      <c r="DQ69" s="22"/>
      <c r="DR69" s="22"/>
      <c r="DS69" s="22">
        <v>163</v>
      </c>
      <c r="DT69" s="22"/>
      <c r="DU69" s="22"/>
      <c r="DV69" s="22"/>
      <c r="DW69" s="22"/>
      <c r="DX69" s="22"/>
      <c r="DY69" s="22"/>
      <c r="DZ69" s="22"/>
      <c r="EA69" s="22"/>
      <c r="EB69" s="22"/>
      <c r="EC69" s="22">
        <v>200</v>
      </c>
      <c r="ED69" s="22"/>
      <c r="EE69" s="22"/>
      <c r="EF69" s="22"/>
      <c r="EG69" s="22"/>
      <c r="EH69" s="22"/>
      <c r="EI69" s="22"/>
      <c r="EJ69" s="22"/>
      <c r="EK69" s="22"/>
      <c r="EL69" s="22"/>
      <c r="EM69" s="22"/>
      <c r="EN69" s="22"/>
      <c r="EO69" s="22"/>
      <c r="EP69" s="22"/>
      <c r="EQ69" s="22"/>
      <c r="ER69" s="22"/>
      <c r="ES69" s="22">
        <v>20</v>
      </c>
      <c r="ET69" s="22">
        <v>300</v>
      </c>
      <c r="EU69" s="22"/>
      <c r="EV69" s="22">
        <v>300</v>
      </c>
      <c r="EW69" s="22"/>
      <c r="EX69" s="22">
        <v>200</v>
      </c>
      <c r="EY69" s="22"/>
      <c r="EZ69" s="22"/>
      <c r="FA69" s="22">
        <v>100</v>
      </c>
      <c r="FB69" s="22"/>
      <c r="FC69" s="22">
        <v>38</v>
      </c>
      <c r="FD69" s="22"/>
      <c r="FE69" s="22"/>
      <c r="FF69" s="22">
        <v>100</v>
      </c>
      <c r="FG69" s="22"/>
      <c r="FH69" s="22"/>
      <c r="FI69" s="22">
        <v>100</v>
      </c>
      <c r="FJ69" s="22"/>
      <c r="FK69" s="22">
        <v>502</v>
      </c>
      <c r="FL69" s="22"/>
      <c r="FM69" s="22"/>
      <c r="FN69" s="22"/>
      <c r="FO69" s="22">
        <v>19</v>
      </c>
      <c r="FP69" s="22"/>
      <c r="FQ69" s="22">
        <v>25</v>
      </c>
      <c r="FT69" s="22">
        <v>96</v>
      </c>
      <c r="FU69" s="22"/>
      <c r="FV69" s="22"/>
      <c r="FW69" s="22">
        <v>195</v>
      </c>
      <c r="GG69" s="22">
        <v>4699</v>
      </c>
    </row>
    <row r="70" spans="1:189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G70" s="22">
        <v>100</v>
      </c>
      <c r="N70" s="22">
        <v>100</v>
      </c>
      <c r="O70" s="22">
        <v>525</v>
      </c>
      <c r="R70" s="22">
        <v>200</v>
      </c>
      <c r="S70" s="22">
        <v>100</v>
      </c>
      <c r="X70" s="36">
        <v>50</v>
      </c>
      <c r="Y70" s="36"/>
      <c r="Z70" s="36"/>
      <c r="AA70" s="36"/>
      <c r="AB70" s="36"/>
      <c r="AC70" s="36"/>
      <c r="AD70" s="36"/>
      <c r="AE70" s="36">
        <v>50</v>
      </c>
      <c r="AF70" s="36"/>
      <c r="AG70" s="36"/>
      <c r="AH70" s="36"/>
      <c r="AI70" s="36"/>
      <c r="AJ70" s="36"/>
      <c r="AK70" s="36"/>
      <c r="AL70" s="36"/>
      <c r="AM70" s="36"/>
      <c r="AN70" s="36">
        <v>100</v>
      </c>
      <c r="AO70" s="36"/>
      <c r="AP70" s="36"/>
      <c r="AQ70" s="36"/>
      <c r="AR70" s="36"/>
      <c r="AS70" s="36"/>
      <c r="AT70" s="36"/>
      <c r="AU70" s="36"/>
      <c r="AV70" s="36"/>
      <c r="AW70" s="22"/>
      <c r="AX70" s="22"/>
      <c r="AY70" s="22"/>
      <c r="AZ70" s="22"/>
      <c r="BA70" s="22">
        <v>300</v>
      </c>
      <c r="BB70" s="22">
        <v>100</v>
      </c>
      <c r="BC70" s="22"/>
      <c r="BD70" s="22"/>
      <c r="BE70" s="22"/>
      <c r="BF70" s="22"/>
      <c r="BG70" s="22"/>
      <c r="BH70" s="22"/>
      <c r="BI70" s="22">
        <v>142</v>
      </c>
      <c r="BJ70" s="22"/>
      <c r="BK70" s="22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>
        <v>175</v>
      </c>
      <c r="CI70" s="22"/>
      <c r="CJ70" s="22"/>
      <c r="CK70" s="22">
        <v>100</v>
      </c>
      <c r="CL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2"/>
      <c r="CZ70" s="22"/>
      <c r="DA70" s="22"/>
      <c r="DB70" s="22"/>
      <c r="DC70" s="22"/>
      <c r="DD70" s="22"/>
      <c r="DE70" s="22">
        <v>100</v>
      </c>
      <c r="DF70" s="22"/>
      <c r="DG70" s="22">
        <v>90</v>
      </c>
      <c r="DH70" s="22"/>
      <c r="DI70" s="22"/>
      <c r="DJ70" s="22"/>
      <c r="DK70" s="22"/>
      <c r="DL70" s="22"/>
      <c r="DM70" s="22"/>
      <c r="DN70" s="22"/>
      <c r="DO70" s="22"/>
      <c r="DP70" s="22"/>
      <c r="DQ70" s="22"/>
      <c r="DR70" s="22"/>
      <c r="DS70" s="22">
        <v>200</v>
      </c>
      <c r="DT70" s="22"/>
      <c r="DU70" s="22"/>
      <c r="DV70" s="22"/>
      <c r="DW70" s="22"/>
      <c r="DX70" s="22">
        <v>200</v>
      </c>
      <c r="DY70" s="22"/>
      <c r="DZ70" s="22"/>
      <c r="EA70" s="22"/>
      <c r="EB70" s="22"/>
      <c r="EC70" s="22">
        <v>200</v>
      </c>
      <c r="ED70" s="22">
        <v>100</v>
      </c>
      <c r="EE70" s="22"/>
      <c r="EF70" s="22"/>
      <c r="EG70" s="22"/>
      <c r="EH70" s="22"/>
      <c r="EI70" s="22"/>
      <c r="EJ70" s="22"/>
      <c r="EK70" s="22"/>
      <c r="EL70" s="22"/>
      <c r="EM70" s="22"/>
      <c r="EN70" s="22"/>
      <c r="EO70" s="22"/>
      <c r="EP70" s="22"/>
      <c r="EQ70" s="22"/>
      <c r="ER70" s="22">
        <v>70</v>
      </c>
      <c r="ES70" s="22"/>
      <c r="ET70" s="22"/>
      <c r="EU70" s="22"/>
      <c r="EV70" s="22"/>
      <c r="EW70" s="22"/>
      <c r="EX70" s="22"/>
      <c r="EY70" s="22"/>
      <c r="EZ70" s="22">
        <v>100</v>
      </c>
      <c r="FA70" s="22"/>
      <c r="FB70" s="22">
        <v>200</v>
      </c>
      <c r="FC70" s="22">
        <v>100</v>
      </c>
      <c r="FD70" s="22"/>
      <c r="FE70" s="22"/>
      <c r="FF70" s="22"/>
      <c r="FG70" s="22"/>
      <c r="FH70" s="22"/>
      <c r="FI70" s="22"/>
      <c r="FJ70" s="22">
        <v>600</v>
      </c>
      <c r="FK70" s="22"/>
      <c r="FL70" s="22"/>
      <c r="FM70" s="22"/>
      <c r="FN70" s="22"/>
      <c r="FO70" s="22"/>
      <c r="FP70" s="22"/>
      <c r="FQ70" s="22">
        <v>14</v>
      </c>
      <c r="FU70" s="22"/>
      <c r="FV70" s="22"/>
      <c r="FW70" s="22">
        <v>8</v>
      </c>
      <c r="GG70" s="22">
        <v>4024</v>
      </c>
    </row>
    <row r="71" spans="1:189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G71" s="22">
        <v>25</v>
      </c>
      <c r="N71" s="22">
        <v>200</v>
      </c>
      <c r="W71" s="22">
        <v>200</v>
      </c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22"/>
      <c r="AX71" s="22"/>
      <c r="AY71" s="22"/>
      <c r="AZ71" s="22"/>
      <c r="BA71" s="22"/>
      <c r="BB71" s="22">
        <v>300</v>
      </c>
      <c r="BC71" s="22"/>
      <c r="BD71" s="22"/>
      <c r="BE71" s="22"/>
      <c r="BF71" s="22"/>
      <c r="BG71" s="22"/>
      <c r="BH71" s="22"/>
      <c r="BI71" s="22">
        <v>85</v>
      </c>
      <c r="BJ71" s="22"/>
      <c r="BK71" s="22"/>
      <c r="BL71" s="22"/>
      <c r="BM71" s="22"/>
      <c r="BN71" s="22"/>
      <c r="BO71" s="22"/>
      <c r="BP71" s="22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>
        <v>175</v>
      </c>
      <c r="CI71" s="22">
        <v>200</v>
      </c>
      <c r="CJ71" s="22"/>
      <c r="CK71" s="22">
        <v>100</v>
      </c>
      <c r="CL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  <c r="CZ71" s="22"/>
      <c r="DA71" s="22"/>
      <c r="DB71" s="22"/>
      <c r="DC71" s="22"/>
      <c r="DD71" s="22"/>
      <c r="DE71" s="22">
        <v>100</v>
      </c>
      <c r="DF71" s="22"/>
      <c r="DG71" s="22"/>
      <c r="DH71" s="22"/>
      <c r="DI71" s="22"/>
      <c r="DJ71" s="22">
        <v>200</v>
      </c>
      <c r="DK71" s="22"/>
      <c r="DL71" s="22"/>
      <c r="DM71" s="22"/>
      <c r="DN71" s="22"/>
      <c r="DO71" s="22"/>
      <c r="DP71" s="22"/>
      <c r="DQ71" s="22"/>
      <c r="DR71" s="22"/>
      <c r="DS71" s="22">
        <v>200</v>
      </c>
      <c r="DT71" s="22"/>
      <c r="DU71" s="22"/>
      <c r="DV71" s="22"/>
      <c r="DW71" s="22">
        <v>100</v>
      </c>
      <c r="DX71" s="22"/>
      <c r="DY71" s="22">
        <v>100</v>
      </c>
      <c r="DZ71" s="22"/>
      <c r="EA71" s="22"/>
      <c r="EB71" s="22"/>
      <c r="EC71" s="22"/>
      <c r="ED71" s="22"/>
      <c r="EE71" s="22"/>
      <c r="EF71" s="22"/>
      <c r="EG71" s="22"/>
      <c r="EH71" s="22"/>
      <c r="EI71" s="22"/>
      <c r="EJ71" s="22"/>
      <c r="EK71" s="22"/>
      <c r="EL71" s="22"/>
      <c r="EM71" s="22"/>
      <c r="EN71" s="22"/>
      <c r="EO71" s="22"/>
      <c r="EP71" s="22">
        <v>200</v>
      </c>
      <c r="EQ71" s="22"/>
      <c r="ER71" s="22"/>
      <c r="ES71" s="22"/>
      <c r="ET71" s="22"/>
      <c r="EU71" s="22"/>
      <c r="EV71" s="22">
        <v>300</v>
      </c>
      <c r="EW71" s="22"/>
      <c r="EX71" s="22"/>
      <c r="EY71" s="22"/>
      <c r="EZ71" s="22">
        <v>100</v>
      </c>
      <c r="FA71" s="22">
        <v>200</v>
      </c>
      <c r="FB71" s="22"/>
      <c r="FC71" s="22">
        <v>100</v>
      </c>
      <c r="FD71" s="22"/>
      <c r="FE71" s="22">
        <v>200</v>
      </c>
      <c r="FF71" s="22"/>
      <c r="FG71" s="22"/>
      <c r="FH71" s="22"/>
      <c r="FI71" s="22">
        <v>100</v>
      </c>
      <c r="FJ71" s="22"/>
      <c r="FK71" s="22"/>
      <c r="FL71" s="22"/>
      <c r="FM71" s="22"/>
      <c r="FN71" s="22"/>
      <c r="FO71" s="22">
        <v>175</v>
      </c>
      <c r="FP71" s="22">
        <v>372</v>
      </c>
      <c r="FQ71" s="22"/>
      <c r="FU71" s="22"/>
      <c r="FV71" s="22"/>
      <c r="GG71" s="22">
        <v>3732</v>
      </c>
    </row>
    <row r="72" spans="1:189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G72" s="22">
        <v>75</v>
      </c>
      <c r="I72" s="22">
        <v>100</v>
      </c>
      <c r="K72" s="22">
        <v>100</v>
      </c>
      <c r="M72" s="22">
        <v>200</v>
      </c>
      <c r="P72" s="22">
        <v>200</v>
      </c>
      <c r="S72" s="22">
        <v>100</v>
      </c>
      <c r="X72" s="36">
        <v>100</v>
      </c>
      <c r="Y72" s="36"/>
      <c r="Z72" s="36"/>
      <c r="AA72" s="36"/>
      <c r="AB72" s="36"/>
      <c r="AC72" s="36"/>
      <c r="AD72" s="36"/>
      <c r="AE72" s="36">
        <v>150</v>
      </c>
      <c r="AF72" s="36"/>
      <c r="AG72" s="36"/>
      <c r="AH72" s="36"/>
      <c r="AI72" s="36"/>
      <c r="AJ72" s="36"/>
      <c r="AK72" s="36">
        <v>100</v>
      </c>
      <c r="AL72" s="36">
        <v>125</v>
      </c>
      <c r="AM72" s="36"/>
      <c r="AN72" s="36">
        <v>100</v>
      </c>
      <c r="AO72" s="36"/>
      <c r="AP72" s="36"/>
      <c r="AQ72" s="36"/>
      <c r="AR72" s="36"/>
      <c r="AS72" s="36"/>
      <c r="AT72" s="36"/>
      <c r="AU72" s="36"/>
      <c r="AV72" s="36"/>
      <c r="AW72" s="22">
        <v>1200</v>
      </c>
      <c r="AX72" s="22">
        <v>1200</v>
      </c>
      <c r="AY72" s="22">
        <v>1200</v>
      </c>
      <c r="AZ72" s="22">
        <v>1200</v>
      </c>
      <c r="BA72" s="22">
        <v>300</v>
      </c>
      <c r="BB72" s="22">
        <v>300</v>
      </c>
      <c r="BC72" s="22">
        <v>300</v>
      </c>
      <c r="BD72" s="22">
        <v>300</v>
      </c>
      <c r="BE72" s="22">
        <v>2400</v>
      </c>
      <c r="BF72" s="22">
        <v>2400</v>
      </c>
      <c r="BG72" s="22">
        <v>2400</v>
      </c>
      <c r="BH72" s="22">
        <v>2400</v>
      </c>
      <c r="BI72" s="22">
        <v>200</v>
      </c>
      <c r="BJ72" s="22">
        <v>2400</v>
      </c>
      <c r="BK72" s="22">
        <v>2400</v>
      </c>
      <c r="BL72" s="22">
        <v>2400</v>
      </c>
      <c r="BM72" s="22">
        <v>2400</v>
      </c>
      <c r="BN72" s="22">
        <v>1800</v>
      </c>
      <c r="BO72" s="22">
        <v>2400</v>
      </c>
      <c r="BP72" s="22">
        <v>2400</v>
      </c>
      <c r="BQ72" s="22">
        <v>2400</v>
      </c>
      <c r="BR72" s="22">
        <v>2400</v>
      </c>
      <c r="BS72" s="22"/>
      <c r="BT72" s="22">
        <v>2400</v>
      </c>
      <c r="BU72" s="22">
        <v>1446</v>
      </c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>
        <v>175</v>
      </c>
      <c r="CI72" s="22">
        <v>300</v>
      </c>
      <c r="CJ72" s="22"/>
      <c r="CK72" s="22">
        <v>100</v>
      </c>
      <c r="CL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  <c r="CZ72" s="22"/>
      <c r="DA72" s="22"/>
      <c r="DB72" s="22"/>
      <c r="DC72" s="22"/>
      <c r="DD72" s="22"/>
      <c r="DE72" s="22">
        <v>100</v>
      </c>
      <c r="DF72" s="22">
        <v>100</v>
      </c>
      <c r="DG72" s="22">
        <v>400</v>
      </c>
      <c r="DH72" s="22">
        <v>100</v>
      </c>
      <c r="DI72" s="22">
        <v>400</v>
      </c>
      <c r="DJ72" s="22">
        <v>200</v>
      </c>
      <c r="DK72" s="22"/>
      <c r="DL72" s="22"/>
      <c r="DM72" s="22"/>
      <c r="DN72" s="22">
        <v>100</v>
      </c>
      <c r="DO72" s="22"/>
      <c r="DP72" s="22"/>
      <c r="DQ72" s="22">
        <v>600</v>
      </c>
      <c r="DR72" s="22"/>
      <c r="DS72" s="22">
        <v>100</v>
      </c>
      <c r="DT72" s="22">
        <v>400</v>
      </c>
      <c r="DU72" s="22"/>
      <c r="DV72" s="22"/>
      <c r="DW72" s="22">
        <v>300</v>
      </c>
      <c r="DX72" s="22">
        <v>200</v>
      </c>
      <c r="DY72" s="22">
        <v>100</v>
      </c>
      <c r="DZ72" s="22"/>
      <c r="EA72" s="22"/>
      <c r="EB72" s="22"/>
      <c r="EC72" s="22"/>
      <c r="ED72" s="22">
        <v>100</v>
      </c>
      <c r="EE72" s="22"/>
      <c r="EF72" s="22"/>
      <c r="EG72" s="22"/>
      <c r="EH72" s="22"/>
      <c r="EI72" s="22"/>
      <c r="EJ72" s="22"/>
      <c r="EK72" s="22"/>
      <c r="EL72" s="22"/>
      <c r="EM72" s="22"/>
      <c r="EN72" s="22"/>
      <c r="EO72" s="22">
        <v>300</v>
      </c>
      <c r="EP72" s="22">
        <v>100</v>
      </c>
      <c r="EQ72" s="22"/>
      <c r="ER72" s="22">
        <v>300</v>
      </c>
      <c r="ES72" s="22"/>
      <c r="ET72" s="22">
        <v>900</v>
      </c>
      <c r="EU72" s="22">
        <v>300</v>
      </c>
      <c r="EV72" s="22"/>
      <c r="EW72" s="22">
        <v>225</v>
      </c>
      <c r="EX72" s="22"/>
      <c r="EY72" s="22"/>
      <c r="EZ72" s="22">
        <v>400</v>
      </c>
      <c r="FA72" s="22">
        <v>300</v>
      </c>
      <c r="FB72" s="22">
        <v>300</v>
      </c>
      <c r="FC72" s="22">
        <v>200</v>
      </c>
      <c r="FD72" s="22"/>
      <c r="FE72" s="22">
        <v>300</v>
      </c>
      <c r="FF72" s="22"/>
      <c r="FG72" s="22">
        <v>600</v>
      </c>
      <c r="FH72" s="22"/>
      <c r="FI72" s="22">
        <v>500</v>
      </c>
      <c r="FJ72" s="22"/>
      <c r="FK72" s="22">
        <v>400</v>
      </c>
      <c r="FL72" s="22">
        <v>300</v>
      </c>
      <c r="FM72" s="22">
        <v>400</v>
      </c>
      <c r="FN72" s="22">
        <v>700</v>
      </c>
      <c r="FO72" s="22">
        <v>1225</v>
      </c>
      <c r="FP72" s="22">
        <v>350</v>
      </c>
      <c r="FQ72" s="22"/>
      <c r="FR72" s="22">
        <v>1400</v>
      </c>
      <c r="FS72" s="22">
        <v>1050</v>
      </c>
      <c r="FU72" s="22"/>
      <c r="FV72" s="22"/>
      <c r="FX72" s="22">
        <v>1400</v>
      </c>
      <c r="GG72" s="22">
        <v>57721</v>
      </c>
    </row>
    <row r="73" spans="1:189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  <c r="CY73" s="22"/>
      <c r="CZ73" s="22"/>
      <c r="DA73" s="22"/>
      <c r="DB73" s="22"/>
      <c r="DC73" s="22"/>
      <c r="DD73" s="22"/>
      <c r="DE73" s="22"/>
      <c r="DF73" s="22"/>
      <c r="DG73" s="22"/>
      <c r="DH73" s="22"/>
      <c r="DI73" s="22"/>
      <c r="DJ73" s="22"/>
      <c r="DK73" s="22"/>
      <c r="DL73" s="22"/>
      <c r="DM73" s="22"/>
      <c r="DN73" s="22"/>
      <c r="DO73" s="22"/>
      <c r="DP73" s="22"/>
      <c r="DQ73" s="22"/>
      <c r="DR73" s="22"/>
      <c r="DS73" s="22"/>
      <c r="DT73" s="22"/>
      <c r="DU73" s="22"/>
      <c r="DV73" s="22"/>
      <c r="DW73" s="22"/>
      <c r="DX73" s="22"/>
      <c r="DY73" s="22"/>
      <c r="DZ73" s="22"/>
      <c r="EA73" s="22"/>
      <c r="EB73" s="22"/>
      <c r="EC73" s="22"/>
      <c r="ED73" s="22"/>
      <c r="EE73" s="22"/>
      <c r="EF73" s="22"/>
      <c r="EG73" s="22"/>
      <c r="EH73" s="22"/>
      <c r="EI73" s="22"/>
      <c r="EJ73" s="22"/>
      <c r="EK73" s="22"/>
      <c r="EL73" s="22"/>
      <c r="EM73" s="22"/>
      <c r="EN73" s="22"/>
      <c r="EO73" s="22"/>
      <c r="EP73" s="22"/>
      <c r="EQ73" s="22"/>
      <c r="ER73" s="22"/>
      <c r="ES73" s="22"/>
      <c r="ET73" s="22"/>
      <c r="EU73" s="22"/>
      <c r="EV73" s="22"/>
      <c r="EW73" s="22"/>
      <c r="EX73" s="22"/>
      <c r="EY73" s="22"/>
      <c r="EZ73" s="22"/>
      <c r="FA73" s="22"/>
      <c r="FB73" s="22"/>
      <c r="FC73" s="22"/>
      <c r="FD73" s="22"/>
      <c r="FE73" s="22"/>
      <c r="FF73" s="22"/>
      <c r="FG73" s="22"/>
      <c r="FH73" s="22"/>
      <c r="FI73" s="22"/>
      <c r="FJ73" s="22"/>
      <c r="FK73" s="22"/>
      <c r="FL73" s="22"/>
      <c r="FM73" s="22"/>
      <c r="FN73" s="22"/>
      <c r="FO73" s="22"/>
      <c r="FP73" s="22"/>
      <c r="FQ73" s="22"/>
      <c r="FU73" s="22"/>
      <c r="FV73" s="22"/>
      <c r="GG73" s="22">
        <v>0</v>
      </c>
    </row>
    <row r="74" spans="1:189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22"/>
      <c r="AX74" s="22"/>
      <c r="AY74" s="22"/>
      <c r="AZ74" s="22"/>
      <c r="BA74" s="22">
        <v>300</v>
      </c>
      <c r="BB74" s="22">
        <v>150</v>
      </c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  <c r="CY74" s="22"/>
      <c r="CZ74" s="22"/>
      <c r="DA74" s="22"/>
      <c r="DB74" s="22"/>
      <c r="DC74" s="22"/>
      <c r="DD74" s="22"/>
      <c r="DE74" s="22"/>
      <c r="DF74" s="22"/>
      <c r="DG74" s="22"/>
      <c r="DH74" s="22"/>
      <c r="DI74" s="22"/>
      <c r="DJ74" s="22"/>
      <c r="DK74" s="22"/>
      <c r="DL74" s="22"/>
      <c r="DM74" s="22"/>
      <c r="DN74" s="22"/>
      <c r="DO74" s="22"/>
      <c r="DP74" s="22"/>
      <c r="DQ74" s="22"/>
      <c r="DR74" s="22"/>
      <c r="DS74" s="22"/>
      <c r="DT74" s="22"/>
      <c r="DU74" s="22"/>
      <c r="DV74" s="22"/>
      <c r="DW74" s="22"/>
      <c r="DX74" s="22"/>
      <c r="DY74" s="22"/>
      <c r="DZ74" s="22"/>
      <c r="EA74" s="22"/>
      <c r="EB74" s="22"/>
      <c r="EC74" s="22"/>
      <c r="ED74" s="22"/>
      <c r="EE74" s="22"/>
      <c r="EF74" s="22"/>
      <c r="EG74" s="22"/>
      <c r="EH74" s="22"/>
      <c r="EI74" s="22"/>
      <c r="EJ74" s="22"/>
      <c r="EK74" s="22"/>
      <c r="EL74" s="22"/>
      <c r="EM74" s="22"/>
      <c r="EN74" s="22"/>
      <c r="EO74" s="22"/>
      <c r="EP74" s="22"/>
      <c r="EQ74" s="22"/>
      <c r="ER74" s="22"/>
      <c r="ES74" s="22"/>
      <c r="ET74" s="22"/>
      <c r="EU74" s="22"/>
      <c r="EV74" s="22"/>
      <c r="EW74" s="22"/>
      <c r="EX74" s="22"/>
      <c r="EY74" s="22"/>
      <c r="EZ74" s="22"/>
      <c r="FA74" s="22"/>
      <c r="FB74" s="22"/>
      <c r="FC74" s="22"/>
      <c r="FD74" s="22"/>
      <c r="FE74" s="22"/>
      <c r="FF74" s="22"/>
      <c r="FG74" s="22"/>
      <c r="FH74" s="22"/>
      <c r="FI74" s="22"/>
      <c r="FJ74" s="22"/>
      <c r="FK74" s="22"/>
      <c r="FL74" s="22"/>
      <c r="FM74" s="22"/>
      <c r="FN74" s="22"/>
      <c r="FO74" s="22"/>
      <c r="FP74" s="22"/>
      <c r="FQ74" s="22"/>
      <c r="FU74" s="22"/>
      <c r="FV74" s="22"/>
      <c r="GG74" s="22">
        <v>450</v>
      </c>
    </row>
    <row r="75" spans="1:189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>
        <v>200</v>
      </c>
      <c r="AS75" s="36"/>
      <c r="AT75" s="36"/>
      <c r="AU75" s="36"/>
      <c r="AV75" s="36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O75" s="22"/>
      <c r="CP75" s="22"/>
      <c r="CQ75" s="22"/>
      <c r="CR75" s="22">
        <v>100</v>
      </c>
      <c r="CS75" s="22"/>
      <c r="CT75" s="22"/>
      <c r="CU75" s="22"/>
      <c r="CV75" s="22"/>
      <c r="CW75" s="22"/>
      <c r="CX75" s="22">
        <v>100</v>
      </c>
      <c r="CY75" s="22"/>
      <c r="CZ75" s="22"/>
      <c r="DA75" s="22"/>
      <c r="DB75" s="22">
        <v>365</v>
      </c>
      <c r="DC75" s="22"/>
      <c r="DD75" s="22"/>
      <c r="DE75" s="22"/>
      <c r="DF75" s="22"/>
      <c r="DG75" s="22"/>
      <c r="DH75" s="22"/>
      <c r="DI75" s="22"/>
      <c r="DJ75" s="22"/>
      <c r="DK75" s="22"/>
      <c r="DL75" s="22"/>
      <c r="DM75" s="22"/>
      <c r="DN75" s="22"/>
      <c r="DO75" s="22"/>
      <c r="DP75" s="22">
        <v>21</v>
      </c>
      <c r="DQ75" s="22"/>
      <c r="DR75" s="22"/>
      <c r="DS75" s="22"/>
      <c r="DT75" s="22"/>
      <c r="DU75" s="22"/>
      <c r="DV75" s="22"/>
      <c r="DW75" s="22">
        <v>50</v>
      </c>
      <c r="DX75" s="22">
        <v>96</v>
      </c>
      <c r="DY75" s="22"/>
      <c r="DZ75" s="22"/>
      <c r="EA75" s="22"/>
      <c r="EB75" s="22"/>
      <c r="EC75" s="22"/>
      <c r="ED75" s="22"/>
      <c r="EE75" s="22">
        <v>150</v>
      </c>
      <c r="EF75" s="22"/>
      <c r="EG75" s="22"/>
      <c r="EH75" s="22"/>
      <c r="EI75" s="22"/>
      <c r="EJ75" s="22"/>
      <c r="EK75" s="22"/>
      <c r="EL75" s="22"/>
      <c r="EM75" s="22"/>
      <c r="EN75" s="22"/>
      <c r="EO75" s="22"/>
      <c r="EP75" s="22"/>
      <c r="EQ75" s="22"/>
      <c r="ER75" s="22"/>
      <c r="ES75" s="22"/>
      <c r="ET75" s="22"/>
      <c r="EU75" s="22"/>
      <c r="EV75" s="22"/>
      <c r="EW75" s="22"/>
      <c r="EX75" s="22"/>
      <c r="EY75" s="22"/>
      <c r="EZ75" s="22"/>
      <c r="FA75" s="22"/>
      <c r="FB75" s="22"/>
      <c r="FC75" s="22"/>
      <c r="FD75" s="22"/>
      <c r="FE75" s="22"/>
      <c r="FF75" s="22"/>
      <c r="FG75" s="22"/>
      <c r="FH75" s="22"/>
      <c r="FI75" s="22"/>
      <c r="FJ75" s="22"/>
      <c r="FK75" s="22"/>
      <c r="FL75" s="22"/>
      <c r="FM75" s="22"/>
      <c r="FN75" s="22"/>
      <c r="FO75" s="22"/>
      <c r="FP75" s="22"/>
      <c r="FQ75" s="22"/>
      <c r="FU75" s="22"/>
      <c r="FV75" s="22"/>
      <c r="GG75" s="22">
        <v>1082</v>
      </c>
    </row>
    <row r="76" spans="1:189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>
        <v>150</v>
      </c>
      <c r="CY76" s="22"/>
      <c r="CZ76" s="22"/>
      <c r="DA76" s="22"/>
      <c r="DB76" s="22">
        <v>162</v>
      </c>
      <c r="DC76" s="22">
        <v>150</v>
      </c>
      <c r="DD76" s="22"/>
      <c r="DE76" s="22"/>
      <c r="DF76" s="22"/>
      <c r="DG76" s="22"/>
      <c r="DH76" s="22">
        <v>9</v>
      </c>
      <c r="DI76" s="22"/>
      <c r="DJ76" s="22"/>
      <c r="DK76" s="22"/>
      <c r="DL76" s="22"/>
      <c r="DM76" s="22"/>
      <c r="DN76" s="22"/>
      <c r="DO76" s="22"/>
      <c r="DP76" s="22">
        <v>101</v>
      </c>
      <c r="DQ76" s="22"/>
      <c r="DR76" s="22"/>
      <c r="DS76" s="22"/>
      <c r="DT76" s="22"/>
      <c r="DU76" s="22"/>
      <c r="DV76" s="22"/>
      <c r="DW76" s="22"/>
      <c r="DX76" s="22">
        <v>50</v>
      </c>
      <c r="DY76" s="22"/>
      <c r="DZ76" s="22"/>
      <c r="EA76" s="22"/>
      <c r="EB76" s="22"/>
      <c r="EC76" s="22"/>
      <c r="ED76" s="22"/>
      <c r="EE76" s="22"/>
      <c r="EF76" s="22"/>
      <c r="EG76" s="22"/>
      <c r="EH76" s="22"/>
      <c r="EI76" s="22"/>
      <c r="EJ76" s="22"/>
      <c r="EK76" s="22"/>
      <c r="EL76" s="22"/>
      <c r="EM76" s="22"/>
      <c r="EN76" s="22"/>
      <c r="EO76" s="22"/>
      <c r="EP76" s="22"/>
      <c r="EQ76" s="22"/>
      <c r="ER76" s="22"/>
      <c r="ES76" s="22"/>
      <c r="ET76" s="22"/>
      <c r="EU76" s="22"/>
      <c r="EV76" s="22"/>
      <c r="EW76" s="22"/>
      <c r="EX76" s="22"/>
      <c r="EY76" s="22"/>
      <c r="EZ76" s="22"/>
      <c r="FA76" s="22"/>
      <c r="FB76" s="22"/>
      <c r="FC76" s="22"/>
      <c r="FD76" s="22"/>
      <c r="FE76" s="22"/>
      <c r="FF76" s="22"/>
      <c r="FG76" s="22"/>
      <c r="FH76" s="22"/>
      <c r="FI76" s="22"/>
      <c r="FJ76" s="22"/>
      <c r="FK76" s="22"/>
      <c r="FL76" s="22"/>
      <c r="FM76" s="22"/>
      <c r="FN76" s="22"/>
      <c r="FO76" s="22"/>
      <c r="FP76" s="22"/>
      <c r="FQ76" s="22"/>
      <c r="FU76" s="22"/>
      <c r="FV76" s="22"/>
      <c r="GG76" s="22">
        <v>622</v>
      </c>
    </row>
    <row r="77" spans="1:189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22"/>
      <c r="BT77" s="22"/>
      <c r="BU77" s="22">
        <v>314</v>
      </c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O77" s="22"/>
      <c r="CP77" s="22"/>
      <c r="CQ77" s="22"/>
      <c r="CR77" s="22"/>
      <c r="CS77" s="22"/>
      <c r="CT77" s="22"/>
      <c r="CU77" s="22"/>
      <c r="CV77" s="22"/>
      <c r="CW77" s="22">
        <v>50</v>
      </c>
      <c r="CX77" s="22"/>
      <c r="CY77" s="22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  <c r="DM77" s="22"/>
      <c r="DN77" s="22"/>
      <c r="DO77" s="22"/>
      <c r="DP77" s="22"/>
      <c r="DQ77" s="22"/>
      <c r="DR77" s="22"/>
      <c r="DS77" s="22"/>
      <c r="DT77" s="22"/>
      <c r="DU77" s="22"/>
      <c r="DV77" s="22"/>
      <c r="DW77" s="22"/>
      <c r="DX77" s="22"/>
      <c r="DY77" s="22"/>
      <c r="DZ77" s="22"/>
      <c r="EA77" s="22"/>
      <c r="EB77" s="22"/>
      <c r="EC77" s="22"/>
      <c r="ED77" s="22"/>
      <c r="EE77" s="22"/>
      <c r="EF77" s="22"/>
      <c r="EG77" s="22"/>
      <c r="EH77" s="22"/>
      <c r="EI77" s="22"/>
      <c r="EJ77" s="22"/>
      <c r="EK77" s="22"/>
      <c r="EL77" s="22"/>
      <c r="EM77" s="22"/>
      <c r="EN77" s="22"/>
      <c r="EO77" s="22"/>
      <c r="EP77" s="22"/>
      <c r="EQ77" s="22"/>
      <c r="ER77" s="22"/>
      <c r="ES77" s="22"/>
      <c r="ET77" s="22"/>
      <c r="EU77" s="22"/>
      <c r="EV77" s="22"/>
      <c r="EW77" s="22"/>
      <c r="EX77" s="22"/>
      <c r="EY77" s="22"/>
      <c r="EZ77" s="22"/>
      <c r="FA77" s="22"/>
      <c r="FB77" s="22"/>
      <c r="FC77" s="22"/>
      <c r="FD77" s="22"/>
      <c r="FE77" s="22"/>
      <c r="FF77" s="22"/>
      <c r="FG77" s="22"/>
      <c r="FH77" s="22"/>
      <c r="FI77" s="22"/>
      <c r="FJ77" s="22"/>
      <c r="FK77" s="22"/>
      <c r="FL77" s="22"/>
      <c r="FM77" s="22"/>
      <c r="FN77" s="22"/>
      <c r="FO77" s="22"/>
      <c r="FP77" s="22"/>
      <c r="FQ77" s="22"/>
      <c r="FU77" s="22"/>
      <c r="FV77" s="22"/>
      <c r="GG77" s="22">
        <v>364</v>
      </c>
    </row>
    <row r="78" spans="1:189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22"/>
      <c r="BT78" s="22"/>
      <c r="BU78" s="22">
        <v>51</v>
      </c>
      <c r="BV78" s="22"/>
      <c r="BW78" s="22"/>
      <c r="BX78" s="22"/>
      <c r="BY78" s="22"/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  <c r="CY78" s="22"/>
      <c r="CZ78" s="22"/>
      <c r="DA78" s="22"/>
      <c r="DB78" s="22"/>
      <c r="DC78" s="22"/>
      <c r="DD78" s="22"/>
      <c r="DE78" s="22"/>
      <c r="DF78" s="22"/>
      <c r="DG78" s="22"/>
      <c r="DH78" s="22"/>
      <c r="DI78" s="22"/>
      <c r="DJ78" s="22"/>
      <c r="DK78" s="22"/>
      <c r="DL78" s="22"/>
      <c r="DM78" s="22"/>
      <c r="DN78" s="22"/>
      <c r="DO78" s="22"/>
      <c r="DP78" s="22"/>
      <c r="DQ78" s="22"/>
      <c r="DR78" s="22"/>
      <c r="DS78" s="22"/>
      <c r="DT78" s="22"/>
      <c r="DU78" s="22"/>
      <c r="DV78" s="22"/>
      <c r="DW78" s="22"/>
      <c r="DX78" s="22">
        <v>411</v>
      </c>
      <c r="DY78" s="22"/>
      <c r="DZ78" s="22"/>
      <c r="EA78" s="22"/>
      <c r="EB78" s="22"/>
      <c r="EC78" s="22"/>
      <c r="ED78" s="22"/>
      <c r="EE78" s="22"/>
      <c r="EF78" s="22"/>
      <c r="EG78" s="22"/>
      <c r="EH78" s="22"/>
      <c r="EI78" s="22"/>
      <c r="EJ78" s="22"/>
      <c r="EK78" s="22"/>
      <c r="EL78" s="22"/>
      <c r="EM78" s="22"/>
      <c r="EN78" s="22"/>
      <c r="EO78" s="22"/>
      <c r="EP78" s="22"/>
      <c r="EQ78" s="22"/>
      <c r="ER78" s="22"/>
      <c r="ES78" s="22"/>
      <c r="ET78" s="22"/>
      <c r="EU78" s="22"/>
      <c r="EV78" s="22"/>
      <c r="EW78" s="22"/>
      <c r="EX78" s="22"/>
      <c r="EY78" s="22"/>
      <c r="EZ78" s="22"/>
      <c r="FA78" s="22"/>
      <c r="FB78" s="22"/>
      <c r="FC78" s="22"/>
      <c r="FD78" s="22"/>
      <c r="FE78" s="22"/>
      <c r="FF78" s="22"/>
      <c r="FG78" s="22"/>
      <c r="FH78" s="22"/>
      <c r="FI78" s="22"/>
      <c r="FJ78" s="22"/>
      <c r="FK78" s="22"/>
      <c r="FL78" s="22"/>
      <c r="FM78" s="22"/>
      <c r="FN78" s="22"/>
      <c r="FO78" s="22"/>
      <c r="FP78" s="22"/>
      <c r="FQ78" s="22"/>
      <c r="FU78" s="22"/>
      <c r="FV78" s="22"/>
      <c r="GG78" s="22">
        <v>462</v>
      </c>
    </row>
    <row r="79" spans="1:189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  <c r="BS79" s="22"/>
      <c r="BT79" s="22"/>
      <c r="BU79" s="22">
        <v>290</v>
      </c>
      <c r="BV79" s="22"/>
      <c r="BW79" s="22"/>
      <c r="BX79" s="22"/>
      <c r="BY79" s="22"/>
      <c r="BZ79" s="22"/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  <c r="CY79" s="22"/>
      <c r="CZ79" s="22"/>
      <c r="DA79" s="22"/>
      <c r="DB79" s="22"/>
      <c r="DC79" s="22"/>
      <c r="DD79" s="22"/>
      <c r="DE79" s="22"/>
      <c r="DF79" s="22"/>
      <c r="DG79" s="22"/>
      <c r="DH79" s="22"/>
      <c r="DI79" s="22"/>
      <c r="DJ79" s="22"/>
      <c r="DK79" s="22"/>
      <c r="DL79" s="22"/>
      <c r="DM79" s="22"/>
      <c r="DN79" s="22"/>
      <c r="DO79" s="22"/>
      <c r="DP79" s="22"/>
      <c r="DQ79" s="22"/>
      <c r="DR79" s="22"/>
      <c r="DS79" s="22"/>
      <c r="DT79" s="22"/>
      <c r="DU79" s="22"/>
      <c r="DV79" s="22"/>
      <c r="DW79" s="22"/>
      <c r="DX79" s="22"/>
      <c r="DY79" s="22"/>
      <c r="DZ79" s="22"/>
      <c r="EA79" s="22"/>
      <c r="EB79" s="22"/>
      <c r="EC79" s="22"/>
      <c r="ED79" s="22"/>
      <c r="EE79" s="22"/>
      <c r="EF79" s="22"/>
      <c r="EG79" s="22"/>
      <c r="EH79" s="22"/>
      <c r="EI79" s="22"/>
      <c r="EJ79" s="22"/>
      <c r="EK79" s="22"/>
      <c r="EL79" s="22"/>
      <c r="EM79" s="22"/>
      <c r="EN79" s="22"/>
      <c r="EO79" s="22"/>
      <c r="EP79" s="22"/>
      <c r="EQ79" s="22"/>
      <c r="ER79" s="22"/>
      <c r="ES79" s="22"/>
      <c r="ET79" s="22"/>
      <c r="EU79" s="22"/>
      <c r="EV79" s="22"/>
      <c r="EW79" s="22"/>
      <c r="EX79" s="22"/>
      <c r="EY79" s="22"/>
      <c r="EZ79" s="22"/>
      <c r="FA79" s="22"/>
      <c r="FB79" s="22"/>
      <c r="FC79" s="22"/>
      <c r="FD79" s="22"/>
      <c r="FE79" s="22"/>
      <c r="FF79" s="22"/>
      <c r="FG79" s="22"/>
      <c r="FH79" s="22"/>
      <c r="FI79" s="22"/>
      <c r="FJ79" s="22"/>
      <c r="FK79" s="22"/>
      <c r="FL79" s="22"/>
      <c r="FM79" s="22"/>
      <c r="FN79" s="22"/>
      <c r="FO79" s="22"/>
      <c r="FP79" s="22"/>
      <c r="FQ79" s="22"/>
      <c r="FU79" s="22"/>
      <c r="FV79" s="22"/>
      <c r="GG79" s="22">
        <v>290</v>
      </c>
    </row>
    <row r="80" spans="1:189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X80" s="36"/>
      <c r="Y80" s="36"/>
      <c r="Z80" s="36"/>
      <c r="AA80" s="36"/>
      <c r="AB80" s="36"/>
      <c r="AC80" s="36"/>
      <c r="AD80" s="36"/>
      <c r="AE80" s="36">
        <v>130</v>
      </c>
      <c r="AF80" s="36"/>
      <c r="AG80" s="36">
        <v>20</v>
      </c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22"/>
      <c r="BT80" s="22"/>
      <c r="BU80" s="22">
        <v>1169</v>
      </c>
      <c r="BV80" s="22"/>
      <c r="BW80" s="22"/>
      <c r="BX80" s="22"/>
      <c r="BY80" s="22"/>
      <c r="BZ80" s="22"/>
      <c r="CA80" s="22"/>
      <c r="CB80" s="22"/>
      <c r="CC80" s="22"/>
      <c r="CD80" s="22"/>
      <c r="CE80" s="22"/>
      <c r="CF80" s="22"/>
      <c r="CG80" s="22"/>
      <c r="CH80" s="22"/>
      <c r="CI80" s="22">
        <v>79</v>
      </c>
      <c r="CJ80" s="22"/>
      <c r="CK80" s="22"/>
      <c r="CL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  <c r="CY80" s="22"/>
      <c r="CZ80" s="22"/>
      <c r="DA80" s="22"/>
      <c r="DB80" s="22"/>
      <c r="DC80" s="22"/>
      <c r="DD80" s="22">
        <v>129</v>
      </c>
      <c r="DE80" s="22"/>
      <c r="DF80" s="22">
        <v>340</v>
      </c>
      <c r="DG80" s="22"/>
      <c r="DH80" s="22">
        <v>329</v>
      </c>
      <c r="DI80" s="22"/>
      <c r="DJ80" s="22">
        <v>588</v>
      </c>
      <c r="DK80" s="22"/>
      <c r="DL80" s="22"/>
      <c r="DM80" s="22"/>
      <c r="DN80" s="22">
        <v>9</v>
      </c>
      <c r="DO80" s="22"/>
      <c r="DP80" s="22"/>
      <c r="DQ80" s="22"/>
      <c r="DR80" s="22"/>
      <c r="DS80" s="22">
        <v>98</v>
      </c>
      <c r="DT80" s="22"/>
      <c r="DU80" s="22"/>
      <c r="DV80" s="22"/>
      <c r="DW80" s="22">
        <v>918</v>
      </c>
      <c r="DX80" s="22">
        <v>357</v>
      </c>
      <c r="DY80" s="22"/>
      <c r="DZ80" s="22"/>
      <c r="EA80" s="22">
        <v>707</v>
      </c>
      <c r="EB80" s="22"/>
      <c r="EC80" s="22"/>
      <c r="ED80" s="22"/>
      <c r="EE80" s="22"/>
      <c r="EF80" s="22"/>
      <c r="EG80" s="22"/>
      <c r="EH80" s="22"/>
      <c r="EI80" s="22"/>
      <c r="EJ80" s="22"/>
      <c r="EK80" s="22"/>
      <c r="EL80" s="22"/>
      <c r="EM80" s="22"/>
      <c r="EN80" s="22"/>
      <c r="EO80" s="22"/>
      <c r="EP80" s="22"/>
      <c r="EQ80" s="22"/>
      <c r="ER80" s="22"/>
      <c r="ES80" s="22"/>
      <c r="ET80" s="22"/>
      <c r="EU80" s="22"/>
      <c r="EV80" s="22">
        <v>639</v>
      </c>
      <c r="EW80" s="22"/>
      <c r="EX80" s="22"/>
      <c r="EY80" s="22"/>
      <c r="EZ80" s="22"/>
      <c r="FA80" s="22">
        <v>200</v>
      </c>
      <c r="FB80" s="22">
        <v>144</v>
      </c>
      <c r="FC80" s="22">
        <v>12</v>
      </c>
      <c r="FD80" s="22"/>
      <c r="FE80" s="22"/>
      <c r="FF80" s="22"/>
      <c r="FG80" s="22"/>
      <c r="FH80" s="22"/>
      <c r="FI80" s="22"/>
      <c r="FJ80" s="22"/>
      <c r="FK80" s="22"/>
      <c r="FL80" s="22"/>
      <c r="FM80" s="22"/>
      <c r="FN80" s="22"/>
      <c r="FO80" s="22"/>
      <c r="FP80" s="22"/>
      <c r="FQ80" s="22"/>
      <c r="FU80" s="22"/>
      <c r="FV80" s="22"/>
      <c r="GG80" s="22">
        <v>5868</v>
      </c>
    </row>
    <row r="81" spans="1:189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X81" s="36"/>
      <c r="Y81" s="36"/>
      <c r="Z81" s="36"/>
      <c r="AA81" s="36"/>
      <c r="AB81" s="36"/>
      <c r="AC81" s="36"/>
      <c r="AD81" s="36"/>
      <c r="AE81" s="36">
        <v>71</v>
      </c>
      <c r="AF81" s="36"/>
      <c r="AG81" s="36">
        <v>105</v>
      </c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  <c r="BS81" s="22"/>
      <c r="BT81" s="22"/>
      <c r="BU81" s="22">
        <v>580</v>
      </c>
      <c r="BV81" s="22"/>
      <c r="BW81" s="22"/>
      <c r="BX81" s="22"/>
      <c r="BY81" s="22"/>
      <c r="BZ81" s="22"/>
      <c r="CA81" s="22"/>
      <c r="CB81" s="22"/>
      <c r="CC81" s="22"/>
      <c r="CD81" s="22"/>
      <c r="CE81" s="22"/>
      <c r="CF81" s="22"/>
      <c r="CG81" s="22"/>
      <c r="CH81" s="22"/>
      <c r="CI81" s="22"/>
      <c r="CJ81" s="22">
        <v>1100</v>
      </c>
      <c r="CK81" s="22"/>
      <c r="CL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  <c r="CY81" s="22"/>
      <c r="CZ81" s="22"/>
      <c r="DA81" s="22"/>
      <c r="DB81" s="22"/>
      <c r="DC81" s="22"/>
      <c r="DD81" s="22">
        <v>60</v>
      </c>
      <c r="DE81" s="22"/>
      <c r="DF81" s="22"/>
      <c r="DG81" s="22"/>
      <c r="DH81" s="22">
        <v>76</v>
      </c>
      <c r="DI81" s="22"/>
      <c r="DJ81" s="22">
        <v>311</v>
      </c>
      <c r="DK81" s="22"/>
      <c r="DL81" s="22"/>
      <c r="DM81" s="22"/>
      <c r="DN81" s="22">
        <v>96</v>
      </c>
      <c r="DO81" s="22"/>
      <c r="DP81" s="22">
        <v>125</v>
      </c>
      <c r="DQ81" s="22"/>
      <c r="DR81" s="22"/>
      <c r="DS81" s="22">
        <v>62</v>
      </c>
      <c r="DT81" s="22"/>
      <c r="DU81" s="22"/>
      <c r="DV81" s="22"/>
      <c r="DW81" s="22"/>
      <c r="DX81" s="22"/>
      <c r="DY81" s="22"/>
      <c r="DZ81" s="22"/>
      <c r="EA81" s="22"/>
      <c r="EB81" s="22"/>
      <c r="EC81" s="22"/>
      <c r="ED81" s="22"/>
      <c r="EE81" s="22"/>
      <c r="EF81" s="22"/>
      <c r="EG81" s="22"/>
      <c r="EH81" s="22"/>
      <c r="EI81" s="22"/>
      <c r="EJ81" s="22"/>
      <c r="EK81" s="22"/>
      <c r="EL81" s="22"/>
      <c r="EM81" s="22"/>
      <c r="EN81" s="22"/>
      <c r="EO81" s="22"/>
      <c r="EP81" s="22"/>
      <c r="EQ81" s="22"/>
      <c r="ER81" s="22"/>
      <c r="ES81" s="22"/>
      <c r="ET81" s="22"/>
      <c r="EU81" s="22"/>
      <c r="EV81" s="22"/>
      <c r="EW81" s="22"/>
      <c r="EX81" s="22"/>
      <c r="EY81" s="22"/>
      <c r="EZ81" s="22"/>
      <c r="FA81" s="22">
        <v>100</v>
      </c>
      <c r="FB81" s="22"/>
      <c r="FC81" s="22"/>
      <c r="FD81" s="22"/>
      <c r="FE81" s="22">
        <v>50</v>
      </c>
      <c r="FF81" s="22"/>
      <c r="FG81" s="22"/>
      <c r="FH81" s="22"/>
      <c r="FI81" s="22"/>
      <c r="FJ81" s="22"/>
      <c r="FK81" s="22"/>
      <c r="FL81" s="22"/>
      <c r="FM81" s="22"/>
      <c r="FN81" s="22"/>
      <c r="FO81" s="22"/>
      <c r="FP81" s="22"/>
      <c r="FQ81" s="22"/>
      <c r="FU81" s="22"/>
      <c r="FV81" s="22"/>
      <c r="GG81" s="22">
        <v>2736</v>
      </c>
    </row>
    <row r="82" spans="1:189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>
        <v>90</v>
      </c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>
        <v>285</v>
      </c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22"/>
      <c r="EP82" s="22"/>
      <c r="EQ82" s="22"/>
      <c r="ER82" s="22"/>
      <c r="ES82" s="22"/>
      <c r="ET82" s="22"/>
      <c r="EU82" s="22"/>
      <c r="EV82" s="22"/>
      <c r="EW82" s="22"/>
      <c r="EX82" s="22"/>
      <c r="EY82" s="22"/>
      <c r="EZ82" s="22"/>
      <c r="FA82" s="22"/>
      <c r="FB82" s="22"/>
      <c r="FC82" s="22"/>
      <c r="FD82" s="22"/>
      <c r="FE82" s="22"/>
      <c r="FF82" s="22"/>
      <c r="FG82" s="22"/>
      <c r="FH82" s="22"/>
      <c r="FI82" s="22"/>
      <c r="FJ82" s="22"/>
      <c r="FK82" s="22"/>
      <c r="FL82" s="22"/>
      <c r="FM82" s="22"/>
      <c r="FN82" s="22"/>
      <c r="FO82" s="22"/>
      <c r="FP82" s="22"/>
      <c r="FQ82" s="22"/>
      <c r="FU82" s="22"/>
      <c r="FV82" s="22"/>
      <c r="GG82" s="22">
        <v>375</v>
      </c>
    </row>
    <row r="83" spans="1:189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X83" s="36"/>
      <c r="Y83" s="36"/>
      <c r="Z83" s="36"/>
      <c r="AA83" s="36"/>
      <c r="AB83" s="36"/>
      <c r="AC83" s="36"/>
      <c r="AD83" s="36"/>
      <c r="AE83" s="36">
        <v>78</v>
      </c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>
        <v>855</v>
      </c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22"/>
      <c r="CI83" s="22">
        <v>243</v>
      </c>
      <c r="CJ83" s="22"/>
      <c r="CK83" s="22"/>
      <c r="CL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22"/>
      <c r="DK83" s="22"/>
      <c r="DL83" s="22"/>
      <c r="DM83" s="22"/>
      <c r="DN83" s="22"/>
      <c r="DO83" s="22"/>
      <c r="DP83" s="22"/>
      <c r="DQ83" s="22"/>
      <c r="DR83" s="22">
        <v>469</v>
      </c>
      <c r="DS83" s="22"/>
      <c r="DT83" s="22"/>
      <c r="DU83" s="22">
        <v>340</v>
      </c>
      <c r="DV83" s="22"/>
      <c r="DW83" s="22">
        <v>200</v>
      </c>
      <c r="DX83" s="22"/>
      <c r="DY83" s="22">
        <v>112</v>
      </c>
      <c r="DZ83" s="22"/>
      <c r="EA83" s="22">
        <v>198</v>
      </c>
      <c r="EB83" s="22">
        <v>100</v>
      </c>
      <c r="EC83" s="22"/>
      <c r="ED83" s="22"/>
      <c r="EE83" s="22"/>
      <c r="EF83" s="22"/>
      <c r="EG83" s="22"/>
      <c r="EH83" s="22"/>
      <c r="EI83" s="22"/>
      <c r="EJ83" s="22"/>
      <c r="EK83" s="22"/>
      <c r="EL83" s="22"/>
      <c r="EM83" s="22"/>
      <c r="EN83" s="22"/>
      <c r="EO83" s="22"/>
      <c r="EP83" s="22"/>
      <c r="EQ83" s="22"/>
      <c r="ER83" s="22"/>
      <c r="ES83" s="22"/>
      <c r="ET83" s="22"/>
      <c r="EU83" s="22"/>
      <c r="EV83" s="22"/>
      <c r="EW83" s="22"/>
      <c r="EX83" s="22"/>
      <c r="EY83" s="22"/>
      <c r="EZ83" s="22"/>
      <c r="FA83" s="22"/>
      <c r="FB83" s="22"/>
      <c r="FC83" s="22"/>
      <c r="FD83" s="22"/>
      <c r="FE83" s="22"/>
      <c r="FF83" s="22"/>
      <c r="FG83" s="22"/>
      <c r="FH83" s="22"/>
      <c r="FI83" s="22"/>
      <c r="FJ83" s="22"/>
      <c r="FK83" s="22"/>
      <c r="FL83" s="22"/>
      <c r="FM83" s="22"/>
      <c r="FN83" s="22"/>
      <c r="FO83" s="22"/>
      <c r="FP83" s="22"/>
      <c r="FQ83" s="22"/>
      <c r="FU83" s="22"/>
      <c r="FV83" s="22"/>
      <c r="GG83" s="22">
        <v>2595</v>
      </c>
    </row>
    <row r="84" spans="1:189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>
        <v>1270</v>
      </c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22"/>
      <c r="CG84" s="22"/>
      <c r="CH84" s="22"/>
      <c r="CI84" s="22"/>
      <c r="CJ84" s="22"/>
      <c r="CK84" s="22"/>
      <c r="CL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22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22"/>
      <c r="EH84" s="22"/>
      <c r="EI84" s="22"/>
      <c r="EJ84" s="22"/>
      <c r="EK84" s="22"/>
      <c r="EL84" s="22"/>
      <c r="EM84" s="22"/>
      <c r="EN84" s="22"/>
      <c r="EO84" s="22"/>
      <c r="EP84" s="22"/>
      <c r="EQ84" s="22"/>
      <c r="ER84" s="22"/>
      <c r="ES84" s="22"/>
      <c r="ET84" s="22"/>
      <c r="EU84" s="22"/>
      <c r="EV84" s="22"/>
      <c r="EW84" s="22"/>
      <c r="EX84" s="22"/>
      <c r="EY84" s="22"/>
      <c r="EZ84" s="22"/>
      <c r="FA84" s="22"/>
      <c r="FB84" s="22"/>
      <c r="FC84" s="22"/>
      <c r="FD84" s="22"/>
      <c r="FE84" s="22"/>
      <c r="FF84" s="22"/>
      <c r="FG84" s="22"/>
      <c r="FH84" s="22"/>
      <c r="FI84" s="22"/>
      <c r="FJ84" s="22"/>
      <c r="FK84" s="22"/>
      <c r="FL84" s="22"/>
      <c r="FM84" s="22"/>
      <c r="FN84" s="22"/>
      <c r="FO84" s="22"/>
      <c r="FP84" s="22"/>
      <c r="FQ84" s="22"/>
      <c r="FU84" s="22"/>
      <c r="FV84" s="22"/>
      <c r="GG84" s="22">
        <v>1270</v>
      </c>
    </row>
    <row r="85" spans="1:189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22">
        <v>1438</v>
      </c>
      <c r="BT85" s="22"/>
      <c r="BU85" s="22"/>
      <c r="BV85" s="22"/>
      <c r="BW85" s="22"/>
      <c r="BX85" s="22"/>
      <c r="BY85" s="22"/>
      <c r="BZ85" s="22"/>
      <c r="CA85" s="22"/>
      <c r="CB85" s="22"/>
      <c r="CC85" s="22"/>
      <c r="CD85" s="22"/>
      <c r="CE85" s="22"/>
      <c r="CF85" s="22"/>
      <c r="CG85" s="22">
        <v>260</v>
      </c>
      <c r="CH85" s="22"/>
      <c r="CI85" s="22"/>
      <c r="CJ85" s="22">
        <v>1003</v>
      </c>
      <c r="CK85" s="22"/>
      <c r="CL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  <c r="CY85" s="22"/>
      <c r="CZ85" s="22"/>
      <c r="DA85" s="22"/>
      <c r="DB85" s="22"/>
      <c r="DC85" s="22"/>
      <c r="DD85" s="22"/>
      <c r="DE85" s="22"/>
      <c r="DF85" s="22"/>
      <c r="DG85" s="22"/>
      <c r="DH85" s="22"/>
      <c r="DI85" s="22"/>
      <c r="DJ85" s="22"/>
      <c r="DK85" s="22"/>
      <c r="DL85" s="22"/>
      <c r="DM85" s="22"/>
      <c r="DN85" s="22"/>
      <c r="DO85" s="22"/>
      <c r="DP85" s="22"/>
      <c r="DQ85" s="22"/>
      <c r="DR85" s="22">
        <v>175</v>
      </c>
      <c r="DS85" s="22"/>
      <c r="DT85" s="22"/>
      <c r="DU85" s="22"/>
      <c r="DV85" s="22"/>
      <c r="DW85" s="22"/>
      <c r="DX85" s="22"/>
      <c r="DY85" s="22">
        <v>200</v>
      </c>
      <c r="DZ85" s="22"/>
      <c r="EA85" s="22">
        <v>100</v>
      </c>
      <c r="EB85" s="22"/>
      <c r="EC85" s="22"/>
      <c r="ED85" s="22">
        <v>300</v>
      </c>
      <c r="EE85" s="22"/>
      <c r="EF85" s="22"/>
      <c r="EG85" s="22"/>
      <c r="EH85" s="22"/>
      <c r="EI85" s="22"/>
      <c r="EJ85" s="22"/>
      <c r="EK85" s="22"/>
      <c r="EL85" s="22"/>
      <c r="EM85" s="22"/>
      <c r="EN85" s="22"/>
      <c r="EO85" s="22"/>
      <c r="EP85" s="22"/>
      <c r="EQ85" s="22"/>
      <c r="ER85" s="22"/>
      <c r="ES85" s="22"/>
      <c r="ET85" s="22"/>
      <c r="EU85" s="22"/>
      <c r="EV85" s="22">
        <v>200</v>
      </c>
      <c r="EW85" s="22"/>
      <c r="EX85" s="22"/>
      <c r="EY85" s="22"/>
      <c r="EZ85" s="22">
        <v>89</v>
      </c>
      <c r="FA85" s="22">
        <v>100</v>
      </c>
      <c r="FB85" s="22">
        <v>160</v>
      </c>
      <c r="FC85" s="22"/>
      <c r="FD85" s="22"/>
      <c r="FE85" s="22"/>
      <c r="FF85" s="22"/>
      <c r="FG85" s="22"/>
      <c r="FH85" s="22"/>
      <c r="FI85" s="22"/>
      <c r="FJ85" s="22"/>
      <c r="FK85" s="22"/>
      <c r="FL85" s="22"/>
      <c r="FM85" s="22"/>
      <c r="FN85" s="22"/>
      <c r="FO85" s="22"/>
      <c r="FP85" s="22"/>
      <c r="FQ85" s="22"/>
      <c r="FU85" s="22"/>
      <c r="FV85" s="22"/>
      <c r="GG85" s="22">
        <v>4025</v>
      </c>
    </row>
    <row r="86" spans="1:189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>
        <v>888</v>
      </c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22"/>
      <c r="CI86" s="22"/>
      <c r="CJ86" s="22"/>
      <c r="CK86" s="22"/>
      <c r="CL86" s="22"/>
      <c r="CO86" s="22"/>
      <c r="CP86" s="22"/>
      <c r="CQ86" s="22"/>
      <c r="CR86" s="22"/>
      <c r="CS86" s="22"/>
      <c r="CT86" s="22"/>
      <c r="CU86" s="22"/>
      <c r="CV86" s="22"/>
      <c r="CW86" s="22">
        <v>25</v>
      </c>
      <c r="CX86" s="22"/>
      <c r="CY86" s="22"/>
      <c r="CZ86" s="22">
        <v>80</v>
      </c>
      <c r="DA86" s="22"/>
      <c r="DB86" s="22"/>
      <c r="DC86" s="22"/>
      <c r="DD86" s="22">
        <v>137</v>
      </c>
      <c r="DE86" s="22"/>
      <c r="DF86" s="22"/>
      <c r="DG86" s="22"/>
      <c r="DH86" s="22">
        <v>70</v>
      </c>
      <c r="DI86" s="22"/>
      <c r="DJ86" s="22">
        <v>100</v>
      </c>
      <c r="DK86" s="22"/>
      <c r="DL86" s="22"/>
      <c r="DM86" s="22"/>
      <c r="DN86" s="22">
        <v>97</v>
      </c>
      <c r="DO86" s="22"/>
      <c r="DP86" s="22"/>
      <c r="DQ86" s="22"/>
      <c r="DR86" s="22"/>
      <c r="DS86" s="22"/>
      <c r="DT86" s="22"/>
      <c r="DU86" s="22"/>
      <c r="DV86" s="22"/>
      <c r="DW86" s="22"/>
      <c r="DX86" s="22"/>
      <c r="DY86" s="22"/>
      <c r="DZ86" s="22"/>
      <c r="EA86" s="22">
        <v>200</v>
      </c>
      <c r="EB86" s="22"/>
      <c r="EC86" s="22"/>
      <c r="ED86" s="22"/>
      <c r="EE86" s="22"/>
      <c r="EF86" s="22">
        <v>200</v>
      </c>
      <c r="EG86" s="22"/>
      <c r="EH86" s="22"/>
      <c r="EI86" s="22"/>
      <c r="EJ86" s="22"/>
      <c r="EK86" s="22"/>
      <c r="EL86" s="22"/>
      <c r="EM86" s="22"/>
      <c r="EN86" s="22"/>
      <c r="EO86" s="22"/>
      <c r="EP86" s="22"/>
      <c r="EQ86" s="22"/>
      <c r="ER86" s="22"/>
      <c r="ES86" s="22"/>
      <c r="ET86" s="22"/>
      <c r="EU86" s="22"/>
      <c r="EV86" s="22"/>
      <c r="EW86" s="22"/>
      <c r="EX86" s="22"/>
      <c r="EY86" s="22"/>
      <c r="EZ86" s="22">
        <v>200</v>
      </c>
      <c r="FA86" s="22"/>
      <c r="FB86" s="22"/>
      <c r="FC86" s="22"/>
      <c r="FD86" s="22"/>
      <c r="FE86" s="22"/>
      <c r="FF86" s="22"/>
      <c r="FG86" s="22"/>
      <c r="FH86" s="22"/>
      <c r="FI86" s="22"/>
      <c r="FJ86" s="22"/>
      <c r="FK86" s="22"/>
      <c r="FL86" s="22"/>
      <c r="FM86" s="22">
        <v>282</v>
      </c>
      <c r="FN86" s="22"/>
      <c r="FO86" s="22"/>
      <c r="FP86" s="22"/>
      <c r="FQ86" s="22"/>
      <c r="FU86" s="22"/>
      <c r="FV86" s="22"/>
      <c r="GG86" s="22">
        <v>2279</v>
      </c>
    </row>
    <row r="87" spans="1:189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X87" s="36"/>
      <c r="Y87" s="36"/>
      <c r="Z87" s="36"/>
      <c r="AA87" s="36"/>
      <c r="AB87" s="36"/>
      <c r="AC87" s="36"/>
      <c r="AD87" s="36"/>
      <c r="AE87" s="36">
        <v>200</v>
      </c>
      <c r="AF87" s="36"/>
      <c r="AG87" s="36"/>
      <c r="AH87" s="36"/>
      <c r="AI87" s="36"/>
      <c r="AJ87" s="36">
        <v>35</v>
      </c>
      <c r="AK87" s="36"/>
      <c r="AL87" s="36">
        <v>60</v>
      </c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22"/>
      <c r="CG87" s="22">
        <v>277</v>
      </c>
      <c r="CH87" s="22"/>
      <c r="CI87" s="22"/>
      <c r="CJ87" s="22">
        <v>2327</v>
      </c>
      <c r="CK87" s="22"/>
      <c r="CL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>
        <v>100</v>
      </c>
      <c r="CY87" s="22"/>
      <c r="CZ87" s="22">
        <v>300</v>
      </c>
      <c r="DA87" s="22"/>
      <c r="DB87" s="22"/>
      <c r="DC87" s="22">
        <v>200</v>
      </c>
      <c r="DD87" s="22"/>
      <c r="DE87" s="22"/>
      <c r="DF87" s="22">
        <v>300</v>
      </c>
      <c r="DG87" s="22"/>
      <c r="DH87" s="22">
        <v>300</v>
      </c>
      <c r="DI87" s="22">
        <v>300</v>
      </c>
      <c r="DJ87" s="22">
        <v>300</v>
      </c>
      <c r="DK87" s="22"/>
      <c r="DL87" s="22"/>
      <c r="DM87" s="22"/>
      <c r="DN87" s="22"/>
      <c r="DO87" s="22"/>
      <c r="DP87" s="22"/>
      <c r="DQ87" s="22">
        <v>500</v>
      </c>
      <c r="DR87" s="22">
        <v>257</v>
      </c>
      <c r="DS87" s="22"/>
      <c r="DT87" s="22"/>
      <c r="DU87" s="22"/>
      <c r="DV87" s="22"/>
      <c r="DW87" s="22"/>
      <c r="DX87" s="22"/>
      <c r="DY87" s="22">
        <v>668</v>
      </c>
      <c r="DZ87" s="22"/>
      <c r="EA87" s="22"/>
      <c r="EB87" s="22">
        <v>900</v>
      </c>
      <c r="EC87" s="22"/>
      <c r="ED87" s="22">
        <v>500</v>
      </c>
      <c r="EE87" s="22"/>
      <c r="EF87" s="22"/>
      <c r="EG87" s="22"/>
      <c r="EH87" s="22"/>
      <c r="EI87" s="22"/>
      <c r="EJ87" s="22"/>
      <c r="EK87" s="22"/>
      <c r="EL87" s="22"/>
      <c r="EM87" s="22"/>
      <c r="EN87" s="22"/>
      <c r="EO87" s="22"/>
      <c r="EP87" s="22">
        <v>1625</v>
      </c>
      <c r="EQ87" s="22"/>
      <c r="ER87" s="22"/>
      <c r="ES87" s="22">
        <v>200</v>
      </c>
      <c r="ET87" s="22"/>
      <c r="EU87" s="22"/>
      <c r="EV87" s="22"/>
      <c r="EW87" s="22"/>
      <c r="EX87" s="22"/>
      <c r="EY87" s="22"/>
      <c r="EZ87" s="22"/>
      <c r="FA87" s="22"/>
      <c r="FB87" s="22">
        <v>400</v>
      </c>
      <c r="FC87" s="22"/>
      <c r="FD87" s="22"/>
      <c r="FE87" s="22">
        <v>400</v>
      </c>
      <c r="FF87" s="22">
        <v>200</v>
      </c>
      <c r="FG87" s="22"/>
      <c r="FH87" s="22"/>
      <c r="FI87" s="22"/>
      <c r="FJ87" s="22"/>
      <c r="FK87" s="22"/>
      <c r="FL87" s="22"/>
      <c r="FM87" s="22"/>
      <c r="FN87" s="22"/>
      <c r="FO87" s="22"/>
      <c r="FP87" s="22"/>
      <c r="FQ87" s="22"/>
      <c r="FU87" s="22"/>
      <c r="FV87" s="22"/>
      <c r="GG87" s="22">
        <v>10349</v>
      </c>
    </row>
    <row r="88" spans="1:189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>
        <v>30</v>
      </c>
      <c r="AK88" s="36"/>
      <c r="AL88" s="36"/>
      <c r="AM88" s="36"/>
      <c r="AN88" s="36"/>
      <c r="AO88" s="36"/>
      <c r="AP88" s="36"/>
      <c r="AQ88" s="36">
        <v>60</v>
      </c>
      <c r="AR88" s="36"/>
      <c r="AS88" s="36"/>
      <c r="AT88" s="36"/>
      <c r="AU88" s="36"/>
      <c r="AV88" s="36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2"/>
      <c r="CD88" s="22"/>
      <c r="CE88" s="22"/>
      <c r="CF88" s="22"/>
      <c r="CG88" s="22"/>
      <c r="CH88" s="22"/>
      <c r="CI88" s="22"/>
      <c r="CJ88" s="22"/>
      <c r="CK88" s="22"/>
      <c r="CL88" s="22"/>
      <c r="CO88" s="22"/>
      <c r="CP88" s="22"/>
      <c r="CQ88" s="22"/>
      <c r="CR88" s="22"/>
      <c r="CS88" s="22"/>
      <c r="CT88" s="22"/>
      <c r="CU88" s="22"/>
      <c r="CV88" s="22"/>
      <c r="CW88" s="22">
        <v>25</v>
      </c>
      <c r="CX88" s="22"/>
      <c r="CY88" s="22"/>
      <c r="CZ88" s="22"/>
      <c r="DA88" s="22"/>
      <c r="DB88" s="22"/>
      <c r="DC88" s="22"/>
      <c r="DD88" s="22"/>
      <c r="DE88" s="22"/>
      <c r="DF88" s="22"/>
      <c r="DG88" s="22"/>
      <c r="DH88" s="22"/>
      <c r="DI88" s="22"/>
      <c r="DJ88" s="22"/>
      <c r="DK88" s="22"/>
      <c r="DL88" s="22"/>
      <c r="DM88" s="22"/>
      <c r="DN88" s="22"/>
      <c r="DO88" s="22"/>
      <c r="DP88" s="22"/>
      <c r="DQ88" s="22"/>
      <c r="DR88" s="22"/>
      <c r="DS88" s="22"/>
      <c r="DT88" s="22"/>
      <c r="DU88" s="22"/>
      <c r="DV88" s="22"/>
      <c r="DW88" s="22"/>
      <c r="DX88" s="22"/>
      <c r="DY88" s="22"/>
      <c r="DZ88" s="22"/>
      <c r="EA88" s="22"/>
      <c r="EB88" s="22"/>
      <c r="EC88" s="22"/>
      <c r="ED88" s="22"/>
      <c r="EE88" s="22"/>
      <c r="EF88" s="22"/>
      <c r="EG88" s="22"/>
      <c r="EH88" s="22"/>
      <c r="EI88" s="22"/>
      <c r="EJ88" s="22"/>
      <c r="EK88" s="22"/>
      <c r="EL88" s="22"/>
      <c r="EM88" s="22"/>
      <c r="EN88" s="22"/>
      <c r="EO88" s="22"/>
      <c r="EP88" s="22"/>
      <c r="EQ88" s="22"/>
      <c r="ER88" s="22"/>
      <c r="ES88" s="22"/>
      <c r="ET88" s="22"/>
      <c r="EU88" s="22"/>
      <c r="EV88" s="22"/>
      <c r="EW88" s="22"/>
      <c r="EX88" s="22"/>
      <c r="EY88" s="22"/>
      <c r="EZ88" s="22"/>
      <c r="FA88" s="22"/>
      <c r="FB88" s="22"/>
      <c r="FC88" s="22"/>
      <c r="FD88" s="22"/>
      <c r="FE88" s="22"/>
      <c r="FF88" s="22"/>
      <c r="FG88" s="22"/>
      <c r="FH88" s="22"/>
      <c r="FI88" s="22"/>
      <c r="FJ88" s="22"/>
      <c r="FK88" s="22"/>
      <c r="FL88" s="22"/>
      <c r="FM88" s="22"/>
      <c r="FN88" s="22"/>
      <c r="FO88" s="22"/>
      <c r="FP88" s="22"/>
      <c r="FQ88" s="22"/>
      <c r="FU88" s="22"/>
      <c r="FV88" s="22"/>
      <c r="GG88" s="22">
        <v>115</v>
      </c>
    </row>
    <row r="89" spans="1:189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2"/>
      <c r="CD89" s="22"/>
      <c r="CE89" s="22"/>
      <c r="CF89" s="22"/>
      <c r="CG89" s="22"/>
      <c r="CH89" s="22"/>
      <c r="CI89" s="22"/>
      <c r="CJ89" s="22"/>
      <c r="CK89" s="22"/>
      <c r="CL89" s="22"/>
      <c r="CO89" s="22"/>
      <c r="CP89" s="22"/>
      <c r="CQ89" s="22"/>
      <c r="CR89" s="22">
        <v>85</v>
      </c>
      <c r="CS89" s="22"/>
      <c r="CT89" s="22"/>
      <c r="CU89" s="22"/>
      <c r="CV89" s="22"/>
      <c r="CW89" s="22"/>
      <c r="CX89" s="22"/>
      <c r="CY89" s="22"/>
      <c r="CZ89" s="22"/>
      <c r="DA89" s="22"/>
      <c r="DB89" s="22"/>
      <c r="DC89" s="22"/>
      <c r="DD89" s="22"/>
      <c r="DE89" s="22"/>
      <c r="DF89" s="22"/>
      <c r="DG89" s="22"/>
      <c r="DH89" s="22"/>
      <c r="DI89" s="22"/>
      <c r="DJ89" s="22"/>
      <c r="DK89" s="22"/>
      <c r="DL89" s="22"/>
      <c r="DM89" s="22"/>
      <c r="DN89" s="22"/>
      <c r="DO89" s="22"/>
      <c r="DP89" s="22"/>
      <c r="DQ89" s="22"/>
      <c r="DR89" s="22"/>
      <c r="DS89" s="22"/>
      <c r="DT89" s="22"/>
      <c r="DU89" s="22"/>
      <c r="DV89" s="22"/>
      <c r="DW89" s="22"/>
      <c r="DX89" s="22"/>
      <c r="DY89" s="22"/>
      <c r="DZ89" s="22"/>
      <c r="EA89" s="22"/>
      <c r="EB89" s="22"/>
      <c r="EC89" s="22"/>
      <c r="ED89" s="22"/>
      <c r="EE89" s="22"/>
      <c r="EF89" s="22"/>
      <c r="EG89" s="22"/>
      <c r="EH89" s="22"/>
      <c r="EI89" s="22"/>
      <c r="EJ89" s="22"/>
      <c r="EK89" s="22"/>
      <c r="EL89" s="22"/>
      <c r="EM89" s="22"/>
      <c r="EN89" s="22"/>
      <c r="EO89" s="22"/>
      <c r="EP89" s="22"/>
      <c r="EQ89" s="22"/>
      <c r="ER89" s="22"/>
      <c r="ES89" s="22"/>
      <c r="ET89" s="22"/>
      <c r="EU89" s="22"/>
      <c r="EV89" s="22"/>
      <c r="EW89" s="22"/>
      <c r="EX89" s="22"/>
      <c r="EY89" s="22"/>
      <c r="EZ89" s="22"/>
      <c r="FA89" s="22"/>
      <c r="FB89" s="22"/>
      <c r="FC89" s="22"/>
      <c r="FD89" s="22"/>
      <c r="FE89" s="22"/>
      <c r="FF89" s="22"/>
      <c r="FG89" s="22"/>
      <c r="FH89" s="22"/>
      <c r="FI89" s="22"/>
      <c r="FJ89" s="22"/>
      <c r="FK89" s="22"/>
      <c r="FL89" s="22"/>
      <c r="FM89" s="22"/>
      <c r="FN89" s="22"/>
      <c r="FO89" s="22"/>
      <c r="FP89" s="22"/>
      <c r="FQ89" s="22"/>
      <c r="FU89" s="22"/>
      <c r="FV89" s="22"/>
      <c r="GG89" s="22">
        <v>85</v>
      </c>
    </row>
    <row r="90" spans="1:189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2"/>
      <c r="CD90" s="22"/>
      <c r="CE90" s="22"/>
      <c r="CF90" s="22"/>
      <c r="CG90" s="22"/>
      <c r="CH90" s="22"/>
      <c r="CI90" s="22"/>
      <c r="CJ90" s="22"/>
      <c r="CK90" s="22"/>
      <c r="CL90" s="22"/>
      <c r="CO90" s="22"/>
      <c r="CP90" s="22"/>
      <c r="CQ90" s="22"/>
      <c r="CR90" s="22">
        <v>80</v>
      </c>
      <c r="CS90" s="22"/>
      <c r="CT90" s="22"/>
      <c r="CU90" s="22"/>
      <c r="CV90" s="22"/>
      <c r="CW90" s="22"/>
      <c r="CX90" s="22"/>
      <c r="CY90" s="22"/>
      <c r="CZ90" s="22"/>
      <c r="DA90" s="22"/>
      <c r="DB90" s="22"/>
      <c r="DC90" s="22"/>
      <c r="DD90" s="22"/>
      <c r="DE90" s="22"/>
      <c r="DF90" s="22"/>
      <c r="DG90" s="22"/>
      <c r="DH90" s="22"/>
      <c r="DI90" s="22"/>
      <c r="DJ90" s="22"/>
      <c r="DK90" s="22"/>
      <c r="DL90" s="22"/>
      <c r="DM90" s="22"/>
      <c r="DN90" s="22"/>
      <c r="DO90" s="22"/>
      <c r="DP90" s="22"/>
      <c r="DQ90" s="22"/>
      <c r="DR90" s="22"/>
      <c r="DS90" s="22"/>
      <c r="DT90" s="22"/>
      <c r="DU90" s="22"/>
      <c r="DV90" s="22"/>
      <c r="DW90" s="22"/>
      <c r="DX90" s="22"/>
      <c r="DY90" s="22"/>
      <c r="DZ90" s="22"/>
      <c r="EA90" s="22"/>
      <c r="EB90" s="22"/>
      <c r="EC90" s="22"/>
      <c r="ED90" s="22"/>
      <c r="EE90" s="22"/>
      <c r="EF90" s="22"/>
      <c r="EG90" s="22"/>
      <c r="EH90" s="22"/>
      <c r="EI90" s="22"/>
      <c r="EJ90" s="22"/>
      <c r="EK90" s="22"/>
      <c r="EL90" s="22"/>
      <c r="EM90" s="22"/>
      <c r="EN90" s="22"/>
      <c r="EO90" s="22"/>
      <c r="EP90" s="22"/>
      <c r="EQ90" s="22"/>
      <c r="ER90" s="22"/>
      <c r="ES90" s="22"/>
      <c r="ET90" s="22"/>
      <c r="EU90" s="22"/>
      <c r="EV90" s="22"/>
      <c r="EW90" s="22"/>
      <c r="EX90" s="22"/>
      <c r="EY90" s="22"/>
      <c r="EZ90" s="22"/>
      <c r="FA90" s="22"/>
      <c r="FB90" s="22"/>
      <c r="FC90" s="22"/>
      <c r="FD90" s="22"/>
      <c r="FE90" s="22"/>
      <c r="FF90" s="22"/>
      <c r="FG90" s="22"/>
      <c r="FH90" s="22"/>
      <c r="FI90" s="22"/>
      <c r="FJ90" s="22"/>
      <c r="FK90" s="22"/>
      <c r="FL90" s="22"/>
      <c r="FM90" s="22"/>
      <c r="FN90" s="22"/>
      <c r="FO90" s="22"/>
      <c r="FP90" s="22"/>
      <c r="FQ90" s="22"/>
      <c r="FU90" s="22"/>
      <c r="FV90" s="22"/>
      <c r="GG90" s="22">
        <v>80</v>
      </c>
    </row>
    <row r="91" spans="1:189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22"/>
      <c r="CI91" s="22"/>
      <c r="CJ91" s="22"/>
      <c r="CK91" s="22"/>
      <c r="CL91" s="22"/>
      <c r="CO91" s="22"/>
      <c r="CP91" s="22"/>
      <c r="CQ91" s="22"/>
      <c r="CR91" s="22">
        <v>60</v>
      </c>
      <c r="CS91" s="22"/>
      <c r="CT91" s="22"/>
      <c r="CU91" s="22"/>
      <c r="CV91" s="22"/>
      <c r="CW91" s="22"/>
      <c r="CX91" s="22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22"/>
      <c r="EH91" s="22"/>
      <c r="EI91" s="22"/>
      <c r="EJ91" s="22"/>
      <c r="EK91" s="22"/>
      <c r="EL91" s="22"/>
      <c r="EM91" s="22"/>
      <c r="EN91" s="22"/>
      <c r="EO91" s="22"/>
      <c r="EP91" s="22"/>
      <c r="EQ91" s="22"/>
      <c r="ER91" s="22"/>
      <c r="ES91" s="22"/>
      <c r="ET91" s="22"/>
      <c r="EU91" s="22"/>
      <c r="EV91" s="22"/>
      <c r="EW91" s="22"/>
      <c r="EX91" s="22"/>
      <c r="EY91" s="22"/>
      <c r="EZ91" s="22"/>
      <c r="FA91" s="22"/>
      <c r="FB91" s="22"/>
      <c r="FC91" s="22"/>
      <c r="FD91" s="22"/>
      <c r="FE91" s="22"/>
      <c r="FF91" s="22"/>
      <c r="FG91" s="22"/>
      <c r="FH91" s="22"/>
      <c r="FI91" s="22"/>
      <c r="FJ91" s="22"/>
      <c r="FK91" s="22"/>
      <c r="FL91" s="22"/>
      <c r="FM91" s="22"/>
      <c r="FN91" s="22"/>
      <c r="FO91" s="22"/>
      <c r="FP91" s="22"/>
      <c r="FQ91" s="22"/>
      <c r="FU91" s="22"/>
      <c r="FV91" s="22"/>
      <c r="GG91" s="22">
        <v>60</v>
      </c>
    </row>
    <row r="92" spans="1:189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22"/>
      <c r="CI92" s="22"/>
      <c r="CJ92" s="22"/>
      <c r="CK92" s="22"/>
      <c r="CL92" s="22"/>
      <c r="CO92" s="22"/>
      <c r="CP92" s="22"/>
      <c r="CQ92" s="22"/>
      <c r="CR92" s="22">
        <v>66</v>
      </c>
      <c r="CS92" s="22"/>
      <c r="CT92" s="22"/>
      <c r="CU92" s="22"/>
      <c r="CV92" s="22"/>
      <c r="CW92" s="22"/>
      <c r="CX92" s="22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22"/>
      <c r="DK92" s="22"/>
      <c r="DL92" s="22"/>
      <c r="DM92" s="22"/>
      <c r="DN92" s="22"/>
      <c r="DO92" s="22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22"/>
      <c r="EC92" s="22"/>
      <c r="ED92" s="22"/>
      <c r="EE92" s="22"/>
      <c r="EF92" s="22"/>
      <c r="EG92" s="22"/>
      <c r="EH92" s="22"/>
      <c r="EI92" s="22"/>
      <c r="EJ92" s="22"/>
      <c r="EK92" s="22"/>
      <c r="EL92" s="22"/>
      <c r="EM92" s="22"/>
      <c r="EN92" s="22"/>
      <c r="EO92" s="22"/>
      <c r="EP92" s="22"/>
      <c r="EQ92" s="22"/>
      <c r="ER92" s="22"/>
      <c r="ES92" s="22"/>
      <c r="ET92" s="22"/>
      <c r="EU92" s="22"/>
      <c r="EV92" s="22"/>
      <c r="EW92" s="22"/>
      <c r="EX92" s="22"/>
      <c r="EY92" s="22"/>
      <c r="EZ92" s="22"/>
      <c r="FA92" s="22"/>
      <c r="FB92" s="22"/>
      <c r="FC92" s="22"/>
      <c r="FD92" s="22"/>
      <c r="FE92" s="22"/>
      <c r="FF92" s="22"/>
      <c r="FG92" s="22"/>
      <c r="FH92" s="22"/>
      <c r="FI92" s="22"/>
      <c r="FJ92" s="22"/>
      <c r="FK92" s="22"/>
      <c r="FL92" s="22"/>
      <c r="FM92" s="22"/>
      <c r="FN92" s="22"/>
      <c r="FO92" s="22"/>
      <c r="FP92" s="22"/>
      <c r="FQ92" s="22"/>
      <c r="FU92" s="22"/>
      <c r="FV92" s="22"/>
      <c r="GG92" s="22">
        <v>66</v>
      </c>
    </row>
    <row r="93" spans="1:189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22"/>
      <c r="CI93" s="22"/>
      <c r="CJ93" s="22"/>
      <c r="CK93" s="22"/>
      <c r="CL93" s="22"/>
      <c r="CO93" s="22"/>
      <c r="CP93" s="22"/>
      <c r="CQ93" s="22"/>
      <c r="CR93" s="22">
        <v>1375</v>
      </c>
      <c r="CS93" s="22"/>
      <c r="CT93" s="22"/>
      <c r="CU93" s="22"/>
      <c r="CV93" s="22"/>
      <c r="CW93" s="22"/>
      <c r="CX93" s="22"/>
      <c r="CY93" s="22"/>
      <c r="CZ93" s="22">
        <v>600</v>
      </c>
      <c r="DA93" s="22"/>
      <c r="DB93" s="22"/>
      <c r="DC93" s="22"/>
      <c r="DD93" s="22"/>
      <c r="DE93" s="22"/>
      <c r="DF93" s="22"/>
      <c r="DG93" s="22"/>
      <c r="DH93" s="22"/>
      <c r="DI93" s="22"/>
      <c r="DJ93" s="22"/>
      <c r="DK93" s="22"/>
      <c r="DL93" s="22"/>
      <c r="DM93" s="22"/>
      <c r="DN93" s="22"/>
      <c r="DO93" s="22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22"/>
      <c r="EC93" s="22"/>
      <c r="ED93" s="22"/>
      <c r="EE93" s="22"/>
      <c r="EF93" s="22"/>
      <c r="EG93" s="22"/>
      <c r="EH93" s="22"/>
      <c r="EI93" s="22"/>
      <c r="EJ93" s="22"/>
      <c r="EK93" s="22"/>
      <c r="EL93" s="22"/>
      <c r="EM93" s="22">
        <v>100</v>
      </c>
      <c r="EN93" s="22"/>
      <c r="EO93" s="22"/>
      <c r="EP93" s="22"/>
      <c r="EQ93" s="22"/>
      <c r="ER93" s="22"/>
      <c r="ES93" s="22"/>
      <c r="ET93" s="22"/>
      <c r="EU93" s="22"/>
      <c r="EV93" s="22"/>
      <c r="EW93" s="22"/>
      <c r="EX93" s="22"/>
      <c r="EY93" s="22"/>
      <c r="EZ93" s="22"/>
      <c r="FA93" s="22"/>
      <c r="FB93" s="22"/>
      <c r="FC93" s="22"/>
      <c r="FD93" s="22"/>
      <c r="FE93" s="22"/>
      <c r="FF93" s="22"/>
      <c r="FG93" s="22"/>
      <c r="FH93" s="22"/>
      <c r="FI93" s="22"/>
      <c r="FJ93" s="22"/>
      <c r="FK93" s="22"/>
      <c r="FL93" s="22"/>
      <c r="FM93" s="22"/>
      <c r="FN93" s="22"/>
      <c r="FO93" s="22"/>
      <c r="FP93" s="22"/>
      <c r="FQ93" s="22"/>
      <c r="FU93" s="22"/>
      <c r="FV93" s="22"/>
      <c r="GG93" s="22">
        <v>2075</v>
      </c>
    </row>
    <row r="94" spans="1:189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22"/>
      <c r="CI94" s="22"/>
      <c r="CJ94" s="22"/>
      <c r="CK94" s="22"/>
      <c r="CL94" s="22"/>
      <c r="CO94" s="22"/>
      <c r="CP94" s="22"/>
      <c r="CQ94" s="22"/>
      <c r="CR94" s="22">
        <v>66</v>
      </c>
      <c r="CS94" s="22"/>
      <c r="CT94" s="22"/>
      <c r="CU94" s="22"/>
      <c r="CV94" s="22"/>
      <c r="CW94" s="22"/>
      <c r="CX94" s="22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22"/>
      <c r="DK94" s="22"/>
      <c r="DL94" s="22"/>
      <c r="DM94" s="22"/>
      <c r="DN94" s="22"/>
      <c r="DO94" s="22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22"/>
      <c r="EC94" s="22"/>
      <c r="ED94" s="22"/>
      <c r="EE94" s="22"/>
      <c r="EF94" s="22"/>
      <c r="EG94" s="22"/>
      <c r="EH94" s="22"/>
      <c r="EI94" s="22"/>
      <c r="EJ94" s="22"/>
      <c r="EK94" s="22"/>
      <c r="EL94" s="22"/>
      <c r="EM94" s="22"/>
      <c r="EN94" s="22"/>
      <c r="EO94" s="22"/>
      <c r="EP94" s="22"/>
      <c r="EQ94" s="22"/>
      <c r="ER94" s="22"/>
      <c r="ES94" s="22"/>
      <c r="ET94" s="22"/>
      <c r="EU94" s="22"/>
      <c r="EV94" s="22"/>
      <c r="EW94" s="22"/>
      <c r="EX94" s="22"/>
      <c r="EY94" s="22"/>
      <c r="EZ94" s="22"/>
      <c r="FA94" s="22"/>
      <c r="FB94" s="22"/>
      <c r="FC94" s="22"/>
      <c r="FD94" s="22"/>
      <c r="FE94" s="22"/>
      <c r="FF94" s="22"/>
      <c r="FG94" s="22"/>
      <c r="FH94" s="22"/>
      <c r="FI94" s="22"/>
      <c r="FJ94" s="22"/>
      <c r="FK94" s="22"/>
      <c r="FL94" s="22"/>
      <c r="FM94" s="22"/>
      <c r="FN94" s="22"/>
      <c r="FO94" s="22"/>
      <c r="FP94" s="22"/>
      <c r="FQ94" s="22"/>
      <c r="FU94" s="22"/>
      <c r="FV94" s="22"/>
      <c r="GG94" s="22">
        <v>66</v>
      </c>
    </row>
    <row r="95" spans="1:189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2"/>
      <c r="CD95" s="22"/>
      <c r="CE95" s="22"/>
      <c r="CF95" s="22"/>
      <c r="CG95" s="22"/>
      <c r="CH95" s="22"/>
      <c r="CI95" s="22"/>
      <c r="CJ95" s="22"/>
      <c r="CK95" s="22"/>
      <c r="CL95" s="22"/>
      <c r="CO95" s="22"/>
      <c r="CP95" s="22"/>
      <c r="CQ95" s="22"/>
      <c r="CR95" s="22">
        <v>80</v>
      </c>
      <c r="CS95" s="22"/>
      <c r="CT95" s="22"/>
      <c r="CU95" s="22"/>
      <c r="CV95" s="22"/>
      <c r="CW95" s="22"/>
      <c r="CX95" s="22"/>
      <c r="CY95" s="22"/>
      <c r="CZ95" s="22"/>
      <c r="DA95" s="22"/>
      <c r="DB95" s="22"/>
      <c r="DC95" s="22"/>
      <c r="DD95" s="22"/>
      <c r="DE95" s="22"/>
      <c r="DF95" s="22"/>
      <c r="DG95" s="22"/>
      <c r="DH95" s="22"/>
      <c r="DI95" s="22"/>
      <c r="DJ95" s="22"/>
      <c r="DK95" s="22"/>
      <c r="DL95" s="22"/>
      <c r="DM95" s="22"/>
      <c r="DN95" s="22"/>
      <c r="DO95" s="22"/>
      <c r="DP95" s="22"/>
      <c r="DQ95" s="22"/>
      <c r="DR95" s="22"/>
      <c r="DS95" s="22"/>
      <c r="DT95" s="22"/>
      <c r="DU95" s="22"/>
      <c r="DV95" s="22"/>
      <c r="DW95" s="22"/>
      <c r="DX95" s="22"/>
      <c r="DY95" s="22"/>
      <c r="DZ95" s="22"/>
      <c r="EA95" s="22"/>
      <c r="EB95" s="22"/>
      <c r="EC95" s="22"/>
      <c r="ED95" s="22"/>
      <c r="EE95" s="22"/>
      <c r="EF95" s="22"/>
      <c r="EG95" s="22"/>
      <c r="EH95" s="22"/>
      <c r="EI95" s="22"/>
      <c r="EJ95" s="22"/>
      <c r="EK95" s="22"/>
      <c r="EL95" s="22"/>
      <c r="EM95" s="22"/>
      <c r="EN95" s="22"/>
      <c r="EO95" s="22"/>
      <c r="EP95" s="22"/>
      <c r="EQ95" s="22"/>
      <c r="ER95" s="22"/>
      <c r="ES95" s="22"/>
      <c r="ET95" s="22"/>
      <c r="EU95" s="22"/>
      <c r="EV95" s="22"/>
      <c r="EW95" s="22"/>
      <c r="EX95" s="22"/>
      <c r="EY95" s="22"/>
      <c r="EZ95" s="22"/>
      <c r="FA95" s="22"/>
      <c r="FB95" s="22"/>
      <c r="FC95" s="22"/>
      <c r="FD95" s="22"/>
      <c r="FE95" s="22"/>
      <c r="FF95" s="22"/>
      <c r="FG95" s="22"/>
      <c r="FH95" s="22"/>
      <c r="FI95" s="22"/>
      <c r="FJ95" s="22"/>
      <c r="FK95" s="22"/>
      <c r="FL95" s="22"/>
      <c r="FM95" s="22"/>
      <c r="FN95" s="22"/>
      <c r="FO95" s="22"/>
      <c r="FP95" s="22"/>
      <c r="FQ95" s="22"/>
      <c r="FU95" s="22"/>
      <c r="FV95" s="22"/>
      <c r="GG95" s="22">
        <v>80</v>
      </c>
    </row>
    <row r="96" spans="1:189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  <c r="BS96" s="22"/>
      <c r="BT96" s="22"/>
      <c r="BU96" s="22"/>
      <c r="BV96" s="22"/>
      <c r="BW96" s="22"/>
      <c r="BX96" s="22"/>
      <c r="BY96" s="22"/>
      <c r="BZ96" s="22"/>
      <c r="CA96" s="22"/>
      <c r="CB96" s="22"/>
      <c r="CC96" s="22"/>
      <c r="CD96" s="22"/>
      <c r="CE96" s="22"/>
      <c r="CF96" s="22"/>
      <c r="CG96" s="22"/>
      <c r="CH96" s="22"/>
      <c r="CI96" s="22"/>
      <c r="CJ96" s="22"/>
      <c r="CK96" s="22"/>
      <c r="CL96" s="22"/>
      <c r="CO96" s="22"/>
      <c r="CP96" s="22"/>
      <c r="CQ96" s="22"/>
      <c r="CR96" s="22"/>
      <c r="CS96" s="22"/>
      <c r="CT96" s="22"/>
      <c r="CU96" s="22"/>
      <c r="CV96" s="22"/>
      <c r="CW96" s="22"/>
      <c r="CX96" s="22"/>
      <c r="CY96" s="22"/>
      <c r="CZ96" s="22"/>
      <c r="DA96" s="22"/>
      <c r="DB96" s="22"/>
      <c r="DC96" s="22"/>
      <c r="DD96" s="22"/>
      <c r="DE96" s="22"/>
      <c r="DF96" s="22"/>
      <c r="DG96" s="22"/>
      <c r="DH96" s="22"/>
      <c r="DI96" s="22"/>
      <c r="DJ96" s="22"/>
      <c r="DK96" s="22"/>
      <c r="DL96" s="22"/>
      <c r="DM96" s="22"/>
      <c r="DN96" s="22"/>
      <c r="DO96" s="22"/>
      <c r="DP96" s="22"/>
      <c r="DQ96" s="22"/>
      <c r="DR96" s="22"/>
      <c r="DS96" s="22"/>
      <c r="DT96" s="22"/>
      <c r="DU96" s="22"/>
      <c r="DV96" s="22"/>
      <c r="DW96" s="22"/>
      <c r="DX96" s="22"/>
      <c r="DY96" s="22"/>
      <c r="DZ96" s="22"/>
      <c r="EA96" s="22"/>
      <c r="EB96" s="22"/>
      <c r="EC96" s="22"/>
      <c r="ED96" s="22"/>
      <c r="EE96" s="22"/>
      <c r="EF96" s="22"/>
      <c r="EG96" s="22"/>
      <c r="EH96" s="22"/>
      <c r="EI96" s="22"/>
      <c r="EJ96" s="22"/>
      <c r="EK96" s="22"/>
      <c r="EL96" s="22"/>
      <c r="EM96" s="22"/>
      <c r="EN96" s="22"/>
      <c r="EO96" s="22"/>
      <c r="EP96" s="22"/>
      <c r="EQ96" s="22"/>
      <c r="ER96" s="22"/>
      <c r="ES96" s="22"/>
      <c r="ET96" s="22"/>
      <c r="EU96" s="22"/>
      <c r="EV96" s="22"/>
      <c r="EW96" s="22"/>
      <c r="EX96" s="22"/>
      <c r="EY96" s="22"/>
      <c r="EZ96" s="22"/>
      <c r="FA96" s="22"/>
      <c r="FB96" s="22"/>
      <c r="FC96" s="22"/>
      <c r="FD96" s="22"/>
      <c r="FE96" s="22"/>
      <c r="FF96" s="22"/>
      <c r="FG96" s="22"/>
      <c r="FH96" s="22"/>
      <c r="FI96" s="22"/>
      <c r="FJ96" s="22"/>
      <c r="FK96" s="22"/>
      <c r="FL96" s="22"/>
      <c r="FM96" s="22"/>
      <c r="FN96" s="22"/>
      <c r="FO96" s="22"/>
      <c r="FP96" s="22"/>
      <c r="FQ96" s="22"/>
      <c r="FU96" s="22"/>
      <c r="FV96" s="22"/>
      <c r="GG96" s="22">
        <v>0</v>
      </c>
    </row>
    <row r="97" spans="1:189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  <c r="BS97" s="22"/>
      <c r="BT97" s="22"/>
      <c r="BU97" s="22"/>
      <c r="BV97" s="22"/>
      <c r="BW97" s="22"/>
      <c r="BX97" s="22"/>
      <c r="BY97" s="22"/>
      <c r="BZ97" s="22"/>
      <c r="CA97" s="22"/>
      <c r="CB97" s="22"/>
      <c r="CC97" s="22"/>
      <c r="CD97" s="22"/>
      <c r="CE97" s="22"/>
      <c r="CF97" s="22"/>
      <c r="CG97" s="22"/>
      <c r="CH97" s="22"/>
      <c r="CI97" s="22"/>
      <c r="CJ97" s="22"/>
      <c r="CK97" s="22"/>
      <c r="CL97" s="22"/>
      <c r="CO97" s="22"/>
      <c r="CP97" s="22"/>
      <c r="CQ97" s="22"/>
      <c r="CR97" s="22"/>
      <c r="CS97" s="22"/>
      <c r="CT97" s="22"/>
      <c r="CU97" s="22"/>
      <c r="CV97" s="22"/>
      <c r="CW97" s="22"/>
      <c r="CX97" s="22"/>
      <c r="CY97" s="22"/>
      <c r="CZ97" s="22"/>
      <c r="DA97" s="22"/>
      <c r="DB97" s="22"/>
      <c r="DC97" s="22"/>
      <c r="DD97" s="22"/>
      <c r="DE97" s="22"/>
      <c r="DF97" s="22"/>
      <c r="DG97" s="22"/>
      <c r="DH97" s="22"/>
      <c r="DI97" s="22"/>
      <c r="DJ97" s="22"/>
      <c r="DK97" s="22"/>
      <c r="DL97" s="22"/>
      <c r="DM97" s="22"/>
      <c r="DN97" s="22"/>
      <c r="DO97" s="22"/>
      <c r="DP97" s="22"/>
      <c r="DQ97" s="22"/>
      <c r="DR97" s="22"/>
      <c r="DS97" s="22"/>
      <c r="DT97" s="22"/>
      <c r="DU97" s="22"/>
      <c r="DV97" s="22"/>
      <c r="DW97" s="22"/>
      <c r="DX97" s="22"/>
      <c r="DY97" s="22"/>
      <c r="DZ97" s="22"/>
      <c r="EA97" s="22"/>
      <c r="EB97" s="22"/>
      <c r="EC97" s="22"/>
      <c r="ED97" s="22"/>
      <c r="EE97" s="22"/>
      <c r="EF97" s="22"/>
      <c r="EG97" s="22"/>
      <c r="EH97" s="22"/>
      <c r="EI97" s="22"/>
      <c r="EJ97" s="22"/>
      <c r="EK97" s="22"/>
      <c r="EL97" s="22"/>
      <c r="EM97" s="22"/>
      <c r="EN97" s="22"/>
      <c r="EO97" s="22"/>
      <c r="EP97" s="22"/>
      <c r="EQ97" s="22"/>
      <c r="ER97" s="22"/>
      <c r="ES97" s="22"/>
      <c r="ET97" s="22"/>
      <c r="EU97" s="22"/>
      <c r="EV97" s="22"/>
      <c r="EW97" s="22"/>
      <c r="EX97" s="22"/>
      <c r="EY97" s="22"/>
      <c r="EZ97" s="22"/>
      <c r="FA97" s="22"/>
      <c r="FB97" s="22"/>
      <c r="FC97" s="22"/>
      <c r="FD97" s="22"/>
      <c r="FE97" s="22"/>
      <c r="FF97" s="22"/>
      <c r="FG97" s="22"/>
      <c r="FH97" s="22"/>
      <c r="FI97" s="22"/>
      <c r="FJ97" s="22"/>
      <c r="FK97" s="22"/>
      <c r="FL97" s="22"/>
      <c r="FM97" s="22"/>
      <c r="FN97" s="22"/>
      <c r="FO97" s="22"/>
      <c r="FP97" s="22"/>
      <c r="FQ97" s="22"/>
      <c r="FU97" s="22"/>
      <c r="FV97" s="22"/>
      <c r="GG97" s="22">
        <v>0</v>
      </c>
    </row>
    <row r="98" spans="1:189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2"/>
      <c r="CD98" s="22"/>
      <c r="CE98" s="22"/>
      <c r="CF98" s="22"/>
      <c r="CG98" s="22"/>
      <c r="CH98" s="22"/>
      <c r="CI98" s="22"/>
      <c r="CJ98" s="22"/>
      <c r="CK98" s="22"/>
      <c r="CL98" s="22"/>
      <c r="CO98" s="22"/>
      <c r="CP98" s="22"/>
      <c r="CQ98" s="22"/>
      <c r="CR98" s="22"/>
      <c r="CS98" s="22"/>
      <c r="CT98" s="22"/>
      <c r="CU98" s="22"/>
      <c r="CV98" s="22"/>
      <c r="CW98" s="22"/>
      <c r="CX98" s="22"/>
      <c r="CY98" s="22"/>
      <c r="CZ98" s="22"/>
      <c r="DA98" s="22"/>
      <c r="DB98" s="22"/>
      <c r="DC98" s="22"/>
      <c r="DD98" s="22"/>
      <c r="DE98" s="22"/>
      <c r="DF98" s="22"/>
      <c r="DG98" s="22"/>
      <c r="DH98" s="22"/>
      <c r="DI98" s="22"/>
      <c r="DJ98" s="22"/>
      <c r="DK98" s="22"/>
      <c r="DL98" s="22"/>
      <c r="DM98" s="22"/>
      <c r="DN98" s="22"/>
      <c r="DO98" s="22"/>
      <c r="DP98" s="22"/>
      <c r="DQ98" s="22"/>
      <c r="DR98" s="22"/>
      <c r="DS98" s="22"/>
      <c r="DT98" s="22"/>
      <c r="DU98" s="22"/>
      <c r="DV98" s="22"/>
      <c r="DW98" s="22"/>
      <c r="DX98" s="22"/>
      <c r="DY98" s="22"/>
      <c r="DZ98" s="22"/>
      <c r="EA98" s="22"/>
      <c r="EB98" s="22"/>
      <c r="EC98" s="22"/>
      <c r="ED98" s="22"/>
      <c r="EE98" s="22"/>
      <c r="EF98" s="22"/>
      <c r="EG98" s="22"/>
      <c r="EH98" s="22"/>
      <c r="EI98" s="22"/>
      <c r="EJ98" s="22"/>
      <c r="EK98" s="22"/>
      <c r="EL98" s="22"/>
      <c r="EM98" s="22"/>
      <c r="EN98" s="22"/>
      <c r="EO98" s="22"/>
      <c r="EP98" s="22"/>
      <c r="EQ98" s="22"/>
      <c r="ER98" s="22"/>
      <c r="ES98" s="22"/>
      <c r="ET98" s="22"/>
      <c r="EU98" s="22"/>
      <c r="EV98" s="22"/>
      <c r="EW98" s="22"/>
      <c r="EX98" s="22"/>
      <c r="EY98" s="22"/>
      <c r="EZ98" s="22"/>
      <c r="FA98" s="22"/>
      <c r="FB98" s="22"/>
      <c r="FC98" s="22"/>
      <c r="FD98" s="22"/>
      <c r="FE98" s="22"/>
      <c r="FF98" s="22"/>
      <c r="FG98" s="22"/>
      <c r="FH98" s="22"/>
      <c r="FI98" s="22"/>
      <c r="FJ98" s="22"/>
      <c r="FK98" s="22"/>
      <c r="FL98" s="22"/>
      <c r="FM98" s="22"/>
      <c r="FN98" s="22"/>
      <c r="FO98" s="22"/>
      <c r="FP98" s="22"/>
      <c r="FQ98" s="22"/>
      <c r="FU98" s="22"/>
      <c r="FV98" s="22"/>
      <c r="GG98" s="22">
        <v>0</v>
      </c>
    </row>
    <row r="99" spans="1:189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  <c r="BS99" s="22"/>
      <c r="BT99" s="22"/>
      <c r="BU99" s="22"/>
      <c r="BV99" s="22"/>
      <c r="BW99" s="22"/>
      <c r="BX99" s="22"/>
      <c r="BY99" s="22"/>
      <c r="BZ99" s="22"/>
      <c r="CA99" s="22"/>
      <c r="CB99" s="22"/>
      <c r="CC99" s="22"/>
      <c r="CD99" s="22"/>
      <c r="CE99" s="22"/>
      <c r="CF99" s="22"/>
      <c r="CG99" s="22"/>
      <c r="CH99" s="22"/>
      <c r="CI99" s="22"/>
      <c r="CJ99" s="22"/>
      <c r="CK99" s="22"/>
      <c r="CL99" s="22"/>
      <c r="CO99" s="22"/>
      <c r="CP99" s="22"/>
      <c r="CQ99" s="22"/>
      <c r="CR99" s="22"/>
      <c r="CS99" s="22"/>
      <c r="CT99" s="22"/>
      <c r="CU99" s="22"/>
      <c r="CV99" s="22"/>
      <c r="CW99" s="22"/>
      <c r="CX99" s="22"/>
      <c r="CY99" s="22"/>
      <c r="CZ99" s="22"/>
      <c r="DA99" s="22"/>
      <c r="DB99" s="22"/>
      <c r="DC99" s="22"/>
      <c r="DD99" s="22"/>
      <c r="DE99" s="22"/>
      <c r="DF99" s="22"/>
      <c r="DG99" s="22"/>
      <c r="DH99" s="22"/>
      <c r="DI99" s="22"/>
      <c r="DJ99" s="22"/>
      <c r="DK99" s="22"/>
      <c r="DL99" s="22"/>
      <c r="DM99" s="22"/>
      <c r="DN99" s="22"/>
      <c r="DO99" s="22"/>
      <c r="DP99" s="22"/>
      <c r="DQ99" s="22"/>
      <c r="DR99" s="22"/>
      <c r="DS99" s="22"/>
      <c r="DT99" s="22"/>
      <c r="DU99" s="22"/>
      <c r="DV99" s="22"/>
      <c r="DW99" s="22"/>
      <c r="DX99" s="22"/>
      <c r="DY99" s="22"/>
      <c r="DZ99" s="22"/>
      <c r="EA99" s="22"/>
      <c r="EB99" s="22"/>
      <c r="EC99" s="22"/>
      <c r="ED99" s="22"/>
      <c r="EE99" s="22"/>
      <c r="EF99" s="22"/>
      <c r="EG99" s="22"/>
      <c r="EH99" s="22"/>
      <c r="EI99" s="22"/>
      <c r="EJ99" s="22"/>
      <c r="EK99" s="22"/>
      <c r="EL99" s="22">
        <v>46</v>
      </c>
      <c r="EM99" s="22"/>
      <c r="EN99" s="22"/>
      <c r="EO99" s="22"/>
      <c r="EP99" s="22"/>
      <c r="EQ99" s="22"/>
      <c r="ER99" s="22"/>
      <c r="ES99" s="22"/>
      <c r="ET99" s="22"/>
      <c r="EU99" s="22"/>
      <c r="EV99" s="22"/>
      <c r="EW99" s="22"/>
      <c r="EX99" s="22"/>
      <c r="EY99" s="22"/>
      <c r="EZ99" s="22"/>
      <c r="FA99" s="22"/>
      <c r="FB99" s="22"/>
      <c r="FC99" s="22"/>
      <c r="FD99" s="22"/>
      <c r="FE99" s="22"/>
      <c r="FF99" s="22"/>
      <c r="FG99" s="22"/>
      <c r="FH99" s="22"/>
      <c r="FI99" s="22"/>
      <c r="FJ99" s="22"/>
      <c r="FK99" s="22"/>
      <c r="FL99" s="22"/>
      <c r="FM99" s="22"/>
      <c r="FN99" s="22"/>
      <c r="FO99" s="22"/>
      <c r="FP99" s="22"/>
      <c r="FQ99" s="22"/>
      <c r="FU99" s="22"/>
      <c r="FV99" s="22"/>
      <c r="GG99" s="22">
        <v>46</v>
      </c>
    </row>
    <row r="100" spans="1:189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22"/>
      <c r="CG100" s="22"/>
      <c r="CH100" s="22"/>
      <c r="CI100" s="22"/>
      <c r="CJ100" s="22"/>
      <c r="CK100" s="22"/>
      <c r="CL100" s="22"/>
      <c r="CO100" s="22"/>
      <c r="CP100" s="22"/>
      <c r="CQ100" s="22"/>
      <c r="CR100" s="22"/>
      <c r="CS100" s="22"/>
      <c r="CT100" s="22"/>
      <c r="CU100" s="22"/>
      <c r="CV100" s="22"/>
      <c r="CW100" s="22"/>
      <c r="CX100" s="22"/>
      <c r="CY100" s="22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  <c r="DJ100" s="22"/>
      <c r="DK100" s="22"/>
      <c r="DL100" s="22"/>
      <c r="DM100" s="22"/>
      <c r="DN100" s="22"/>
      <c r="DO100" s="22"/>
      <c r="DP100" s="22"/>
      <c r="DQ100" s="22"/>
      <c r="DR100" s="22"/>
      <c r="DS100" s="22"/>
      <c r="DT100" s="22"/>
      <c r="DU100" s="22"/>
      <c r="DV100" s="22"/>
      <c r="DW100" s="22"/>
      <c r="DX100" s="22"/>
      <c r="DY100" s="22"/>
      <c r="DZ100" s="22"/>
      <c r="EA100" s="22"/>
      <c r="EB100" s="22"/>
      <c r="EC100" s="22"/>
      <c r="ED100" s="22"/>
      <c r="EE100" s="22"/>
      <c r="EF100" s="22"/>
      <c r="EG100" s="22"/>
      <c r="EH100" s="22"/>
      <c r="EI100" s="22"/>
      <c r="EJ100" s="22"/>
      <c r="EK100" s="22"/>
      <c r="EL100" s="22"/>
      <c r="EM100" s="22"/>
      <c r="EN100" s="22"/>
      <c r="EO100" s="22"/>
      <c r="EP100" s="22"/>
      <c r="EQ100" s="22"/>
      <c r="ER100" s="22"/>
      <c r="ES100" s="22"/>
      <c r="ET100" s="22"/>
      <c r="EU100" s="22"/>
      <c r="EV100" s="22"/>
      <c r="EW100" s="22"/>
      <c r="EX100" s="22"/>
      <c r="EY100" s="22"/>
      <c r="EZ100" s="22"/>
      <c r="FA100" s="22"/>
      <c r="FB100" s="22"/>
      <c r="FC100" s="22"/>
      <c r="FD100" s="22"/>
      <c r="FE100" s="22"/>
      <c r="FF100" s="22"/>
      <c r="FG100" s="22"/>
      <c r="FH100" s="22"/>
      <c r="FI100" s="22"/>
      <c r="FJ100" s="22"/>
      <c r="FK100" s="22"/>
      <c r="FL100" s="22"/>
      <c r="FM100" s="22"/>
      <c r="FN100" s="22"/>
      <c r="FO100" s="22"/>
      <c r="FP100" s="22"/>
      <c r="FQ100" s="22"/>
      <c r="FU100" s="22"/>
      <c r="FV100" s="22"/>
      <c r="GG100" s="22">
        <v>0</v>
      </c>
    </row>
    <row r="101" spans="1:189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  <c r="BS101" s="22"/>
      <c r="BT101" s="22"/>
      <c r="BU101" s="22"/>
      <c r="BV101" s="22"/>
      <c r="BW101" s="22"/>
      <c r="BX101" s="22"/>
      <c r="BY101" s="22"/>
      <c r="BZ101" s="22"/>
      <c r="CA101" s="22"/>
      <c r="CB101" s="22"/>
      <c r="CC101" s="22"/>
      <c r="CD101" s="22"/>
      <c r="CE101" s="22"/>
      <c r="CF101" s="22"/>
      <c r="CG101" s="22"/>
      <c r="CH101" s="22"/>
      <c r="CI101" s="22"/>
      <c r="CJ101" s="22"/>
      <c r="CK101" s="22"/>
      <c r="CL101" s="22"/>
      <c r="CO101" s="22"/>
      <c r="CP101" s="22"/>
      <c r="CQ101" s="22"/>
      <c r="CR101" s="22">
        <v>225</v>
      </c>
      <c r="CS101" s="22">
        <v>15</v>
      </c>
      <c r="CT101" s="22">
        <v>75</v>
      </c>
      <c r="CU101" s="22"/>
      <c r="CV101" s="22"/>
      <c r="CW101" s="22"/>
      <c r="CX101" s="22"/>
      <c r="CY101" s="22">
        <v>150</v>
      </c>
      <c r="CZ101" s="22">
        <v>204</v>
      </c>
      <c r="DA101" s="22"/>
      <c r="DB101" s="22"/>
      <c r="DC101" s="22"/>
      <c r="DD101" s="22"/>
      <c r="DE101" s="22"/>
      <c r="DF101" s="22"/>
      <c r="DG101" s="22"/>
      <c r="DH101" s="22"/>
      <c r="DI101" s="22"/>
      <c r="DJ101" s="22"/>
      <c r="DK101" s="22"/>
      <c r="DL101" s="22"/>
      <c r="DM101" s="22"/>
      <c r="DN101" s="22"/>
      <c r="DO101" s="22"/>
      <c r="DP101" s="22"/>
      <c r="DQ101" s="22"/>
      <c r="DR101" s="22"/>
      <c r="DS101" s="22"/>
      <c r="DT101" s="22"/>
      <c r="DU101" s="22"/>
      <c r="DV101" s="22"/>
      <c r="DW101" s="22"/>
      <c r="DX101" s="22"/>
      <c r="DY101" s="22"/>
      <c r="DZ101" s="22"/>
      <c r="EA101" s="22"/>
      <c r="EB101" s="22"/>
      <c r="EC101" s="22"/>
      <c r="ED101" s="22"/>
      <c r="EE101" s="22"/>
      <c r="EF101" s="22"/>
      <c r="EG101" s="22"/>
      <c r="EH101" s="22"/>
      <c r="EI101" s="22"/>
      <c r="EJ101" s="22"/>
      <c r="EK101" s="22"/>
      <c r="EL101" s="22"/>
      <c r="EM101" s="22"/>
      <c r="EN101" s="22"/>
      <c r="EO101" s="22"/>
      <c r="EP101" s="22"/>
      <c r="EQ101" s="22"/>
      <c r="ER101" s="22"/>
      <c r="ES101" s="22"/>
      <c r="ET101" s="22"/>
      <c r="EU101" s="22"/>
      <c r="EV101" s="22"/>
      <c r="EW101" s="22"/>
      <c r="EX101" s="22"/>
      <c r="EY101" s="22"/>
      <c r="EZ101" s="22"/>
      <c r="FA101" s="22"/>
      <c r="FB101" s="22"/>
      <c r="FC101" s="22"/>
      <c r="FD101" s="22"/>
      <c r="FE101" s="22"/>
      <c r="FF101" s="22"/>
      <c r="FG101" s="22"/>
      <c r="FH101" s="22"/>
      <c r="FI101" s="22"/>
      <c r="FJ101" s="22"/>
      <c r="FK101" s="22"/>
      <c r="FL101" s="22"/>
      <c r="FM101" s="22"/>
      <c r="FN101" s="22"/>
      <c r="FO101" s="22"/>
      <c r="FP101" s="22"/>
      <c r="FQ101" s="22"/>
      <c r="FU101" s="22"/>
      <c r="FV101" s="22"/>
      <c r="GG101" s="22">
        <v>669</v>
      </c>
    </row>
    <row r="102" spans="1:189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2"/>
      <c r="CD102" s="22"/>
      <c r="CE102" s="22"/>
      <c r="CF102" s="22"/>
      <c r="CG102" s="22"/>
      <c r="CH102" s="22"/>
      <c r="CI102" s="22"/>
      <c r="CJ102" s="22"/>
      <c r="CK102" s="22"/>
      <c r="CL102" s="22"/>
      <c r="CO102" s="22"/>
      <c r="CP102" s="22"/>
      <c r="CQ102" s="22"/>
      <c r="CR102" s="22"/>
      <c r="CS102" s="22"/>
      <c r="CT102" s="22"/>
      <c r="CU102" s="22"/>
      <c r="CV102" s="22"/>
      <c r="CW102" s="22"/>
      <c r="CX102" s="22"/>
      <c r="CY102" s="22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  <c r="DJ102" s="22"/>
      <c r="DK102" s="22"/>
      <c r="DL102" s="22"/>
      <c r="DM102" s="22"/>
      <c r="DN102" s="22"/>
      <c r="DO102" s="22"/>
      <c r="DP102" s="22"/>
      <c r="DQ102" s="22"/>
      <c r="DR102" s="22"/>
      <c r="DS102" s="22"/>
      <c r="DT102" s="22"/>
      <c r="DU102" s="22"/>
      <c r="DV102" s="22"/>
      <c r="DW102" s="22"/>
      <c r="DX102" s="22"/>
      <c r="DY102" s="22"/>
      <c r="DZ102" s="22"/>
      <c r="EA102" s="22"/>
      <c r="EB102" s="22"/>
      <c r="EC102" s="22"/>
      <c r="ED102" s="22"/>
      <c r="EE102" s="22"/>
      <c r="EF102" s="22"/>
      <c r="EG102" s="22"/>
      <c r="EH102" s="22"/>
      <c r="EI102" s="22"/>
      <c r="EJ102" s="22"/>
      <c r="EK102" s="22"/>
      <c r="EL102" s="22"/>
      <c r="EM102" s="22"/>
      <c r="EN102" s="22"/>
      <c r="EO102" s="22"/>
      <c r="EP102" s="22"/>
      <c r="EQ102" s="22"/>
      <c r="ER102" s="22"/>
      <c r="ES102" s="22"/>
      <c r="ET102" s="22"/>
      <c r="EU102" s="22"/>
      <c r="EV102" s="22"/>
      <c r="EW102" s="22"/>
      <c r="EX102" s="22"/>
      <c r="EY102" s="22"/>
      <c r="EZ102" s="22"/>
      <c r="FA102" s="22"/>
      <c r="FB102" s="22"/>
      <c r="FC102" s="22"/>
      <c r="FD102" s="22"/>
      <c r="FE102" s="22"/>
      <c r="FF102" s="22"/>
      <c r="FG102" s="22"/>
      <c r="FH102" s="22"/>
      <c r="FI102" s="22"/>
      <c r="FJ102" s="22"/>
      <c r="FK102" s="22"/>
      <c r="FL102" s="22"/>
      <c r="FM102" s="22"/>
      <c r="FN102" s="22"/>
      <c r="FO102" s="22"/>
      <c r="FP102" s="22"/>
      <c r="FQ102" s="22"/>
      <c r="FU102" s="22"/>
      <c r="FV102" s="22"/>
      <c r="GG102" s="22">
        <v>0</v>
      </c>
    </row>
    <row r="103" spans="1:189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>
        <v>75</v>
      </c>
      <c r="AS103" s="36"/>
      <c r="AT103" s="36"/>
      <c r="AU103" s="36"/>
      <c r="AV103" s="36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2"/>
      <c r="BO103" s="22"/>
      <c r="BP103" s="22"/>
      <c r="BQ103" s="22"/>
      <c r="BR103" s="22"/>
      <c r="BS103" s="22"/>
      <c r="BT103" s="22"/>
      <c r="BU103" s="22"/>
      <c r="BV103" s="22"/>
      <c r="BW103" s="22"/>
      <c r="BX103" s="22"/>
      <c r="BY103" s="22"/>
      <c r="BZ103" s="22"/>
      <c r="CA103" s="22"/>
      <c r="CB103" s="22"/>
      <c r="CC103" s="22"/>
      <c r="CD103" s="22"/>
      <c r="CE103" s="22"/>
      <c r="CF103" s="22"/>
      <c r="CG103" s="22"/>
      <c r="CH103" s="22"/>
      <c r="CI103" s="22"/>
      <c r="CJ103" s="22"/>
      <c r="CK103" s="22"/>
      <c r="CL103" s="22"/>
      <c r="CO103" s="22"/>
      <c r="CP103" s="22"/>
      <c r="CQ103" s="22"/>
      <c r="CR103" s="22">
        <v>87</v>
      </c>
      <c r="CS103" s="22"/>
      <c r="CT103" s="22"/>
      <c r="CU103" s="22"/>
      <c r="CV103" s="22"/>
      <c r="CW103" s="22"/>
      <c r="CX103" s="22"/>
      <c r="CY103" s="22"/>
      <c r="CZ103" s="22"/>
      <c r="DA103" s="22"/>
      <c r="DB103" s="22"/>
      <c r="DC103" s="22"/>
      <c r="DD103" s="22"/>
      <c r="DE103" s="22"/>
      <c r="DF103" s="22"/>
      <c r="DG103" s="22"/>
      <c r="DH103" s="22"/>
      <c r="DI103" s="22"/>
      <c r="DJ103" s="22"/>
      <c r="DK103" s="22"/>
      <c r="DL103" s="22"/>
      <c r="DM103" s="22"/>
      <c r="DN103" s="22"/>
      <c r="DO103" s="22"/>
      <c r="DP103" s="22"/>
      <c r="DQ103" s="22"/>
      <c r="DR103" s="22"/>
      <c r="DS103" s="22"/>
      <c r="DT103" s="22"/>
      <c r="DU103" s="22"/>
      <c r="DV103" s="22"/>
      <c r="DW103" s="22"/>
      <c r="DX103" s="22"/>
      <c r="DY103" s="22"/>
      <c r="DZ103" s="22"/>
      <c r="EA103" s="22"/>
      <c r="EB103" s="22"/>
      <c r="EC103" s="22"/>
      <c r="ED103" s="22"/>
      <c r="EE103" s="22"/>
      <c r="EF103" s="22"/>
      <c r="EG103" s="22"/>
      <c r="EH103" s="22"/>
      <c r="EI103" s="22"/>
      <c r="EJ103" s="22"/>
      <c r="EK103" s="22"/>
      <c r="EL103" s="22"/>
      <c r="EM103" s="22"/>
      <c r="EN103" s="22"/>
      <c r="EO103" s="22"/>
      <c r="EP103" s="22"/>
      <c r="EQ103" s="22"/>
      <c r="ER103" s="22"/>
      <c r="ES103" s="22"/>
      <c r="ET103" s="22"/>
      <c r="EU103" s="22"/>
      <c r="EV103" s="22"/>
      <c r="EW103" s="22"/>
      <c r="EX103" s="22"/>
      <c r="EY103" s="22"/>
      <c r="EZ103" s="22"/>
      <c r="FA103" s="22"/>
      <c r="FB103" s="22"/>
      <c r="FC103" s="22"/>
      <c r="FD103" s="22"/>
      <c r="FE103" s="22"/>
      <c r="FF103" s="22"/>
      <c r="FG103" s="22"/>
      <c r="FH103" s="22"/>
      <c r="FI103" s="22"/>
      <c r="FJ103" s="22"/>
      <c r="FK103" s="22"/>
      <c r="FL103" s="22"/>
      <c r="FM103" s="22"/>
      <c r="FN103" s="22"/>
      <c r="FO103" s="22"/>
      <c r="FP103" s="22"/>
      <c r="FQ103" s="22"/>
      <c r="FU103" s="22"/>
      <c r="FV103" s="22"/>
      <c r="GG103" s="22">
        <v>162</v>
      </c>
    </row>
    <row r="104" spans="1:189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  <c r="BS104" s="22"/>
      <c r="BT104" s="22"/>
      <c r="BU104" s="22"/>
      <c r="BV104" s="22"/>
      <c r="BW104" s="22"/>
      <c r="BX104" s="22"/>
      <c r="BY104" s="22"/>
      <c r="BZ104" s="22"/>
      <c r="CA104" s="22"/>
      <c r="CB104" s="22"/>
      <c r="CC104" s="22"/>
      <c r="CD104" s="22"/>
      <c r="CE104" s="22"/>
      <c r="CF104" s="22"/>
      <c r="CG104" s="22"/>
      <c r="CH104" s="22"/>
      <c r="CI104" s="22"/>
      <c r="CJ104" s="22"/>
      <c r="CK104" s="22"/>
      <c r="CL104" s="22"/>
      <c r="CO104" s="22"/>
      <c r="CP104" s="22"/>
      <c r="CQ104" s="22"/>
      <c r="CR104" s="22">
        <v>85</v>
      </c>
      <c r="CS104" s="22"/>
      <c r="CT104" s="22"/>
      <c r="CU104" s="22"/>
      <c r="CV104" s="22"/>
      <c r="CW104" s="22"/>
      <c r="CX104" s="22"/>
      <c r="CY104" s="22"/>
      <c r="CZ104" s="22"/>
      <c r="DA104" s="22"/>
      <c r="DB104" s="22"/>
      <c r="DC104" s="22"/>
      <c r="DD104" s="22"/>
      <c r="DE104" s="22"/>
      <c r="DF104" s="22"/>
      <c r="DG104" s="22"/>
      <c r="DH104" s="22"/>
      <c r="DI104" s="22"/>
      <c r="DJ104" s="22"/>
      <c r="DK104" s="22"/>
      <c r="DL104" s="22"/>
      <c r="DM104" s="22"/>
      <c r="DN104" s="22"/>
      <c r="DO104" s="22"/>
      <c r="DP104" s="22"/>
      <c r="DQ104" s="22"/>
      <c r="DR104" s="22"/>
      <c r="DS104" s="22"/>
      <c r="DT104" s="22"/>
      <c r="DU104" s="22"/>
      <c r="DV104" s="22"/>
      <c r="DW104" s="22"/>
      <c r="DX104" s="22"/>
      <c r="DY104" s="22"/>
      <c r="DZ104" s="22"/>
      <c r="EA104" s="22"/>
      <c r="EB104" s="22"/>
      <c r="EC104" s="22"/>
      <c r="ED104" s="22"/>
      <c r="EE104" s="22"/>
      <c r="EF104" s="22"/>
      <c r="EG104" s="22"/>
      <c r="EH104" s="22"/>
      <c r="EI104" s="22"/>
      <c r="EJ104" s="22"/>
      <c r="EK104" s="22"/>
      <c r="EL104" s="22"/>
      <c r="EM104" s="22"/>
      <c r="EN104" s="22"/>
      <c r="EO104" s="22"/>
      <c r="EP104" s="22"/>
      <c r="EQ104" s="22"/>
      <c r="ER104" s="22"/>
      <c r="ES104" s="22"/>
      <c r="ET104" s="22"/>
      <c r="EU104" s="22"/>
      <c r="EV104" s="22"/>
      <c r="EW104" s="22"/>
      <c r="EX104" s="22"/>
      <c r="EY104" s="22"/>
      <c r="EZ104" s="22"/>
      <c r="FA104" s="22"/>
      <c r="FB104" s="22"/>
      <c r="FC104" s="22"/>
      <c r="FD104" s="22"/>
      <c r="FE104" s="22"/>
      <c r="FF104" s="22"/>
      <c r="FG104" s="22"/>
      <c r="FH104" s="22"/>
      <c r="FI104" s="22"/>
      <c r="FJ104" s="22"/>
      <c r="FK104" s="22"/>
      <c r="FL104" s="22"/>
      <c r="FM104" s="22"/>
      <c r="FN104" s="22"/>
      <c r="FO104" s="22"/>
      <c r="FP104" s="22"/>
      <c r="FQ104" s="22"/>
      <c r="FU104" s="22"/>
      <c r="FV104" s="22"/>
      <c r="GG104" s="22">
        <v>85</v>
      </c>
    </row>
    <row r="105" spans="1:189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  <c r="BS105" s="22"/>
      <c r="BT105" s="22"/>
      <c r="BU105" s="22"/>
      <c r="BV105" s="22"/>
      <c r="BW105" s="22"/>
      <c r="BX105" s="22"/>
      <c r="BY105" s="22"/>
      <c r="BZ105" s="22"/>
      <c r="CA105" s="22"/>
      <c r="CB105" s="22"/>
      <c r="CC105" s="22"/>
      <c r="CD105" s="22"/>
      <c r="CE105" s="22"/>
      <c r="CF105" s="22"/>
      <c r="CG105" s="22"/>
      <c r="CH105" s="22"/>
      <c r="CI105" s="22"/>
      <c r="CJ105" s="22"/>
      <c r="CK105" s="22"/>
      <c r="CL105" s="22"/>
      <c r="CO105" s="22"/>
      <c r="CP105" s="22"/>
      <c r="CQ105" s="22"/>
      <c r="CR105" s="22"/>
      <c r="CS105" s="22"/>
      <c r="CT105" s="22">
        <v>40</v>
      </c>
      <c r="CU105" s="22"/>
      <c r="CV105" s="22"/>
      <c r="CW105" s="22"/>
      <c r="CX105" s="22"/>
      <c r="CY105" s="22"/>
      <c r="CZ105" s="22"/>
      <c r="DA105" s="22"/>
      <c r="DB105" s="22">
        <v>40</v>
      </c>
      <c r="DC105" s="22"/>
      <c r="DD105" s="22"/>
      <c r="DE105" s="22"/>
      <c r="DF105" s="22"/>
      <c r="DG105" s="22"/>
      <c r="DH105" s="22">
        <v>20</v>
      </c>
      <c r="DI105" s="22"/>
      <c r="DJ105" s="22"/>
      <c r="DK105" s="22"/>
      <c r="DL105" s="22"/>
      <c r="DM105" s="22"/>
      <c r="DN105" s="22"/>
      <c r="DO105" s="22"/>
      <c r="DP105" s="22"/>
      <c r="DQ105" s="22"/>
      <c r="DR105" s="22"/>
      <c r="DS105" s="22"/>
      <c r="DT105" s="22"/>
      <c r="DU105" s="22"/>
      <c r="DV105" s="22"/>
      <c r="DW105" s="22"/>
      <c r="DX105" s="22"/>
      <c r="DY105" s="22"/>
      <c r="DZ105" s="22"/>
      <c r="EA105" s="22"/>
      <c r="EB105" s="22"/>
      <c r="EC105" s="22"/>
      <c r="ED105" s="22"/>
      <c r="EE105" s="22"/>
      <c r="EF105" s="22"/>
      <c r="EG105" s="22"/>
      <c r="EH105" s="22"/>
      <c r="EI105" s="22"/>
      <c r="EJ105" s="22"/>
      <c r="EK105" s="22"/>
      <c r="EL105" s="22"/>
      <c r="EM105" s="22"/>
      <c r="EN105" s="22"/>
      <c r="EO105" s="22"/>
      <c r="EP105" s="22"/>
      <c r="EQ105" s="22"/>
      <c r="ER105" s="22"/>
      <c r="ES105" s="22"/>
      <c r="ET105" s="22"/>
      <c r="EU105" s="22"/>
      <c r="EV105" s="22"/>
      <c r="EW105" s="22"/>
      <c r="EX105" s="22"/>
      <c r="EY105" s="22"/>
      <c r="EZ105" s="22"/>
      <c r="FA105" s="22"/>
      <c r="FB105" s="22"/>
      <c r="FC105" s="22"/>
      <c r="FD105" s="22"/>
      <c r="FE105" s="22"/>
      <c r="FF105" s="22"/>
      <c r="FG105" s="22"/>
      <c r="FH105" s="22"/>
      <c r="FI105" s="22"/>
      <c r="FJ105" s="22"/>
      <c r="FK105" s="22"/>
      <c r="FL105" s="22"/>
      <c r="FM105" s="22"/>
      <c r="FN105" s="22"/>
      <c r="FO105" s="22"/>
      <c r="FP105" s="22"/>
      <c r="FQ105" s="22"/>
      <c r="FU105" s="22"/>
      <c r="FV105" s="22"/>
      <c r="GG105" s="22">
        <v>100</v>
      </c>
    </row>
    <row r="106" spans="1:189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F106" s="22">
        <v>60</v>
      </c>
      <c r="G106" s="22">
        <v>304</v>
      </c>
      <c r="I106" s="22">
        <v>500</v>
      </c>
      <c r="K106" s="22">
        <v>500</v>
      </c>
      <c r="M106" s="22">
        <v>1500</v>
      </c>
      <c r="O106" s="22">
        <v>1004</v>
      </c>
      <c r="R106" s="22">
        <v>500</v>
      </c>
      <c r="S106" s="22">
        <v>1000</v>
      </c>
      <c r="V106" s="22">
        <v>250</v>
      </c>
      <c r="X106" s="36">
        <v>150</v>
      </c>
      <c r="Y106" s="36">
        <v>50</v>
      </c>
      <c r="Z106" s="36">
        <v>100</v>
      </c>
      <c r="AA106" s="36">
        <v>200</v>
      </c>
      <c r="AB106" s="36">
        <v>100</v>
      </c>
      <c r="AC106" s="36"/>
      <c r="AD106" s="36"/>
      <c r="AE106" s="36">
        <v>150</v>
      </c>
      <c r="AF106" s="36"/>
      <c r="AG106" s="36"/>
      <c r="AH106" s="36"/>
      <c r="AI106" s="36"/>
      <c r="AJ106" s="36"/>
      <c r="AK106" s="36"/>
      <c r="AL106" s="36">
        <v>300</v>
      </c>
      <c r="AM106" s="36"/>
      <c r="AN106" s="36"/>
      <c r="AO106" s="36">
        <v>1000</v>
      </c>
      <c r="AP106" s="36"/>
      <c r="AQ106" s="36">
        <v>250</v>
      </c>
      <c r="AR106" s="36"/>
      <c r="AS106" s="36"/>
      <c r="AT106" s="36"/>
      <c r="AU106" s="36"/>
      <c r="AV106" s="36"/>
      <c r="AW106" s="22"/>
      <c r="AX106" s="22"/>
      <c r="AY106" s="22"/>
      <c r="AZ106" s="22"/>
      <c r="BA106" s="22">
        <v>3000</v>
      </c>
      <c r="BB106" s="22">
        <v>3000</v>
      </c>
      <c r="BC106" s="22">
        <v>3000</v>
      </c>
      <c r="BD106" s="22">
        <v>1000</v>
      </c>
      <c r="BE106" s="22"/>
      <c r="BF106" s="22"/>
      <c r="BG106" s="22"/>
      <c r="BH106" s="22"/>
      <c r="BI106" s="22"/>
      <c r="BJ106" s="22"/>
      <c r="BK106" s="22"/>
      <c r="BL106" s="22"/>
      <c r="BM106" s="22"/>
      <c r="BN106" s="22">
        <v>719</v>
      </c>
      <c r="BO106" s="22"/>
      <c r="BP106" s="22"/>
      <c r="BQ106" s="22"/>
      <c r="BR106" s="22"/>
      <c r="BS106" s="22"/>
      <c r="BT106" s="22"/>
      <c r="BU106" s="22"/>
      <c r="BV106" s="22"/>
      <c r="BW106" s="22"/>
      <c r="BX106" s="22"/>
      <c r="BY106" s="22">
        <v>300</v>
      </c>
      <c r="BZ106" s="22">
        <v>6000</v>
      </c>
      <c r="CA106" s="22">
        <v>3000</v>
      </c>
      <c r="CB106" s="22">
        <v>3000</v>
      </c>
      <c r="CC106" s="22"/>
      <c r="CD106" s="22"/>
      <c r="CE106" s="22">
        <v>2700</v>
      </c>
      <c r="CF106" s="22"/>
      <c r="CG106" s="22">
        <v>50</v>
      </c>
      <c r="CH106" s="22"/>
      <c r="CI106" s="22"/>
      <c r="CJ106" s="22">
        <v>320</v>
      </c>
      <c r="CK106" s="22">
        <v>500</v>
      </c>
      <c r="CL106" s="22"/>
      <c r="CO106" s="22">
        <v>200</v>
      </c>
      <c r="CP106" s="22"/>
      <c r="CQ106" s="22">
        <v>300</v>
      </c>
      <c r="CR106" s="22"/>
      <c r="CS106" s="22"/>
      <c r="CT106" s="22"/>
      <c r="CU106" s="22">
        <v>100</v>
      </c>
      <c r="CV106" s="22">
        <v>300</v>
      </c>
      <c r="CW106" s="22">
        <v>1060</v>
      </c>
      <c r="CX106" s="22"/>
      <c r="CY106" s="22"/>
      <c r="CZ106" s="22"/>
      <c r="DA106" s="22"/>
      <c r="DB106" s="22"/>
      <c r="DC106" s="22"/>
      <c r="DD106" s="22"/>
      <c r="DE106" s="22">
        <v>1127</v>
      </c>
      <c r="DF106" s="22"/>
      <c r="DG106" s="22"/>
      <c r="DH106" s="22"/>
      <c r="DI106" s="22"/>
      <c r="DJ106" s="22"/>
      <c r="DK106" s="22"/>
      <c r="DL106" s="22"/>
      <c r="DM106" s="22"/>
      <c r="DN106" s="22"/>
      <c r="DO106" s="22"/>
      <c r="DP106" s="22"/>
      <c r="DQ106" s="22"/>
      <c r="DR106" s="22"/>
      <c r="DS106" s="22"/>
      <c r="DT106" s="22"/>
      <c r="DU106" s="22">
        <v>2200</v>
      </c>
      <c r="DV106" s="22"/>
      <c r="DW106" s="22"/>
      <c r="DX106" s="22"/>
      <c r="DY106" s="22"/>
      <c r="DZ106" s="22"/>
      <c r="EA106" s="22"/>
      <c r="EB106" s="22"/>
      <c r="EC106" s="22"/>
      <c r="ED106" s="22"/>
      <c r="EE106" s="22"/>
      <c r="EF106" s="22"/>
      <c r="EG106" s="22"/>
      <c r="EH106" s="22"/>
      <c r="EI106" s="22"/>
      <c r="EJ106" s="22"/>
      <c r="EK106" s="22"/>
      <c r="EL106" s="22"/>
      <c r="EM106" s="22"/>
      <c r="EN106" s="22"/>
      <c r="EO106" s="22"/>
      <c r="EP106" s="22"/>
      <c r="EQ106" s="22"/>
      <c r="ER106" s="22"/>
      <c r="ES106" s="22"/>
      <c r="ET106" s="22"/>
      <c r="EU106" s="22"/>
      <c r="EV106" s="22"/>
      <c r="EW106" s="22"/>
      <c r="EX106" s="22">
        <v>3000</v>
      </c>
      <c r="EY106" s="22"/>
      <c r="EZ106" s="22"/>
      <c r="FA106" s="22"/>
      <c r="FB106" s="22"/>
      <c r="FC106" s="22">
        <v>2</v>
      </c>
      <c r="FD106" s="22"/>
      <c r="FE106" s="22"/>
      <c r="FF106" s="22"/>
      <c r="FG106" s="22"/>
      <c r="FH106" s="22"/>
      <c r="FI106" s="22">
        <v>2300</v>
      </c>
      <c r="FJ106" s="22"/>
      <c r="FK106" s="22"/>
      <c r="FL106" s="22">
        <v>3000</v>
      </c>
      <c r="FM106" s="22"/>
      <c r="FN106" s="22"/>
      <c r="FO106" s="22"/>
      <c r="FP106" s="22"/>
      <c r="FQ106" s="22">
        <v>8</v>
      </c>
      <c r="FT106" s="22">
        <v>7365</v>
      </c>
      <c r="FU106" s="22"/>
      <c r="FV106" s="22"/>
      <c r="FW106" s="22">
        <v>4910</v>
      </c>
      <c r="GG106" s="22">
        <v>60379</v>
      </c>
    </row>
    <row r="107" spans="1:189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  <c r="BS107" s="22"/>
      <c r="BT107" s="22"/>
      <c r="BU107" s="22"/>
      <c r="BV107" s="22"/>
      <c r="BW107" s="22"/>
      <c r="BX107" s="22"/>
      <c r="BY107" s="22"/>
      <c r="BZ107" s="22"/>
      <c r="CA107" s="22"/>
      <c r="CB107" s="22"/>
      <c r="CC107" s="22"/>
      <c r="CD107" s="22"/>
      <c r="CE107" s="22"/>
      <c r="CF107" s="22"/>
      <c r="CG107" s="22"/>
      <c r="CH107" s="22"/>
      <c r="CI107" s="22"/>
      <c r="CJ107" s="22"/>
      <c r="CK107" s="22"/>
      <c r="CL107" s="22"/>
      <c r="CO107" s="22"/>
      <c r="CP107" s="22"/>
      <c r="CQ107" s="22"/>
      <c r="CR107" s="22"/>
      <c r="CS107" s="22"/>
      <c r="CT107" s="22"/>
      <c r="CU107" s="22"/>
      <c r="CV107" s="22"/>
      <c r="CW107" s="22"/>
      <c r="CX107" s="22"/>
      <c r="CY107" s="22"/>
      <c r="CZ107" s="22"/>
      <c r="DA107" s="22"/>
      <c r="DB107" s="22"/>
      <c r="DC107" s="22"/>
      <c r="DD107" s="22"/>
      <c r="DE107" s="22"/>
      <c r="DF107" s="22"/>
      <c r="DG107" s="22"/>
      <c r="DH107" s="22"/>
      <c r="DI107" s="22"/>
      <c r="DJ107" s="22"/>
      <c r="DK107" s="22"/>
      <c r="DL107" s="22"/>
      <c r="DM107" s="22"/>
      <c r="DN107" s="22"/>
      <c r="DO107" s="22"/>
      <c r="DP107" s="22"/>
      <c r="DQ107" s="22"/>
      <c r="DR107" s="22"/>
      <c r="DS107" s="22"/>
      <c r="DT107" s="22"/>
      <c r="DU107" s="22"/>
      <c r="DV107" s="22"/>
      <c r="DW107" s="22"/>
      <c r="DX107" s="22"/>
      <c r="DY107" s="22"/>
      <c r="DZ107" s="22"/>
      <c r="EA107" s="22"/>
      <c r="EB107" s="22"/>
      <c r="EC107" s="22"/>
      <c r="ED107" s="22"/>
      <c r="EE107" s="22"/>
      <c r="EF107" s="22"/>
      <c r="EG107" s="22"/>
      <c r="EH107" s="22"/>
      <c r="EI107" s="22"/>
      <c r="EJ107" s="22"/>
      <c r="EK107" s="22"/>
      <c r="EL107" s="22"/>
      <c r="EM107" s="22"/>
      <c r="EN107" s="22"/>
      <c r="EO107" s="22"/>
      <c r="EP107" s="22"/>
      <c r="EQ107" s="22"/>
      <c r="ER107" s="22"/>
      <c r="ES107" s="22"/>
      <c r="ET107" s="22"/>
      <c r="EU107" s="22"/>
      <c r="EV107" s="22"/>
      <c r="EW107" s="22"/>
      <c r="EX107" s="22"/>
      <c r="EY107" s="22"/>
      <c r="EZ107" s="22"/>
      <c r="FA107" s="22"/>
      <c r="FB107" s="22"/>
      <c r="FC107" s="22"/>
      <c r="FD107" s="22"/>
      <c r="FE107" s="22"/>
      <c r="FF107" s="22"/>
      <c r="FG107" s="22"/>
      <c r="FH107" s="22"/>
      <c r="FI107" s="22"/>
      <c r="FJ107" s="22"/>
      <c r="FK107" s="22"/>
      <c r="FL107" s="22"/>
      <c r="FM107" s="22"/>
      <c r="FN107" s="22"/>
      <c r="FO107" s="22"/>
      <c r="FP107" s="22"/>
      <c r="FQ107" s="22"/>
      <c r="FU107" s="22"/>
      <c r="FV107" s="22"/>
      <c r="GG107" s="22">
        <v>0</v>
      </c>
    </row>
    <row r="108" spans="1:189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22"/>
      <c r="BT108" s="22"/>
      <c r="BU108" s="22"/>
      <c r="BV108" s="22"/>
      <c r="BW108" s="22">
        <v>183</v>
      </c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O108" s="22"/>
      <c r="CP108" s="22"/>
      <c r="CQ108" s="22"/>
      <c r="CR108" s="22"/>
      <c r="CS108" s="22"/>
      <c r="CT108" s="22"/>
      <c r="CU108" s="22"/>
      <c r="CV108" s="22"/>
      <c r="CW108" s="22"/>
      <c r="CX108" s="22"/>
      <c r="CY108" s="22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22"/>
      <c r="DK108" s="22"/>
      <c r="DL108" s="22">
        <v>54</v>
      </c>
      <c r="DM108" s="22"/>
      <c r="DN108" s="22"/>
      <c r="DO108" s="22">
        <v>98</v>
      </c>
      <c r="DP108" s="22"/>
      <c r="DQ108" s="22"/>
      <c r="DR108" s="22"/>
      <c r="DS108" s="22"/>
      <c r="DT108" s="22"/>
      <c r="DU108" s="22"/>
      <c r="DV108" s="22"/>
      <c r="DW108" s="22"/>
      <c r="DX108" s="22"/>
      <c r="DY108" s="22"/>
      <c r="DZ108" s="22"/>
      <c r="EA108" s="22"/>
      <c r="EB108" s="22"/>
      <c r="EC108" s="22"/>
      <c r="ED108" s="22"/>
      <c r="EE108" s="22"/>
      <c r="EF108" s="22"/>
      <c r="EG108" s="22"/>
      <c r="EH108" s="22"/>
      <c r="EI108" s="22"/>
      <c r="EJ108" s="22"/>
      <c r="EK108" s="22"/>
      <c r="EL108" s="22"/>
      <c r="EM108" s="22"/>
      <c r="EN108" s="22"/>
      <c r="EO108" s="22"/>
      <c r="EP108" s="22"/>
      <c r="EQ108" s="22"/>
      <c r="ER108" s="22"/>
      <c r="ES108" s="22"/>
      <c r="ET108" s="22"/>
      <c r="EU108" s="22"/>
      <c r="EV108" s="22"/>
      <c r="EW108" s="22"/>
      <c r="EX108" s="22"/>
      <c r="EY108" s="22"/>
      <c r="EZ108" s="22"/>
      <c r="FA108" s="22"/>
      <c r="FB108" s="22"/>
      <c r="FC108" s="22"/>
      <c r="FD108" s="22"/>
      <c r="FE108" s="22"/>
      <c r="FF108" s="22"/>
      <c r="FG108" s="22"/>
      <c r="FH108" s="22"/>
      <c r="FI108" s="22"/>
      <c r="FJ108" s="22"/>
      <c r="FK108" s="22"/>
      <c r="FL108" s="22"/>
      <c r="FM108" s="22"/>
      <c r="FN108" s="22"/>
      <c r="FO108" s="22"/>
      <c r="FP108" s="22"/>
      <c r="FQ108" s="22"/>
      <c r="FU108" s="22"/>
      <c r="FV108" s="22"/>
      <c r="GG108" s="22">
        <v>335</v>
      </c>
    </row>
    <row r="109" spans="1:189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G109" s="22">
        <v>1016</v>
      </c>
      <c r="J109" s="22">
        <v>556</v>
      </c>
      <c r="K109" s="22">
        <v>1596</v>
      </c>
      <c r="M109" s="22">
        <v>2616</v>
      </c>
      <c r="N109" s="22">
        <v>12</v>
      </c>
      <c r="O109" s="22">
        <v>2176</v>
      </c>
      <c r="P109" s="22">
        <v>864</v>
      </c>
      <c r="R109" s="22">
        <v>1852</v>
      </c>
      <c r="S109" s="22">
        <v>1864</v>
      </c>
      <c r="U109" s="22">
        <v>500</v>
      </c>
      <c r="X109" s="36">
        <v>300</v>
      </c>
      <c r="Y109" s="36">
        <v>120</v>
      </c>
      <c r="Z109" s="36">
        <v>500</v>
      </c>
      <c r="AA109" s="36">
        <v>540</v>
      </c>
      <c r="AB109" s="36">
        <v>200</v>
      </c>
      <c r="AC109" s="36"/>
      <c r="AD109" s="36"/>
      <c r="AE109" s="36">
        <v>200</v>
      </c>
      <c r="AF109" s="36">
        <v>52</v>
      </c>
      <c r="AG109" s="36">
        <v>28</v>
      </c>
      <c r="AH109" s="36"/>
      <c r="AI109" s="36"/>
      <c r="AJ109" s="36"/>
      <c r="AK109" s="36"/>
      <c r="AL109" s="36"/>
      <c r="AM109" s="36"/>
      <c r="AN109" s="36"/>
      <c r="AO109" s="36">
        <v>1000</v>
      </c>
      <c r="AP109" s="36"/>
      <c r="AQ109" s="36">
        <v>500</v>
      </c>
      <c r="AR109" s="36"/>
      <c r="AS109" s="36"/>
      <c r="AT109" s="36"/>
      <c r="AU109" s="36"/>
      <c r="AV109" s="36"/>
      <c r="AW109" s="22"/>
      <c r="AX109" s="22"/>
      <c r="AY109" s="22"/>
      <c r="AZ109" s="22"/>
      <c r="BA109" s="22"/>
      <c r="BB109" s="22"/>
      <c r="BC109" s="22">
        <v>2700</v>
      </c>
      <c r="BD109" s="22">
        <v>5400</v>
      </c>
      <c r="BE109" s="22"/>
      <c r="BF109" s="22"/>
      <c r="BG109" s="22"/>
      <c r="BH109" s="22"/>
      <c r="BI109" s="22">
        <v>16200</v>
      </c>
      <c r="BJ109" s="22"/>
      <c r="BK109" s="22"/>
      <c r="BL109" s="22"/>
      <c r="BM109" s="22"/>
      <c r="BN109" s="22">
        <v>713</v>
      </c>
      <c r="BO109" s="22"/>
      <c r="BP109" s="22"/>
      <c r="BQ109" s="22"/>
      <c r="BR109" s="22"/>
      <c r="BS109" s="22"/>
      <c r="BT109" s="22"/>
      <c r="BU109" s="22"/>
      <c r="BV109" s="22"/>
      <c r="BW109" s="22"/>
      <c r="BX109" s="22"/>
      <c r="BY109" s="22">
        <v>2700</v>
      </c>
      <c r="BZ109" s="22">
        <v>5400</v>
      </c>
      <c r="CA109" s="22">
        <v>5400</v>
      </c>
      <c r="CB109" s="22">
        <v>5400</v>
      </c>
      <c r="CC109" s="22">
        <v>2700</v>
      </c>
      <c r="CD109" s="22"/>
      <c r="CE109" s="22">
        <v>2200</v>
      </c>
      <c r="CF109" s="22"/>
      <c r="CG109" s="22">
        <v>478</v>
      </c>
      <c r="CH109" s="22">
        <v>3622</v>
      </c>
      <c r="CI109" s="22">
        <v>112</v>
      </c>
      <c r="CJ109" s="22">
        <v>2275</v>
      </c>
      <c r="CK109" s="22">
        <v>1956</v>
      </c>
      <c r="CL109" s="22"/>
      <c r="CM109" s="22">
        <v>1776</v>
      </c>
      <c r="CO109" s="22">
        <v>358</v>
      </c>
      <c r="CP109" s="22">
        <v>250</v>
      </c>
      <c r="CQ109" s="22">
        <v>560</v>
      </c>
      <c r="CR109" s="22"/>
      <c r="CS109" s="22"/>
      <c r="CT109" s="22"/>
      <c r="CU109" s="22">
        <v>100</v>
      </c>
      <c r="CV109" s="22">
        <v>300</v>
      </c>
      <c r="CW109" s="22">
        <v>2950</v>
      </c>
      <c r="CX109" s="22"/>
      <c r="CY109" s="22"/>
      <c r="CZ109" s="22"/>
      <c r="DA109" s="22"/>
      <c r="DB109" s="22"/>
      <c r="DC109" s="22"/>
      <c r="DD109" s="22">
        <v>104</v>
      </c>
      <c r="DE109" s="22">
        <v>2900</v>
      </c>
      <c r="DF109" s="22">
        <v>24</v>
      </c>
      <c r="DG109" s="22">
        <v>36</v>
      </c>
      <c r="DH109" s="22">
        <v>72</v>
      </c>
      <c r="DI109" s="22">
        <v>24</v>
      </c>
      <c r="DJ109" s="22"/>
      <c r="DK109" s="22"/>
      <c r="DL109" s="22"/>
      <c r="DM109" s="22"/>
      <c r="DN109" s="22">
        <v>96</v>
      </c>
      <c r="DO109" s="22"/>
      <c r="DP109" s="22"/>
      <c r="DQ109" s="22"/>
      <c r="DR109" s="22"/>
      <c r="DS109" s="22"/>
      <c r="DT109" s="22"/>
      <c r="DU109" s="22"/>
      <c r="DV109" s="22"/>
      <c r="DW109" s="22"/>
      <c r="DX109" s="22"/>
      <c r="DY109" s="22">
        <v>24</v>
      </c>
      <c r="DZ109" s="22"/>
      <c r="EA109" s="22"/>
      <c r="EB109" s="22">
        <v>1424</v>
      </c>
      <c r="EC109" s="22"/>
      <c r="ED109" s="22"/>
      <c r="EE109" s="22"/>
      <c r="EF109" s="22"/>
      <c r="EG109" s="22"/>
      <c r="EH109" s="22"/>
      <c r="EI109" s="22"/>
      <c r="EJ109" s="22"/>
      <c r="EK109" s="22"/>
      <c r="EL109" s="22"/>
      <c r="EM109" s="22"/>
      <c r="EN109" s="22"/>
      <c r="EO109" s="22">
        <v>2700</v>
      </c>
      <c r="EP109" s="22"/>
      <c r="EQ109" s="22"/>
      <c r="ER109" s="22">
        <v>12</v>
      </c>
      <c r="ES109" s="22">
        <v>1568</v>
      </c>
      <c r="ET109" s="22"/>
      <c r="EU109" s="22">
        <v>3012</v>
      </c>
      <c r="EV109" s="22">
        <v>12</v>
      </c>
      <c r="EW109" s="22">
        <v>24</v>
      </c>
      <c r="EX109" s="22">
        <v>2072</v>
      </c>
      <c r="EY109" s="22"/>
      <c r="EZ109" s="22">
        <v>24</v>
      </c>
      <c r="FA109" s="22"/>
      <c r="FB109" s="22">
        <v>2000</v>
      </c>
      <c r="FC109" s="22">
        <v>2270</v>
      </c>
      <c r="FD109" s="22"/>
      <c r="FE109" s="22">
        <v>24</v>
      </c>
      <c r="FF109" s="22">
        <v>624</v>
      </c>
      <c r="FG109" s="22"/>
      <c r="FH109" s="22">
        <v>1596</v>
      </c>
      <c r="FI109" s="22">
        <v>12</v>
      </c>
      <c r="FJ109" s="22"/>
      <c r="FK109" s="22">
        <v>12</v>
      </c>
      <c r="FL109" s="22">
        <v>5648</v>
      </c>
      <c r="FM109" s="22">
        <v>60</v>
      </c>
      <c r="FN109" s="22">
        <v>48</v>
      </c>
      <c r="FO109" s="22">
        <v>2056</v>
      </c>
      <c r="FP109" s="22">
        <v>72</v>
      </c>
      <c r="FQ109" s="22">
        <v>1870</v>
      </c>
      <c r="FS109" s="22">
        <v>3000</v>
      </c>
      <c r="FT109" s="22">
        <v>8039</v>
      </c>
      <c r="FU109" s="22">
        <v>3188</v>
      </c>
      <c r="FV109" s="22">
        <v>56</v>
      </c>
      <c r="FW109" s="22">
        <v>13194</v>
      </c>
      <c r="GG109" s="22">
        <v>137939</v>
      </c>
    </row>
    <row r="110" spans="1:189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2"/>
      <c r="BO110" s="22"/>
      <c r="BP110" s="22"/>
      <c r="BQ110" s="22"/>
      <c r="BR110" s="22"/>
      <c r="BS110" s="22"/>
      <c r="BT110" s="22"/>
      <c r="BU110" s="22"/>
      <c r="BV110" s="22"/>
      <c r="BW110" s="22"/>
      <c r="BX110" s="22"/>
      <c r="BY110" s="22"/>
      <c r="BZ110" s="22"/>
      <c r="CA110" s="22"/>
      <c r="CB110" s="22"/>
      <c r="CC110" s="22"/>
      <c r="CD110" s="22"/>
      <c r="CE110" s="22"/>
      <c r="CF110" s="22"/>
      <c r="CG110" s="22"/>
      <c r="CH110" s="22"/>
      <c r="CI110" s="22"/>
      <c r="CJ110" s="22"/>
      <c r="CK110" s="22"/>
      <c r="CL110" s="22"/>
      <c r="CO110" s="22"/>
      <c r="CP110" s="22"/>
      <c r="CQ110" s="22"/>
      <c r="CR110" s="22"/>
      <c r="CS110" s="22"/>
      <c r="CT110" s="22"/>
      <c r="CU110" s="22"/>
      <c r="CV110" s="22"/>
      <c r="CW110" s="22"/>
      <c r="CX110" s="22"/>
      <c r="CY110" s="22"/>
      <c r="CZ110" s="22"/>
      <c r="DA110" s="22"/>
      <c r="DB110" s="22"/>
      <c r="DC110" s="22"/>
      <c r="DD110" s="22"/>
      <c r="DE110" s="22"/>
      <c r="DF110" s="22"/>
      <c r="DG110" s="22"/>
      <c r="DH110" s="22"/>
      <c r="DI110" s="22"/>
      <c r="DJ110" s="22"/>
      <c r="DK110" s="22"/>
      <c r="DL110" s="22"/>
      <c r="DM110" s="22"/>
      <c r="DN110" s="22"/>
      <c r="DO110" s="22"/>
      <c r="DP110" s="22"/>
      <c r="DQ110" s="22"/>
      <c r="DR110" s="22"/>
      <c r="DS110" s="22"/>
      <c r="DT110" s="22"/>
      <c r="DU110" s="22"/>
      <c r="DV110" s="22"/>
      <c r="DW110" s="22"/>
      <c r="DX110" s="22"/>
      <c r="DY110" s="22"/>
      <c r="DZ110" s="22"/>
      <c r="EA110" s="22"/>
      <c r="EB110" s="22"/>
      <c r="EC110" s="22"/>
      <c r="ED110" s="22"/>
      <c r="EE110" s="22"/>
      <c r="EF110" s="22"/>
      <c r="EG110" s="22"/>
      <c r="EH110" s="22"/>
      <c r="EI110" s="22"/>
      <c r="EJ110" s="22"/>
      <c r="EK110" s="22"/>
      <c r="EL110" s="22"/>
      <c r="EM110" s="22"/>
      <c r="EN110" s="22"/>
      <c r="EO110" s="22"/>
      <c r="EP110" s="22"/>
      <c r="EQ110" s="22"/>
      <c r="ER110" s="22"/>
      <c r="ES110" s="22"/>
      <c r="ET110" s="22"/>
      <c r="EU110" s="22"/>
      <c r="EV110" s="22"/>
      <c r="EW110" s="22"/>
      <c r="EX110" s="22"/>
      <c r="EY110" s="22"/>
      <c r="EZ110" s="22"/>
      <c r="FA110" s="22"/>
      <c r="FB110" s="22"/>
      <c r="FC110" s="22"/>
      <c r="FD110" s="22"/>
      <c r="FE110" s="22"/>
      <c r="FF110" s="22"/>
      <c r="FG110" s="22"/>
      <c r="FH110" s="22"/>
      <c r="FI110" s="22"/>
      <c r="FJ110" s="22"/>
      <c r="FK110" s="22"/>
      <c r="FL110" s="22"/>
      <c r="FM110" s="22"/>
      <c r="FN110" s="22"/>
      <c r="FO110" s="22"/>
      <c r="FP110" s="22"/>
      <c r="FQ110" s="22"/>
      <c r="FU110" s="22"/>
      <c r="FV110" s="22"/>
      <c r="GG110" s="22">
        <v>0</v>
      </c>
    </row>
    <row r="111" spans="1:189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X111" s="36"/>
      <c r="Y111" s="36"/>
      <c r="Z111" s="36"/>
      <c r="AA111" s="36"/>
      <c r="AB111" s="36"/>
      <c r="AC111" s="36"/>
      <c r="AD111" s="36"/>
      <c r="AE111" s="36"/>
      <c r="AF111" s="36">
        <v>132</v>
      </c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22"/>
      <c r="BT111" s="22"/>
      <c r="BU111" s="22"/>
      <c r="BV111" s="22">
        <v>1295</v>
      </c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22"/>
      <c r="CI111" s="22"/>
      <c r="CJ111" s="22"/>
      <c r="CK111" s="22"/>
      <c r="CL111" s="22"/>
      <c r="CO111" s="22"/>
      <c r="CP111" s="22"/>
      <c r="CQ111" s="22"/>
      <c r="CR111" s="22"/>
      <c r="CS111" s="22"/>
      <c r="CT111" s="22"/>
      <c r="CU111" s="22"/>
      <c r="CV111" s="22"/>
      <c r="CW111" s="22"/>
      <c r="CX111" s="22"/>
      <c r="CY111" s="22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  <c r="DJ111" s="22"/>
      <c r="DK111" s="22"/>
      <c r="DL111" s="22"/>
      <c r="DM111" s="22"/>
      <c r="DN111" s="22"/>
      <c r="DO111" s="22"/>
      <c r="DP111" s="22"/>
      <c r="DQ111" s="22"/>
      <c r="DR111" s="22"/>
      <c r="DS111" s="22"/>
      <c r="DT111" s="22"/>
      <c r="DU111" s="22"/>
      <c r="DV111" s="22"/>
      <c r="DW111" s="22"/>
      <c r="DX111" s="22"/>
      <c r="DY111" s="22"/>
      <c r="DZ111" s="22"/>
      <c r="EA111" s="22"/>
      <c r="EB111" s="22"/>
      <c r="EC111" s="22"/>
      <c r="ED111" s="22"/>
      <c r="EE111" s="22"/>
      <c r="EF111" s="22"/>
      <c r="EG111" s="22"/>
      <c r="EH111" s="22"/>
      <c r="EI111" s="22"/>
      <c r="EJ111" s="22"/>
      <c r="EK111" s="22"/>
      <c r="EL111" s="22"/>
      <c r="EM111" s="22"/>
      <c r="EN111" s="22"/>
      <c r="EO111" s="22"/>
      <c r="EP111" s="22"/>
      <c r="EQ111" s="22"/>
      <c r="ER111" s="22"/>
      <c r="ES111" s="22"/>
      <c r="ET111" s="22"/>
      <c r="EU111" s="22"/>
      <c r="EV111" s="22"/>
      <c r="EW111" s="22"/>
      <c r="EX111" s="22"/>
      <c r="EY111" s="22"/>
      <c r="EZ111" s="22"/>
      <c r="FA111" s="22"/>
      <c r="FB111" s="22"/>
      <c r="FC111" s="22"/>
      <c r="FD111" s="22"/>
      <c r="FE111" s="22"/>
      <c r="FF111" s="22"/>
      <c r="FG111" s="22"/>
      <c r="FH111" s="22"/>
      <c r="FI111" s="22"/>
      <c r="FJ111" s="22"/>
      <c r="FK111" s="22"/>
      <c r="FL111" s="22"/>
      <c r="FM111" s="22"/>
      <c r="FN111" s="22"/>
      <c r="FO111" s="22"/>
      <c r="FP111" s="22"/>
      <c r="FQ111" s="22"/>
      <c r="FU111" s="22"/>
      <c r="FV111" s="22"/>
      <c r="GG111" s="22">
        <v>1427</v>
      </c>
    </row>
    <row r="112" spans="1:189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X112" s="36"/>
      <c r="Y112" s="36"/>
      <c r="Z112" s="36"/>
      <c r="AA112" s="36"/>
      <c r="AB112" s="36"/>
      <c r="AC112" s="36"/>
      <c r="AD112" s="36"/>
      <c r="AE112" s="36"/>
      <c r="AF112" s="36">
        <v>103</v>
      </c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>
        <v>65</v>
      </c>
      <c r="CH112" s="22"/>
      <c r="CI112" s="22"/>
      <c r="CJ112" s="22">
        <v>840</v>
      </c>
      <c r="CK112" s="22"/>
      <c r="CL112" s="22"/>
      <c r="CO112" s="22"/>
      <c r="CP112" s="22"/>
      <c r="CQ112" s="22"/>
      <c r="CR112" s="22"/>
      <c r="CS112" s="22"/>
      <c r="CT112" s="22"/>
      <c r="CU112" s="22"/>
      <c r="CV112" s="22"/>
      <c r="CW112" s="22"/>
      <c r="CX112" s="22"/>
      <c r="CY112" s="22">
        <v>152</v>
      </c>
      <c r="CZ112" s="22"/>
      <c r="DA112" s="22"/>
      <c r="DB112" s="22"/>
      <c r="DC112" s="22"/>
      <c r="DD112" s="22">
        <v>91</v>
      </c>
      <c r="DE112" s="22"/>
      <c r="DF112" s="22">
        <v>150</v>
      </c>
      <c r="DG112" s="22"/>
      <c r="DH112" s="22">
        <v>141</v>
      </c>
      <c r="DI112" s="22">
        <v>131</v>
      </c>
      <c r="DJ112" s="22">
        <v>111</v>
      </c>
      <c r="DK112" s="22"/>
      <c r="DL112" s="22"/>
      <c r="DM112" s="22"/>
      <c r="DN112" s="22"/>
      <c r="DO112" s="22"/>
      <c r="DP112" s="22"/>
      <c r="DQ112" s="22">
        <v>150</v>
      </c>
      <c r="DR112" s="22"/>
      <c r="DS112" s="22"/>
      <c r="DT112" s="22"/>
      <c r="DU112" s="22"/>
      <c r="DV112" s="22"/>
      <c r="DW112" s="22"/>
      <c r="DX112" s="22">
        <v>1</v>
      </c>
      <c r="DY112" s="22"/>
      <c r="DZ112" s="22"/>
      <c r="EA112" s="22">
        <v>7</v>
      </c>
      <c r="EB112" s="22">
        <v>276</v>
      </c>
      <c r="EC112" s="22">
        <v>373</v>
      </c>
      <c r="ED112" s="22"/>
      <c r="EE112" s="22">
        <v>103</v>
      </c>
      <c r="EF112" s="22"/>
      <c r="EG112" s="22"/>
      <c r="EH112" s="22"/>
      <c r="EI112" s="22"/>
      <c r="EJ112" s="22"/>
      <c r="EK112" s="22"/>
      <c r="EL112" s="22"/>
      <c r="EM112" s="22"/>
      <c r="EN112" s="22">
        <v>250</v>
      </c>
      <c r="EO112" s="22">
        <v>500</v>
      </c>
      <c r="EP112" s="22"/>
      <c r="EQ112" s="22"/>
      <c r="ER112" s="22"/>
      <c r="ES112" s="22"/>
      <c r="ET112" s="22"/>
      <c r="EU112" s="22"/>
      <c r="EV112" s="22"/>
      <c r="EW112" s="22"/>
      <c r="EX112" s="22"/>
      <c r="EY112" s="22"/>
      <c r="EZ112" s="22">
        <v>78</v>
      </c>
      <c r="FA112" s="22">
        <v>8</v>
      </c>
      <c r="FB112" s="22"/>
      <c r="FC112" s="22">
        <v>34</v>
      </c>
      <c r="FD112" s="22"/>
      <c r="FE112" s="22"/>
      <c r="FF112" s="22"/>
      <c r="FG112" s="22"/>
      <c r="FH112" s="22"/>
      <c r="FI112" s="22"/>
      <c r="FJ112" s="22"/>
      <c r="FK112" s="22"/>
      <c r="FL112" s="22">
        <v>76</v>
      </c>
      <c r="FM112" s="22"/>
      <c r="FN112" s="22"/>
      <c r="FO112" s="22"/>
      <c r="FP112" s="22"/>
      <c r="FQ112" s="22"/>
      <c r="FU112" s="22"/>
      <c r="FV112" s="22"/>
      <c r="GG112" s="22">
        <v>3640</v>
      </c>
    </row>
    <row r="113" spans="1:189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22"/>
      <c r="BT113" s="22"/>
      <c r="BU113" s="22"/>
      <c r="BV113" s="22">
        <v>126</v>
      </c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22"/>
      <c r="CI113" s="22"/>
      <c r="CJ113" s="22">
        <v>120</v>
      </c>
      <c r="CK113" s="22"/>
      <c r="CL113" s="22"/>
      <c r="CO113" s="22"/>
      <c r="CP113" s="22"/>
      <c r="CQ113" s="22"/>
      <c r="CR113" s="22"/>
      <c r="CS113" s="22"/>
      <c r="CT113" s="22"/>
      <c r="CU113" s="22"/>
      <c r="CV113" s="22"/>
      <c r="CW113" s="22"/>
      <c r="CX113" s="22"/>
      <c r="CY113" s="22"/>
      <c r="CZ113" s="22"/>
      <c r="DA113" s="22"/>
      <c r="DB113" s="22"/>
      <c r="DC113" s="22"/>
      <c r="DD113" s="22">
        <v>187</v>
      </c>
      <c r="DE113" s="22"/>
      <c r="DF113" s="22"/>
      <c r="DG113" s="22"/>
      <c r="DH113" s="22">
        <v>123</v>
      </c>
      <c r="DI113" s="22"/>
      <c r="DJ113" s="22">
        <v>9</v>
      </c>
      <c r="DK113" s="22"/>
      <c r="DL113" s="22"/>
      <c r="DM113" s="22"/>
      <c r="DN113" s="22"/>
      <c r="DO113" s="22"/>
      <c r="DP113" s="22"/>
      <c r="DQ113" s="22"/>
      <c r="DR113" s="22"/>
      <c r="DS113" s="22"/>
      <c r="DT113" s="22"/>
      <c r="DU113" s="22"/>
      <c r="DV113" s="22"/>
      <c r="DW113" s="22"/>
      <c r="DX113" s="22">
        <v>22</v>
      </c>
      <c r="DY113" s="22">
        <v>8</v>
      </c>
      <c r="DZ113" s="22"/>
      <c r="EA113" s="22">
        <v>63</v>
      </c>
      <c r="EB113" s="22">
        <v>90</v>
      </c>
      <c r="EC113" s="22">
        <v>74</v>
      </c>
      <c r="ED113" s="22"/>
      <c r="EE113" s="22"/>
      <c r="EF113" s="22"/>
      <c r="EG113" s="22"/>
      <c r="EH113" s="22"/>
      <c r="EI113" s="22"/>
      <c r="EJ113" s="22"/>
      <c r="EK113" s="22"/>
      <c r="EL113" s="22"/>
      <c r="EM113" s="22"/>
      <c r="EN113" s="22"/>
      <c r="EO113" s="22"/>
      <c r="EP113" s="22"/>
      <c r="EQ113" s="22"/>
      <c r="ER113" s="22"/>
      <c r="ES113" s="22"/>
      <c r="ET113" s="22"/>
      <c r="EU113" s="22"/>
      <c r="EV113" s="22"/>
      <c r="EW113" s="22"/>
      <c r="EX113" s="22"/>
      <c r="EY113" s="22"/>
      <c r="EZ113" s="22"/>
      <c r="FA113" s="22"/>
      <c r="FB113" s="22"/>
      <c r="FC113" s="22"/>
      <c r="FD113" s="22"/>
      <c r="FE113" s="22"/>
      <c r="FF113" s="22"/>
      <c r="FG113" s="22"/>
      <c r="FH113" s="22"/>
      <c r="FI113" s="22"/>
      <c r="FJ113" s="22"/>
      <c r="FK113" s="22"/>
      <c r="FL113" s="22"/>
      <c r="FM113" s="22"/>
      <c r="FN113" s="22"/>
      <c r="FO113" s="22"/>
      <c r="FP113" s="22"/>
      <c r="FQ113" s="22"/>
      <c r="FU113" s="22"/>
      <c r="FV113" s="22"/>
      <c r="GG113" s="22">
        <v>822</v>
      </c>
    </row>
    <row r="114" spans="1:189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2"/>
      <c r="BO114" s="22"/>
      <c r="BP114" s="22"/>
      <c r="BQ114" s="22"/>
      <c r="BR114" s="22"/>
      <c r="BS114" s="22"/>
      <c r="BT114" s="22"/>
      <c r="BU114" s="22"/>
      <c r="BV114" s="22">
        <v>302</v>
      </c>
      <c r="BW114" s="22"/>
      <c r="BX114" s="22"/>
      <c r="BY114" s="22"/>
      <c r="BZ114" s="22"/>
      <c r="CA114" s="22"/>
      <c r="CB114" s="22"/>
      <c r="CC114" s="22"/>
      <c r="CD114" s="22"/>
      <c r="CE114" s="22"/>
      <c r="CF114" s="22"/>
      <c r="CG114" s="22"/>
      <c r="CH114" s="22"/>
      <c r="CI114" s="22"/>
      <c r="CJ114" s="22"/>
      <c r="CK114" s="22"/>
      <c r="CL114" s="22"/>
      <c r="CO114" s="22"/>
      <c r="CP114" s="22"/>
      <c r="CQ114" s="22"/>
      <c r="CR114" s="22"/>
      <c r="CS114" s="22"/>
      <c r="CT114" s="22"/>
      <c r="CU114" s="22"/>
      <c r="CV114" s="22"/>
      <c r="CW114" s="22"/>
      <c r="CX114" s="22"/>
      <c r="CY114" s="22"/>
      <c r="CZ114" s="22"/>
      <c r="DA114" s="22"/>
      <c r="DB114" s="22"/>
      <c r="DC114" s="22"/>
      <c r="DD114" s="22"/>
      <c r="DE114" s="22"/>
      <c r="DF114" s="22"/>
      <c r="DG114" s="22"/>
      <c r="DH114" s="22">
        <v>15</v>
      </c>
      <c r="DI114" s="22">
        <v>4</v>
      </c>
      <c r="DJ114" s="22"/>
      <c r="DK114" s="22"/>
      <c r="DL114" s="22"/>
      <c r="DM114" s="22"/>
      <c r="DN114" s="22"/>
      <c r="DO114" s="22"/>
      <c r="DP114" s="22"/>
      <c r="DQ114" s="22"/>
      <c r="DR114" s="22"/>
      <c r="DS114" s="22"/>
      <c r="DT114" s="22"/>
      <c r="DU114" s="22"/>
      <c r="DV114" s="22"/>
      <c r="DW114" s="22"/>
      <c r="DX114" s="22">
        <v>5</v>
      </c>
      <c r="DY114" s="22"/>
      <c r="DZ114" s="22"/>
      <c r="EA114" s="22"/>
      <c r="EB114" s="22"/>
      <c r="EC114" s="22">
        <v>6</v>
      </c>
      <c r="ED114" s="22"/>
      <c r="EE114" s="22"/>
      <c r="EF114" s="22"/>
      <c r="EG114" s="22"/>
      <c r="EH114" s="22"/>
      <c r="EI114" s="22"/>
      <c r="EJ114" s="22"/>
      <c r="EK114" s="22"/>
      <c r="EL114" s="22"/>
      <c r="EM114" s="22"/>
      <c r="EN114" s="22"/>
      <c r="EO114" s="22"/>
      <c r="EP114" s="22"/>
      <c r="EQ114" s="22"/>
      <c r="ER114" s="22"/>
      <c r="ES114" s="22"/>
      <c r="ET114" s="22"/>
      <c r="EU114" s="22"/>
      <c r="EV114" s="22"/>
      <c r="EW114" s="22"/>
      <c r="EX114" s="22"/>
      <c r="EY114" s="22"/>
      <c r="EZ114" s="22"/>
      <c r="FA114" s="22"/>
      <c r="FB114" s="22"/>
      <c r="FC114" s="22"/>
      <c r="FD114" s="22"/>
      <c r="FE114" s="22"/>
      <c r="FF114" s="22"/>
      <c r="FG114" s="22"/>
      <c r="FH114" s="22"/>
      <c r="FI114" s="22"/>
      <c r="FJ114" s="22"/>
      <c r="FK114" s="22"/>
      <c r="FL114" s="22"/>
      <c r="FM114" s="22"/>
      <c r="FN114" s="22"/>
      <c r="FO114" s="22"/>
      <c r="FP114" s="22"/>
      <c r="FQ114" s="22"/>
      <c r="FU114" s="22"/>
      <c r="FV114" s="22"/>
      <c r="GG114" s="22">
        <v>332</v>
      </c>
    </row>
    <row r="115" spans="1:189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2"/>
      <c r="BO115" s="22"/>
      <c r="BP115" s="22"/>
      <c r="BQ115" s="22"/>
      <c r="BR115" s="22"/>
      <c r="BS115" s="22">
        <v>42</v>
      </c>
      <c r="BT115" s="22"/>
      <c r="BU115" s="22"/>
      <c r="BV115" s="22"/>
      <c r="BW115" s="22"/>
      <c r="BX115" s="22"/>
      <c r="BY115" s="22"/>
      <c r="BZ115" s="22"/>
      <c r="CA115" s="22"/>
      <c r="CB115" s="22"/>
      <c r="CC115" s="22"/>
      <c r="CD115" s="22"/>
      <c r="CE115" s="22"/>
      <c r="CF115" s="22"/>
      <c r="CG115" s="22"/>
      <c r="CH115" s="22"/>
      <c r="CI115" s="22"/>
      <c r="CJ115" s="22"/>
      <c r="CK115" s="22"/>
      <c r="CL115" s="22"/>
      <c r="CO115" s="22"/>
      <c r="CP115" s="22"/>
      <c r="CQ115" s="22"/>
      <c r="CR115" s="22"/>
      <c r="CS115" s="22"/>
      <c r="CT115" s="22"/>
      <c r="CU115" s="22"/>
      <c r="CV115" s="22"/>
      <c r="CW115" s="22"/>
      <c r="CX115" s="22"/>
      <c r="CY115" s="22"/>
      <c r="CZ115" s="22"/>
      <c r="DA115" s="22"/>
      <c r="DB115" s="22"/>
      <c r="DC115" s="22"/>
      <c r="DD115" s="22"/>
      <c r="DE115" s="22"/>
      <c r="DF115" s="22"/>
      <c r="DG115" s="22"/>
      <c r="DH115" s="22"/>
      <c r="DI115" s="22"/>
      <c r="DJ115" s="22"/>
      <c r="DK115" s="22"/>
      <c r="DL115" s="22"/>
      <c r="DM115" s="22"/>
      <c r="DN115" s="22"/>
      <c r="DO115" s="22"/>
      <c r="DP115" s="22"/>
      <c r="DQ115" s="22"/>
      <c r="DR115" s="22"/>
      <c r="DS115" s="22"/>
      <c r="DT115" s="22"/>
      <c r="DU115" s="22"/>
      <c r="DV115" s="22"/>
      <c r="DW115" s="22"/>
      <c r="DX115" s="22"/>
      <c r="DY115" s="22"/>
      <c r="DZ115" s="22"/>
      <c r="EA115" s="22">
        <v>200</v>
      </c>
      <c r="EB115" s="22"/>
      <c r="EC115" s="22"/>
      <c r="ED115" s="22"/>
      <c r="EE115" s="22"/>
      <c r="EF115" s="22"/>
      <c r="EG115" s="22"/>
      <c r="EH115" s="22"/>
      <c r="EI115" s="22"/>
      <c r="EJ115" s="22"/>
      <c r="EK115" s="22"/>
      <c r="EL115" s="22"/>
      <c r="EM115" s="22"/>
      <c r="EN115" s="22"/>
      <c r="EO115" s="22"/>
      <c r="EP115" s="22"/>
      <c r="EQ115" s="22"/>
      <c r="ER115" s="22"/>
      <c r="ES115" s="22"/>
      <c r="ET115" s="22"/>
      <c r="EU115" s="22"/>
      <c r="EV115" s="22"/>
      <c r="EW115" s="22"/>
      <c r="EX115" s="22"/>
      <c r="EY115" s="22"/>
      <c r="EZ115" s="22"/>
      <c r="FA115" s="22"/>
      <c r="FB115" s="22"/>
      <c r="FC115" s="22"/>
      <c r="FD115" s="22"/>
      <c r="FE115" s="22"/>
      <c r="FF115" s="22"/>
      <c r="FG115" s="22"/>
      <c r="FH115" s="22"/>
      <c r="FI115" s="22"/>
      <c r="FJ115" s="22"/>
      <c r="FK115" s="22"/>
      <c r="FL115" s="22"/>
      <c r="FM115" s="22"/>
      <c r="FN115" s="22"/>
      <c r="FO115" s="22"/>
      <c r="FP115" s="22"/>
      <c r="FQ115" s="22"/>
      <c r="FU115" s="22"/>
      <c r="FV115" s="22"/>
      <c r="GG115" s="22">
        <v>242</v>
      </c>
    </row>
    <row r="116" spans="1:189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X116" s="36"/>
      <c r="Y116" s="36"/>
      <c r="Z116" s="36"/>
      <c r="AA116" s="36"/>
      <c r="AB116" s="36"/>
      <c r="AC116" s="36"/>
      <c r="AD116" s="36"/>
      <c r="AE116" s="36">
        <v>45</v>
      </c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2"/>
      <c r="BO116" s="22"/>
      <c r="BP116" s="22"/>
      <c r="BQ116" s="22"/>
      <c r="BR116" s="22"/>
      <c r="BS116" s="22"/>
      <c r="BT116" s="22"/>
      <c r="BU116" s="22"/>
      <c r="BV116" s="22">
        <v>204</v>
      </c>
      <c r="BW116" s="22"/>
      <c r="BX116" s="22"/>
      <c r="BY116" s="22"/>
      <c r="BZ116" s="22"/>
      <c r="CA116" s="22"/>
      <c r="CB116" s="22"/>
      <c r="CC116" s="22"/>
      <c r="CD116" s="22"/>
      <c r="CE116" s="22"/>
      <c r="CF116" s="22"/>
      <c r="CG116" s="22"/>
      <c r="CH116" s="22"/>
      <c r="CI116" s="22"/>
      <c r="CJ116" s="22">
        <v>683</v>
      </c>
      <c r="CK116" s="22"/>
      <c r="CL116" s="22"/>
      <c r="CO116" s="22"/>
      <c r="CP116" s="22"/>
      <c r="CQ116" s="22"/>
      <c r="CR116" s="22"/>
      <c r="CS116" s="22"/>
      <c r="CT116" s="22"/>
      <c r="CU116" s="22"/>
      <c r="CV116" s="22"/>
      <c r="CW116" s="22">
        <v>9</v>
      </c>
      <c r="CX116" s="22"/>
      <c r="CY116" s="22"/>
      <c r="CZ116" s="22"/>
      <c r="DA116" s="22"/>
      <c r="DB116" s="22"/>
      <c r="DC116" s="22"/>
      <c r="DD116" s="22">
        <v>205</v>
      </c>
      <c r="DE116" s="22"/>
      <c r="DF116" s="22"/>
      <c r="DG116" s="22"/>
      <c r="DH116" s="22">
        <v>15</v>
      </c>
      <c r="DI116" s="22">
        <v>173</v>
      </c>
      <c r="DJ116" s="22"/>
      <c r="DK116" s="22"/>
      <c r="DL116" s="22"/>
      <c r="DM116" s="22"/>
      <c r="DN116" s="22"/>
      <c r="DO116" s="22"/>
      <c r="DP116" s="22"/>
      <c r="DQ116" s="22"/>
      <c r="DR116" s="22"/>
      <c r="DS116" s="22"/>
      <c r="DT116" s="22"/>
      <c r="DU116" s="22"/>
      <c r="DV116" s="22"/>
      <c r="DW116" s="22"/>
      <c r="DX116" s="22">
        <v>25</v>
      </c>
      <c r="DY116" s="22">
        <v>7</v>
      </c>
      <c r="DZ116" s="22"/>
      <c r="EA116" s="22"/>
      <c r="EB116" s="22"/>
      <c r="EC116" s="22">
        <v>89</v>
      </c>
      <c r="ED116" s="22"/>
      <c r="EE116" s="22">
        <v>109</v>
      </c>
      <c r="EF116" s="22"/>
      <c r="EG116" s="22"/>
      <c r="EH116" s="22"/>
      <c r="EI116" s="22"/>
      <c r="EJ116" s="22"/>
      <c r="EK116" s="22"/>
      <c r="EL116" s="22"/>
      <c r="EM116" s="22"/>
      <c r="EN116" s="22"/>
      <c r="EO116" s="22"/>
      <c r="EP116" s="22"/>
      <c r="EQ116" s="22"/>
      <c r="ER116" s="22"/>
      <c r="ES116" s="22"/>
      <c r="ET116" s="22"/>
      <c r="EU116" s="22"/>
      <c r="EV116" s="22"/>
      <c r="EW116" s="22"/>
      <c r="EX116" s="22"/>
      <c r="EY116" s="22"/>
      <c r="EZ116" s="22"/>
      <c r="FA116" s="22"/>
      <c r="FB116" s="22"/>
      <c r="FC116" s="22"/>
      <c r="FD116" s="22"/>
      <c r="FE116" s="22"/>
      <c r="FF116" s="22"/>
      <c r="FG116" s="22"/>
      <c r="FH116" s="22"/>
      <c r="FI116" s="22"/>
      <c r="FJ116" s="22"/>
      <c r="FK116" s="22"/>
      <c r="FL116" s="22"/>
      <c r="FM116" s="22">
        <v>198</v>
      </c>
      <c r="FN116" s="22"/>
      <c r="FO116" s="22"/>
      <c r="FP116" s="22"/>
      <c r="FQ116" s="22"/>
      <c r="FU116" s="22"/>
      <c r="FV116" s="22"/>
      <c r="GG116" s="22">
        <v>1762</v>
      </c>
    </row>
    <row r="117" spans="1:189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2"/>
      <c r="BO117" s="22"/>
      <c r="BP117" s="22"/>
      <c r="BQ117" s="22"/>
      <c r="BR117" s="22"/>
      <c r="BS117" s="22"/>
      <c r="BT117" s="22"/>
      <c r="BU117" s="22"/>
      <c r="BV117" s="22"/>
      <c r="BW117" s="22"/>
      <c r="BX117" s="22"/>
      <c r="BY117" s="22"/>
      <c r="BZ117" s="22"/>
      <c r="CA117" s="22"/>
      <c r="CB117" s="22"/>
      <c r="CC117" s="22"/>
      <c r="CD117" s="22"/>
      <c r="CE117" s="22"/>
      <c r="CF117" s="22"/>
      <c r="CG117" s="22"/>
      <c r="CH117" s="22"/>
      <c r="CI117" s="22"/>
      <c r="CJ117" s="22"/>
      <c r="CK117" s="22"/>
      <c r="CL117" s="22"/>
      <c r="CO117" s="22"/>
      <c r="CP117" s="22"/>
      <c r="CQ117" s="22"/>
      <c r="CR117" s="22"/>
      <c r="CS117" s="22"/>
      <c r="CT117" s="22"/>
      <c r="CU117" s="22"/>
      <c r="CV117" s="22"/>
      <c r="CW117" s="22"/>
      <c r="CX117" s="22"/>
      <c r="CY117" s="22"/>
      <c r="CZ117" s="22"/>
      <c r="DA117" s="22"/>
      <c r="DB117" s="22"/>
      <c r="DC117" s="22"/>
      <c r="DD117" s="22"/>
      <c r="DE117" s="22"/>
      <c r="DF117" s="22"/>
      <c r="DG117" s="22"/>
      <c r="DH117" s="22"/>
      <c r="DI117" s="22"/>
      <c r="DJ117" s="22"/>
      <c r="DK117" s="22"/>
      <c r="DL117" s="22"/>
      <c r="DM117" s="22"/>
      <c r="DN117" s="22"/>
      <c r="DO117" s="22"/>
      <c r="DP117" s="22"/>
      <c r="DQ117" s="22"/>
      <c r="DR117" s="22"/>
      <c r="DS117" s="22"/>
      <c r="DT117" s="22"/>
      <c r="DU117" s="22"/>
      <c r="DV117" s="22"/>
      <c r="DW117" s="22"/>
      <c r="DX117" s="22"/>
      <c r="DY117" s="22"/>
      <c r="DZ117" s="22"/>
      <c r="EA117" s="22"/>
      <c r="EB117" s="22"/>
      <c r="EC117" s="22"/>
      <c r="ED117" s="22"/>
      <c r="EE117" s="22"/>
      <c r="EF117" s="22"/>
      <c r="EG117" s="22"/>
      <c r="EH117" s="22"/>
      <c r="EI117" s="22"/>
      <c r="EJ117" s="22"/>
      <c r="EK117" s="22"/>
      <c r="EL117" s="22"/>
      <c r="EM117" s="22"/>
      <c r="EN117" s="22"/>
      <c r="EO117" s="22"/>
      <c r="EP117" s="22"/>
      <c r="EQ117" s="22"/>
      <c r="ER117" s="22"/>
      <c r="ES117" s="22"/>
      <c r="ET117" s="22"/>
      <c r="EU117" s="22"/>
      <c r="EV117" s="22"/>
      <c r="EW117" s="22"/>
      <c r="EX117" s="22"/>
      <c r="EY117" s="22"/>
      <c r="EZ117" s="22"/>
      <c r="FA117" s="22"/>
      <c r="FB117" s="22"/>
      <c r="FC117" s="22"/>
      <c r="FD117" s="22"/>
      <c r="FE117" s="22"/>
      <c r="FF117" s="22"/>
      <c r="FG117" s="22"/>
      <c r="FH117" s="22"/>
      <c r="FI117" s="22"/>
      <c r="FJ117" s="22"/>
      <c r="FK117" s="22"/>
      <c r="FL117" s="22"/>
      <c r="FM117" s="22"/>
      <c r="FN117" s="22"/>
      <c r="FO117" s="22"/>
      <c r="FP117" s="22"/>
      <c r="FQ117" s="22"/>
      <c r="FU117" s="22"/>
      <c r="FV117" s="22"/>
      <c r="GG117" s="22">
        <v>0</v>
      </c>
    </row>
    <row r="118" spans="1:189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O118" s="22"/>
      <c r="CP118" s="22"/>
      <c r="CQ118" s="22"/>
      <c r="CR118" s="22"/>
      <c r="CS118" s="22"/>
      <c r="CT118" s="22"/>
      <c r="CU118" s="22"/>
      <c r="CV118" s="22"/>
      <c r="CW118" s="22"/>
      <c r="CX118" s="22"/>
      <c r="CY118" s="22"/>
      <c r="CZ118" s="22"/>
      <c r="DA118" s="22"/>
      <c r="DB118" s="22"/>
      <c r="DC118" s="22"/>
      <c r="DD118" s="22"/>
      <c r="DE118" s="22"/>
      <c r="DF118" s="22"/>
      <c r="DG118" s="22"/>
      <c r="DH118" s="22">
        <v>100</v>
      </c>
      <c r="DI118" s="22"/>
      <c r="DJ118" s="22">
        <v>47</v>
      </c>
      <c r="DK118" s="22"/>
      <c r="DL118" s="22"/>
      <c r="DM118" s="22"/>
      <c r="DN118" s="22"/>
      <c r="DO118" s="22"/>
      <c r="DP118" s="22"/>
      <c r="DQ118" s="22"/>
      <c r="DR118" s="22"/>
      <c r="DS118" s="22"/>
      <c r="DT118" s="22"/>
      <c r="DU118" s="22"/>
      <c r="DV118" s="22"/>
      <c r="DW118" s="22"/>
      <c r="DX118" s="22"/>
      <c r="DY118" s="22"/>
      <c r="DZ118" s="22"/>
      <c r="EA118" s="22">
        <v>51</v>
      </c>
      <c r="EB118" s="22"/>
      <c r="EC118" s="22"/>
      <c r="ED118" s="22"/>
      <c r="EE118" s="22"/>
      <c r="EF118" s="22"/>
      <c r="EG118" s="22"/>
      <c r="EH118" s="22"/>
      <c r="EI118" s="22"/>
      <c r="EJ118" s="22"/>
      <c r="EK118" s="22"/>
      <c r="EL118" s="22"/>
      <c r="EM118" s="22"/>
      <c r="EN118" s="22"/>
      <c r="EO118" s="22"/>
      <c r="EP118" s="22"/>
      <c r="EQ118" s="22"/>
      <c r="ER118" s="22">
        <v>26</v>
      </c>
      <c r="ES118" s="22"/>
      <c r="ET118" s="22"/>
      <c r="EU118" s="22"/>
      <c r="EV118" s="22"/>
      <c r="EW118" s="22"/>
      <c r="EX118" s="22"/>
      <c r="EY118" s="22"/>
      <c r="EZ118" s="22">
        <v>10</v>
      </c>
      <c r="FA118" s="22"/>
      <c r="FB118" s="22"/>
      <c r="FC118" s="22"/>
      <c r="FD118" s="22"/>
      <c r="FE118" s="22"/>
      <c r="FF118" s="22"/>
      <c r="FG118" s="22"/>
      <c r="FH118" s="22"/>
      <c r="FI118" s="22"/>
      <c r="FJ118" s="22"/>
      <c r="FK118" s="22"/>
      <c r="FL118" s="22">
        <v>15</v>
      </c>
      <c r="FM118" s="22"/>
      <c r="FN118" s="22"/>
      <c r="FO118" s="22"/>
      <c r="FP118" s="22"/>
      <c r="FQ118" s="22"/>
      <c r="FU118" s="22"/>
      <c r="FV118" s="22"/>
      <c r="GG118" s="22">
        <v>249</v>
      </c>
    </row>
    <row r="119" spans="1:189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X119" s="36"/>
      <c r="Y119" s="36"/>
      <c r="Z119" s="36"/>
      <c r="AA119" s="36"/>
      <c r="AB119" s="36"/>
      <c r="AC119" s="36"/>
      <c r="AD119" s="36"/>
      <c r="AE119" s="36">
        <v>194</v>
      </c>
      <c r="AF119" s="36"/>
      <c r="AG119" s="36"/>
      <c r="AH119" s="36"/>
      <c r="AI119" s="36"/>
      <c r="AJ119" s="36">
        <v>30</v>
      </c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>
        <v>1830</v>
      </c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>
        <v>151</v>
      </c>
      <c r="CH119" s="22"/>
      <c r="CI119" s="22"/>
      <c r="CJ119" s="22">
        <v>1010</v>
      </c>
      <c r="CK119" s="22"/>
      <c r="CL119" s="22"/>
      <c r="CO119" s="22"/>
      <c r="CP119" s="22"/>
      <c r="CQ119" s="22"/>
      <c r="CR119" s="22"/>
      <c r="CS119" s="22"/>
      <c r="CT119" s="22"/>
      <c r="CU119" s="22"/>
      <c r="CV119" s="22"/>
      <c r="CW119" s="22">
        <v>9</v>
      </c>
      <c r="CX119" s="22"/>
      <c r="CY119" s="22">
        <v>190</v>
      </c>
      <c r="CZ119" s="22"/>
      <c r="DA119" s="22"/>
      <c r="DB119" s="22"/>
      <c r="DC119" s="22"/>
      <c r="DD119" s="22">
        <v>310</v>
      </c>
      <c r="DE119" s="22"/>
      <c r="DF119" s="22">
        <v>200</v>
      </c>
      <c r="DG119" s="22"/>
      <c r="DH119" s="22">
        <v>100</v>
      </c>
      <c r="DI119" s="22">
        <v>160</v>
      </c>
      <c r="DJ119" s="22">
        <v>100</v>
      </c>
      <c r="DK119" s="22"/>
      <c r="DL119" s="22"/>
      <c r="DM119" s="22"/>
      <c r="DN119" s="22"/>
      <c r="DO119" s="22"/>
      <c r="DP119" s="22"/>
      <c r="DQ119" s="22"/>
      <c r="DR119" s="22"/>
      <c r="DS119" s="22"/>
      <c r="DT119" s="22"/>
      <c r="DU119" s="22"/>
      <c r="DV119" s="22"/>
      <c r="DW119" s="22"/>
      <c r="DX119" s="22"/>
      <c r="DY119" s="22"/>
      <c r="DZ119" s="22"/>
      <c r="EA119" s="22"/>
      <c r="EB119" s="22">
        <v>275</v>
      </c>
      <c r="EC119" s="22"/>
      <c r="ED119" s="22"/>
      <c r="EE119" s="22"/>
      <c r="EF119" s="22"/>
      <c r="EG119" s="22"/>
      <c r="EH119" s="22"/>
      <c r="EI119" s="22"/>
      <c r="EJ119" s="22"/>
      <c r="EK119" s="22"/>
      <c r="EL119" s="22"/>
      <c r="EM119" s="22"/>
      <c r="EN119" s="22"/>
      <c r="EO119" s="22">
        <v>630</v>
      </c>
      <c r="EP119" s="22"/>
      <c r="EQ119" s="22"/>
      <c r="ER119" s="22"/>
      <c r="ES119" s="22"/>
      <c r="ET119" s="22"/>
      <c r="EU119" s="22"/>
      <c r="EV119" s="22">
        <v>127</v>
      </c>
      <c r="EW119" s="22"/>
      <c r="EX119" s="22"/>
      <c r="EY119" s="22"/>
      <c r="EZ119" s="22">
        <v>146</v>
      </c>
      <c r="FA119" s="22">
        <v>300</v>
      </c>
      <c r="FB119" s="22"/>
      <c r="FC119" s="22">
        <v>200</v>
      </c>
      <c r="FD119" s="22"/>
      <c r="FE119" s="22"/>
      <c r="FF119" s="22"/>
      <c r="FG119" s="22"/>
      <c r="FH119" s="22"/>
      <c r="FI119" s="22"/>
      <c r="FJ119" s="22"/>
      <c r="FK119" s="22"/>
      <c r="FL119" s="22">
        <v>178</v>
      </c>
      <c r="FM119" s="22"/>
      <c r="FN119" s="22"/>
      <c r="FO119" s="22"/>
      <c r="FP119" s="22"/>
      <c r="FQ119" s="22"/>
      <c r="FU119" s="22"/>
      <c r="FV119" s="22"/>
      <c r="GG119" s="22">
        <v>6140</v>
      </c>
    </row>
    <row r="120" spans="1:189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2"/>
      <c r="BO120" s="22"/>
      <c r="BP120" s="22"/>
      <c r="BQ120" s="22"/>
      <c r="BR120" s="22"/>
      <c r="BS120" s="22"/>
      <c r="BT120" s="22"/>
      <c r="BU120" s="22"/>
      <c r="BV120" s="22"/>
      <c r="BW120" s="22"/>
      <c r="BX120" s="22"/>
      <c r="BY120" s="22"/>
      <c r="BZ120" s="22"/>
      <c r="CA120" s="22"/>
      <c r="CB120" s="22"/>
      <c r="CC120" s="22"/>
      <c r="CD120" s="22"/>
      <c r="CE120" s="22"/>
      <c r="CF120" s="22"/>
      <c r="CG120" s="22"/>
      <c r="CH120" s="22"/>
      <c r="CI120" s="22"/>
      <c r="CJ120" s="22"/>
      <c r="CK120" s="22"/>
      <c r="CL120" s="22"/>
      <c r="CO120" s="22"/>
      <c r="CP120" s="22"/>
      <c r="CQ120" s="22"/>
      <c r="CR120" s="22"/>
      <c r="CS120" s="22"/>
      <c r="CT120" s="22"/>
      <c r="CU120" s="22"/>
      <c r="CV120" s="22"/>
      <c r="CW120" s="22"/>
      <c r="CX120" s="22"/>
      <c r="CY120" s="22"/>
      <c r="CZ120" s="22"/>
      <c r="DA120" s="22"/>
      <c r="DB120" s="22"/>
      <c r="DC120" s="22"/>
      <c r="DD120" s="22"/>
      <c r="DE120" s="22"/>
      <c r="DF120" s="22"/>
      <c r="DG120" s="22"/>
      <c r="DH120" s="22"/>
      <c r="DI120" s="22"/>
      <c r="DJ120" s="22"/>
      <c r="DK120" s="22"/>
      <c r="DL120" s="22"/>
      <c r="DM120" s="22"/>
      <c r="DN120" s="22"/>
      <c r="DO120" s="22"/>
      <c r="DP120" s="22"/>
      <c r="DQ120" s="22"/>
      <c r="DR120" s="22"/>
      <c r="DS120" s="22"/>
      <c r="DT120" s="22"/>
      <c r="DU120" s="22"/>
      <c r="DV120" s="22"/>
      <c r="DW120" s="22"/>
      <c r="DX120" s="22"/>
      <c r="DY120" s="22"/>
      <c r="DZ120" s="22"/>
      <c r="EA120" s="22"/>
      <c r="EB120" s="22"/>
      <c r="EC120" s="22"/>
      <c r="ED120" s="22"/>
      <c r="EE120" s="22"/>
      <c r="EF120" s="22"/>
      <c r="EG120" s="22"/>
      <c r="EH120" s="22"/>
      <c r="EI120" s="22"/>
      <c r="EJ120" s="22"/>
      <c r="EK120" s="22"/>
      <c r="EL120" s="22"/>
      <c r="EM120" s="22"/>
      <c r="EN120" s="22"/>
      <c r="EO120" s="22"/>
      <c r="EP120" s="22"/>
      <c r="EQ120" s="22"/>
      <c r="ER120" s="22"/>
      <c r="ES120" s="22"/>
      <c r="ET120" s="22"/>
      <c r="EU120" s="22"/>
      <c r="EV120" s="22"/>
      <c r="EW120" s="22"/>
      <c r="EX120" s="22"/>
      <c r="EY120" s="22"/>
      <c r="EZ120" s="22"/>
      <c r="FA120" s="22"/>
      <c r="FB120" s="22"/>
      <c r="FC120" s="22"/>
      <c r="FD120" s="22"/>
      <c r="FE120" s="22"/>
      <c r="FF120" s="22"/>
      <c r="FG120" s="22"/>
      <c r="FH120" s="22"/>
      <c r="FI120" s="22"/>
      <c r="FJ120" s="22"/>
      <c r="FK120" s="22"/>
      <c r="FL120" s="22"/>
      <c r="FM120" s="22"/>
      <c r="FN120" s="22"/>
      <c r="FO120" s="22"/>
      <c r="FP120" s="22"/>
      <c r="FQ120" s="22"/>
      <c r="FU120" s="22"/>
      <c r="FV120" s="22"/>
      <c r="GG120" s="22">
        <v>0</v>
      </c>
    </row>
    <row r="121" spans="1:189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2"/>
      <c r="BO121" s="22"/>
      <c r="BP121" s="22"/>
      <c r="BQ121" s="22"/>
      <c r="BR121" s="22"/>
      <c r="BS121" s="22"/>
      <c r="BT121" s="22"/>
      <c r="BU121" s="22"/>
      <c r="BV121" s="22"/>
      <c r="BW121" s="22"/>
      <c r="BX121" s="22"/>
      <c r="BY121" s="22"/>
      <c r="BZ121" s="22"/>
      <c r="CA121" s="22"/>
      <c r="CB121" s="22"/>
      <c r="CC121" s="22"/>
      <c r="CD121" s="22"/>
      <c r="CE121" s="22"/>
      <c r="CF121" s="22"/>
      <c r="CG121" s="22"/>
      <c r="CH121" s="22"/>
      <c r="CI121" s="22"/>
      <c r="CJ121" s="22"/>
      <c r="CK121" s="22"/>
      <c r="CL121" s="22"/>
      <c r="CO121" s="22"/>
      <c r="CP121" s="22"/>
      <c r="CQ121" s="22"/>
      <c r="CR121" s="22"/>
      <c r="CS121" s="22"/>
      <c r="CT121" s="22"/>
      <c r="CU121" s="22"/>
      <c r="CV121" s="22"/>
      <c r="CW121" s="22"/>
      <c r="CX121" s="22"/>
      <c r="CY121" s="22"/>
      <c r="CZ121" s="22"/>
      <c r="DA121" s="22"/>
      <c r="DB121" s="22"/>
      <c r="DC121" s="22"/>
      <c r="DD121" s="22"/>
      <c r="DE121" s="22"/>
      <c r="DF121" s="22"/>
      <c r="DG121" s="22"/>
      <c r="DH121" s="22"/>
      <c r="DI121" s="22"/>
      <c r="DJ121" s="22"/>
      <c r="DK121" s="22"/>
      <c r="DL121" s="22"/>
      <c r="DM121" s="22"/>
      <c r="DN121" s="22"/>
      <c r="DO121" s="22"/>
      <c r="DP121" s="22"/>
      <c r="DQ121" s="22"/>
      <c r="DR121" s="22"/>
      <c r="DS121" s="22"/>
      <c r="DT121" s="22"/>
      <c r="DU121" s="22"/>
      <c r="DV121" s="22"/>
      <c r="DW121" s="22"/>
      <c r="DX121" s="22"/>
      <c r="DY121" s="22"/>
      <c r="DZ121" s="22"/>
      <c r="EA121" s="22"/>
      <c r="EB121" s="22"/>
      <c r="EC121" s="22"/>
      <c r="ED121" s="22"/>
      <c r="EE121" s="22"/>
      <c r="EF121" s="22"/>
      <c r="EG121" s="22"/>
      <c r="EH121" s="22"/>
      <c r="EI121" s="22"/>
      <c r="EJ121" s="22"/>
      <c r="EK121" s="22"/>
      <c r="EL121" s="22"/>
      <c r="EM121" s="22"/>
      <c r="EN121" s="22"/>
      <c r="EO121" s="22"/>
      <c r="EP121" s="22"/>
      <c r="EQ121" s="22"/>
      <c r="ER121" s="22"/>
      <c r="ES121" s="22"/>
      <c r="ET121" s="22"/>
      <c r="EU121" s="22"/>
      <c r="EV121" s="22"/>
      <c r="EW121" s="22"/>
      <c r="EX121" s="22"/>
      <c r="EY121" s="22"/>
      <c r="EZ121" s="22"/>
      <c r="FA121" s="22"/>
      <c r="FB121" s="22"/>
      <c r="FC121" s="22"/>
      <c r="FD121" s="22"/>
      <c r="FE121" s="22"/>
      <c r="FF121" s="22"/>
      <c r="FG121" s="22"/>
      <c r="FH121" s="22"/>
      <c r="FI121" s="22"/>
      <c r="FJ121" s="22"/>
      <c r="FK121" s="22"/>
      <c r="FL121" s="22"/>
      <c r="FM121" s="22"/>
      <c r="FN121" s="22"/>
      <c r="FO121" s="22"/>
      <c r="FP121" s="22"/>
      <c r="FQ121" s="22"/>
      <c r="FU121" s="22"/>
      <c r="FV121" s="22"/>
      <c r="GG121" s="22">
        <v>0</v>
      </c>
    </row>
    <row r="122" spans="1:189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2"/>
      <c r="BO122" s="22"/>
      <c r="BP122" s="22"/>
      <c r="BQ122" s="22"/>
      <c r="BR122" s="22"/>
      <c r="BS122" s="22"/>
      <c r="BT122" s="22"/>
      <c r="BU122" s="22"/>
      <c r="BV122" s="22"/>
      <c r="BW122" s="22"/>
      <c r="BX122" s="22"/>
      <c r="BY122" s="22"/>
      <c r="BZ122" s="22"/>
      <c r="CA122" s="22"/>
      <c r="CB122" s="22"/>
      <c r="CC122" s="22"/>
      <c r="CD122" s="22"/>
      <c r="CE122" s="22"/>
      <c r="CF122" s="22"/>
      <c r="CG122" s="22"/>
      <c r="CH122" s="22"/>
      <c r="CI122" s="22"/>
      <c r="CJ122" s="22"/>
      <c r="CK122" s="22"/>
      <c r="CL122" s="22"/>
      <c r="CO122" s="22"/>
      <c r="CP122" s="22"/>
      <c r="CQ122" s="22"/>
      <c r="CR122" s="22"/>
      <c r="CS122" s="22"/>
      <c r="CT122" s="22"/>
      <c r="CU122" s="22"/>
      <c r="CV122" s="22"/>
      <c r="CW122" s="22"/>
      <c r="CX122" s="22"/>
      <c r="CY122" s="22"/>
      <c r="CZ122" s="22"/>
      <c r="DA122" s="22"/>
      <c r="DB122" s="22"/>
      <c r="DC122" s="22"/>
      <c r="DD122" s="22"/>
      <c r="DE122" s="22"/>
      <c r="DF122" s="22"/>
      <c r="DG122" s="22"/>
      <c r="DH122" s="22"/>
      <c r="DI122" s="22"/>
      <c r="DJ122" s="22"/>
      <c r="DK122" s="22"/>
      <c r="DL122" s="22"/>
      <c r="DM122" s="22"/>
      <c r="DN122" s="22"/>
      <c r="DO122" s="22"/>
      <c r="DP122" s="22"/>
      <c r="DQ122" s="22"/>
      <c r="DR122" s="22"/>
      <c r="DS122" s="22"/>
      <c r="DT122" s="22"/>
      <c r="DU122" s="22"/>
      <c r="DV122" s="22"/>
      <c r="DW122" s="22"/>
      <c r="DX122" s="22"/>
      <c r="DY122" s="22"/>
      <c r="DZ122" s="22"/>
      <c r="EA122" s="22"/>
      <c r="EB122" s="22"/>
      <c r="EC122" s="22"/>
      <c r="ED122" s="22"/>
      <c r="EE122" s="22"/>
      <c r="EF122" s="22"/>
      <c r="EG122" s="22"/>
      <c r="EH122" s="22"/>
      <c r="EI122" s="22"/>
      <c r="EJ122" s="22"/>
      <c r="EK122" s="22"/>
      <c r="EL122" s="22"/>
      <c r="EM122" s="22"/>
      <c r="EN122" s="22"/>
      <c r="EO122" s="22"/>
      <c r="EP122" s="22"/>
      <c r="EQ122" s="22"/>
      <c r="ER122" s="22"/>
      <c r="ES122" s="22"/>
      <c r="ET122" s="22"/>
      <c r="EU122" s="22"/>
      <c r="EV122" s="22"/>
      <c r="EW122" s="22"/>
      <c r="EX122" s="22"/>
      <c r="EY122" s="22"/>
      <c r="EZ122" s="22"/>
      <c r="FA122" s="22"/>
      <c r="FB122" s="22"/>
      <c r="FC122" s="22"/>
      <c r="FD122" s="22"/>
      <c r="FE122" s="22"/>
      <c r="FF122" s="22"/>
      <c r="FG122" s="22"/>
      <c r="FH122" s="22"/>
      <c r="FI122" s="22"/>
      <c r="FJ122" s="22"/>
      <c r="FK122" s="22"/>
      <c r="FL122" s="22"/>
      <c r="FM122" s="22"/>
      <c r="FN122" s="22"/>
      <c r="FO122" s="22"/>
      <c r="FP122" s="22"/>
      <c r="FQ122" s="22"/>
      <c r="FU122" s="22"/>
      <c r="FV122" s="22"/>
      <c r="GG122" s="22">
        <v>0</v>
      </c>
    </row>
    <row r="123" spans="1:189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F123" s="22">
        <v>100</v>
      </c>
      <c r="I123" s="22">
        <v>50</v>
      </c>
      <c r="K123" s="22">
        <v>600</v>
      </c>
      <c r="M123" s="22">
        <v>4</v>
      </c>
      <c r="X123" s="36"/>
      <c r="Y123" s="36">
        <v>8</v>
      </c>
      <c r="Z123" s="36"/>
      <c r="AA123" s="36">
        <v>10</v>
      </c>
      <c r="AB123" s="36"/>
      <c r="AC123" s="36"/>
      <c r="AD123" s="36">
        <v>50</v>
      </c>
      <c r="AE123" s="36"/>
      <c r="AF123" s="36"/>
      <c r="AG123" s="36"/>
      <c r="AH123" s="36"/>
      <c r="AI123" s="36"/>
      <c r="AJ123" s="36"/>
      <c r="AK123" s="36"/>
      <c r="AL123" s="36">
        <v>40</v>
      </c>
      <c r="AM123" s="36"/>
      <c r="AN123" s="36"/>
      <c r="AO123" s="36"/>
      <c r="AP123" s="36"/>
      <c r="AQ123" s="36">
        <v>100</v>
      </c>
      <c r="AR123" s="36"/>
      <c r="AS123" s="36"/>
      <c r="AT123" s="36"/>
      <c r="AU123" s="36"/>
      <c r="AV123" s="36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2"/>
      <c r="BO123" s="22"/>
      <c r="BP123" s="22"/>
      <c r="BQ123" s="22"/>
      <c r="BR123" s="22"/>
      <c r="BS123" s="22"/>
      <c r="BT123" s="22"/>
      <c r="BU123" s="22"/>
      <c r="BV123" s="22"/>
      <c r="BW123" s="22"/>
      <c r="BX123" s="22"/>
      <c r="BY123" s="22"/>
      <c r="BZ123" s="22"/>
      <c r="CA123" s="22"/>
      <c r="CB123" s="22"/>
      <c r="CC123" s="22"/>
      <c r="CD123" s="22"/>
      <c r="CE123" s="22"/>
      <c r="CF123" s="22"/>
      <c r="CG123" s="22">
        <v>25</v>
      </c>
      <c r="CH123" s="22"/>
      <c r="CI123" s="22">
        <v>600</v>
      </c>
      <c r="CJ123" s="22"/>
      <c r="CK123" s="22">
        <v>50</v>
      </c>
      <c r="CL123" s="22"/>
      <c r="CM123" s="22">
        <v>200</v>
      </c>
      <c r="CO123" s="22">
        <v>40</v>
      </c>
      <c r="CP123" s="22"/>
      <c r="CQ123" s="22">
        <v>22</v>
      </c>
      <c r="CR123" s="22"/>
      <c r="CS123" s="22"/>
      <c r="CT123" s="22"/>
      <c r="CU123" s="22"/>
      <c r="CV123" s="22"/>
      <c r="CW123" s="22">
        <v>6</v>
      </c>
      <c r="CX123" s="22"/>
      <c r="CY123" s="22"/>
      <c r="CZ123" s="22"/>
      <c r="DA123" s="22"/>
      <c r="DB123" s="22"/>
      <c r="DC123" s="22"/>
      <c r="DD123" s="22">
        <v>8</v>
      </c>
      <c r="DE123" s="22"/>
      <c r="DF123" s="22"/>
      <c r="DG123" s="22">
        <v>600</v>
      </c>
      <c r="DH123" s="22">
        <v>467</v>
      </c>
      <c r="DI123" s="22"/>
      <c r="DJ123" s="22"/>
      <c r="DK123" s="22"/>
      <c r="DL123" s="22"/>
      <c r="DM123" s="22"/>
      <c r="DN123" s="22"/>
      <c r="DO123" s="22"/>
      <c r="DP123" s="22"/>
      <c r="DQ123" s="22"/>
      <c r="DR123" s="22"/>
      <c r="DS123" s="22"/>
      <c r="DT123" s="22"/>
      <c r="DU123" s="22"/>
      <c r="DV123" s="22"/>
      <c r="DW123" s="22"/>
      <c r="DX123" s="22"/>
      <c r="DY123" s="22"/>
      <c r="DZ123" s="22"/>
      <c r="EA123" s="22"/>
      <c r="EB123" s="22"/>
      <c r="EC123" s="22"/>
      <c r="ED123" s="22"/>
      <c r="EE123" s="22"/>
      <c r="EF123" s="22"/>
      <c r="EG123" s="22"/>
      <c r="EH123" s="22"/>
      <c r="EI123" s="22"/>
      <c r="EJ123" s="22"/>
      <c r="EK123" s="22"/>
      <c r="EL123" s="22"/>
      <c r="EM123" s="22"/>
      <c r="EN123" s="22"/>
      <c r="EO123" s="22">
        <v>500</v>
      </c>
      <c r="EP123" s="22"/>
      <c r="EQ123" s="22"/>
      <c r="ER123" s="22">
        <v>212</v>
      </c>
      <c r="ES123" s="22">
        <v>700</v>
      </c>
      <c r="ET123" s="22"/>
      <c r="EU123" s="22"/>
      <c r="EV123" s="22"/>
      <c r="EW123" s="22"/>
      <c r="EX123" s="22"/>
      <c r="EY123" s="22"/>
      <c r="EZ123" s="22"/>
      <c r="FA123" s="22"/>
      <c r="FB123" s="22"/>
      <c r="FC123" s="22"/>
      <c r="FD123" s="22"/>
      <c r="FE123" s="22">
        <v>600</v>
      </c>
      <c r="FF123" s="22"/>
      <c r="FG123" s="22"/>
      <c r="FH123" s="22"/>
      <c r="FI123" s="22"/>
      <c r="FJ123" s="22"/>
      <c r="FK123" s="22"/>
      <c r="FL123" s="22">
        <v>583</v>
      </c>
      <c r="FM123" s="22"/>
      <c r="FN123" s="22"/>
      <c r="FO123" s="22"/>
      <c r="FP123" s="22"/>
      <c r="FQ123" s="22"/>
      <c r="FU123" s="22"/>
      <c r="FV123" s="22"/>
      <c r="GG123" s="22">
        <v>5575</v>
      </c>
    </row>
    <row r="124" spans="1:189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S124" s="22">
        <v>50</v>
      </c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2"/>
      <c r="BO124" s="22"/>
      <c r="BP124" s="22"/>
      <c r="BQ124" s="22"/>
      <c r="BR124" s="22"/>
      <c r="BS124" s="22"/>
      <c r="BT124" s="22"/>
      <c r="BU124" s="22">
        <v>134</v>
      </c>
      <c r="BV124" s="22"/>
      <c r="BW124" s="22"/>
      <c r="BX124" s="22"/>
      <c r="BY124" s="22"/>
      <c r="BZ124" s="22"/>
      <c r="CA124" s="22"/>
      <c r="CB124" s="22"/>
      <c r="CC124" s="22"/>
      <c r="CD124" s="22"/>
      <c r="CE124" s="22"/>
      <c r="CF124" s="22"/>
      <c r="CG124" s="22"/>
      <c r="CH124" s="22"/>
      <c r="CI124" s="22"/>
      <c r="CJ124" s="22"/>
      <c r="CK124" s="22"/>
      <c r="CL124" s="22"/>
      <c r="CM124" s="22">
        <v>200</v>
      </c>
      <c r="CO124" s="22"/>
      <c r="CP124" s="22"/>
      <c r="CQ124" s="22"/>
      <c r="CR124" s="22"/>
      <c r="CS124" s="22"/>
      <c r="CT124" s="22"/>
      <c r="CU124" s="22"/>
      <c r="CV124" s="22"/>
      <c r="CW124" s="22"/>
      <c r="CX124" s="22"/>
      <c r="CY124" s="22"/>
      <c r="CZ124" s="22"/>
      <c r="DA124" s="22"/>
      <c r="DB124" s="22"/>
      <c r="DC124" s="22"/>
      <c r="DD124" s="22"/>
      <c r="DE124" s="22"/>
      <c r="DF124" s="22"/>
      <c r="DG124" s="22"/>
      <c r="DH124" s="22"/>
      <c r="DI124" s="22"/>
      <c r="DJ124" s="22"/>
      <c r="DK124" s="22"/>
      <c r="DL124" s="22"/>
      <c r="DM124" s="22"/>
      <c r="DN124" s="22"/>
      <c r="DO124" s="22"/>
      <c r="DP124" s="22"/>
      <c r="DQ124" s="22"/>
      <c r="DR124" s="22"/>
      <c r="DS124" s="22"/>
      <c r="DT124" s="22"/>
      <c r="DU124" s="22"/>
      <c r="DV124" s="22"/>
      <c r="DW124" s="22"/>
      <c r="DX124" s="22"/>
      <c r="DY124" s="22"/>
      <c r="DZ124" s="22"/>
      <c r="EA124" s="22"/>
      <c r="EB124" s="22"/>
      <c r="EC124" s="22"/>
      <c r="ED124" s="22"/>
      <c r="EE124" s="22"/>
      <c r="EF124" s="22"/>
      <c r="EG124" s="22"/>
      <c r="EH124" s="22"/>
      <c r="EI124" s="22"/>
      <c r="EJ124" s="22"/>
      <c r="EK124" s="22"/>
      <c r="EL124" s="22"/>
      <c r="EM124" s="22"/>
      <c r="EN124" s="22"/>
      <c r="EO124" s="22"/>
      <c r="EP124" s="22"/>
      <c r="EQ124" s="22"/>
      <c r="ER124" s="22"/>
      <c r="ES124" s="22"/>
      <c r="ET124" s="22"/>
      <c r="EU124" s="22"/>
      <c r="EV124" s="22"/>
      <c r="EW124" s="22"/>
      <c r="EX124" s="22"/>
      <c r="EY124" s="22"/>
      <c r="EZ124" s="22"/>
      <c r="FA124" s="22"/>
      <c r="FB124" s="22"/>
      <c r="FC124" s="22"/>
      <c r="FD124" s="22"/>
      <c r="FE124" s="22"/>
      <c r="FF124" s="22"/>
      <c r="FG124" s="22"/>
      <c r="FH124" s="22"/>
      <c r="FI124" s="22"/>
      <c r="FJ124" s="22"/>
      <c r="FK124" s="22"/>
      <c r="FL124" s="22"/>
      <c r="FM124" s="22"/>
      <c r="FN124" s="22"/>
      <c r="FO124" s="22"/>
      <c r="FP124" s="22"/>
      <c r="FQ124" s="22"/>
      <c r="FU124" s="22"/>
      <c r="FV124" s="22"/>
      <c r="GG124" s="22">
        <v>384</v>
      </c>
    </row>
    <row r="125" spans="1:189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G125" s="22">
        <v>50</v>
      </c>
      <c r="I125" s="22">
        <v>100</v>
      </c>
      <c r="K125" s="22">
        <v>600</v>
      </c>
      <c r="S125" s="22">
        <v>50</v>
      </c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>
        <v>20</v>
      </c>
      <c r="AL125" s="36">
        <v>25</v>
      </c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>
        <v>564</v>
      </c>
      <c r="CJ125" s="22"/>
      <c r="CK125" s="22">
        <v>50</v>
      </c>
      <c r="CL125" s="22"/>
      <c r="CM125" s="22">
        <v>100</v>
      </c>
      <c r="CO125" s="22"/>
      <c r="CP125" s="22"/>
      <c r="CQ125" s="22">
        <v>28</v>
      </c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  <c r="DJ125" s="22"/>
      <c r="DK125" s="22"/>
      <c r="DL125" s="22"/>
      <c r="DM125" s="22"/>
      <c r="DN125" s="22"/>
      <c r="DO125" s="22"/>
      <c r="DP125" s="22"/>
      <c r="DQ125" s="22"/>
      <c r="DR125" s="22"/>
      <c r="DS125" s="22"/>
      <c r="DT125" s="22"/>
      <c r="DU125" s="22"/>
      <c r="DV125" s="22"/>
      <c r="DW125" s="22"/>
      <c r="DX125" s="22"/>
      <c r="DY125" s="22"/>
      <c r="DZ125" s="22"/>
      <c r="EA125" s="22"/>
      <c r="EB125" s="22"/>
      <c r="EC125" s="22"/>
      <c r="ED125" s="22"/>
      <c r="EE125" s="22"/>
      <c r="EF125" s="22"/>
      <c r="EG125" s="22"/>
      <c r="EH125" s="22"/>
      <c r="EI125" s="22"/>
      <c r="EJ125" s="22"/>
      <c r="EK125" s="22"/>
      <c r="EL125" s="22"/>
      <c r="EM125" s="22"/>
      <c r="EN125" s="22"/>
      <c r="EO125" s="22"/>
      <c r="EP125" s="22"/>
      <c r="EQ125" s="22"/>
      <c r="ER125" s="22"/>
      <c r="ES125" s="22"/>
      <c r="ET125" s="22"/>
      <c r="EU125" s="22"/>
      <c r="EV125" s="22"/>
      <c r="EW125" s="22"/>
      <c r="EX125" s="22">
        <v>300</v>
      </c>
      <c r="EY125" s="22"/>
      <c r="EZ125" s="22"/>
      <c r="FA125" s="22"/>
      <c r="FB125" s="22"/>
      <c r="FC125" s="22"/>
      <c r="FD125" s="22"/>
      <c r="FE125" s="22"/>
      <c r="FF125" s="22"/>
      <c r="FG125" s="22"/>
      <c r="FH125" s="22"/>
      <c r="FI125" s="22"/>
      <c r="FJ125" s="22"/>
      <c r="FK125" s="22"/>
      <c r="FL125" s="22">
        <v>300</v>
      </c>
      <c r="FM125" s="22">
        <v>300</v>
      </c>
      <c r="FN125" s="22"/>
      <c r="FO125" s="22"/>
      <c r="FP125" s="22">
        <v>300</v>
      </c>
      <c r="FQ125" s="22"/>
      <c r="FT125" s="22">
        <v>6</v>
      </c>
      <c r="FU125" s="22"/>
      <c r="FV125" s="22"/>
      <c r="FW125" s="22">
        <v>2</v>
      </c>
      <c r="GG125" s="22">
        <v>2795</v>
      </c>
    </row>
    <row r="126" spans="1:189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G126" s="22">
        <v>6</v>
      </c>
      <c r="I126" s="22">
        <v>624</v>
      </c>
      <c r="K126" s="22">
        <v>72</v>
      </c>
      <c r="M126" s="22">
        <v>652</v>
      </c>
      <c r="N126" s="22">
        <v>10</v>
      </c>
      <c r="O126" s="22">
        <v>56</v>
      </c>
      <c r="P126" s="22">
        <v>46</v>
      </c>
      <c r="R126" s="22">
        <v>344</v>
      </c>
      <c r="S126" s="22">
        <v>244</v>
      </c>
      <c r="V126" s="22">
        <v>100</v>
      </c>
      <c r="X126" s="36"/>
      <c r="Y126" s="36">
        <v>10</v>
      </c>
      <c r="Z126" s="36">
        <v>15</v>
      </c>
      <c r="AA126" s="36">
        <v>40</v>
      </c>
      <c r="AB126" s="36">
        <v>128</v>
      </c>
      <c r="AC126" s="36"/>
      <c r="AD126" s="36"/>
      <c r="AE126" s="36"/>
      <c r="AF126" s="36">
        <v>26</v>
      </c>
      <c r="AG126" s="36">
        <v>10</v>
      </c>
      <c r="AH126" s="36"/>
      <c r="AI126" s="36"/>
      <c r="AJ126" s="36"/>
      <c r="AK126" s="36"/>
      <c r="AL126" s="36">
        <v>60</v>
      </c>
      <c r="AM126" s="36"/>
      <c r="AN126" s="36"/>
      <c r="AO126" s="36"/>
      <c r="AP126" s="36"/>
      <c r="AQ126" s="36">
        <v>100</v>
      </c>
      <c r="AR126" s="36"/>
      <c r="AS126" s="36"/>
      <c r="AT126" s="36"/>
      <c r="AU126" s="36"/>
      <c r="AV126" s="36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  <c r="BO126" s="22"/>
      <c r="BP126" s="22"/>
      <c r="BQ126" s="22"/>
      <c r="BR126" s="22"/>
      <c r="BS126" s="22">
        <v>371</v>
      </c>
      <c r="BT126" s="22"/>
      <c r="BU126" s="22"/>
      <c r="BV126" s="22"/>
      <c r="BW126" s="22"/>
      <c r="BX126" s="22"/>
      <c r="BY126" s="22"/>
      <c r="BZ126" s="22"/>
      <c r="CA126" s="22">
        <v>400</v>
      </c>
      <c r="CB126" s="22">
        <v>100</v>
      </c>
      <c r="CC126" s="22"/>
      <c r="CD126" s="22"/>
      <c r="CE126" s="22"/>
      <c r="CF126" s="22"/>
      <c r="CG126" s="22">
        <v>228</v>
      </c>
      <c r="CH126" s="22">
        <v>66</v>
      </c>
      <c r="CI126" s="22">
        <v>386</v>
      </c>
      <c r="CJ126" s="22"/>
      <c r="CK126" s="22">
        <v>132</v>
      </c>
      <c r="CL126" s="22"/>
      <c r="CM126" s="22">
        <v>252</v>
      </c>
      <c r="CO126" s="22">
        <v>33</v>
      </c>
      <c r="CP126" s="22">
        <v>123</v>
      </c>
      <c r="CQ126" s="22">
        <v>336</v>
      </c>
      <c r="CR126" s="22"/>
      <c r="CS126" s="22"/>
      <c r="CT126" s="22"/>
      <c r="CU126" s="22"/>
      <c r="CV126" s="22"/>
      <c r="CW126" s="22">
        <v>178</v>
      </c>
      <c r="CX126" s="22">
        <v>201</v>
      </c>
      <c r="CY126" s="22"/>
      <c r="CZ126" s="22"/>
      <c r="DA126" s="22"/>
      <c r="DB126" s="22"/>
      <c r="DC126" s="22"/>
      <c r="DD126" s="22">
        <v>96</v>
      </c>
      <c r="DE126" s="22"/>
      <c r="DF126" s="22">
        <v>18</v>
      </c>
      <c r="DG126" s="22">
        <v>282</v>
      </c>
      <c r="DH126" s="22">
        <v>51</v>
      </c>
      <c r="DI126" s="22">
        <v>18</v>
      </c>
      <c r="DJ126" s="22"/>
      <c r="DK126" s="22"/>
      <c r="DL126" s="22"/>
      <c r="DM126" s="22"/>
      <c r="DN126" s="22">
        <v>74</v>
      </c>
      <c r="DO126" s="22"/>
      <c r="DP126" s="22"/>
      <c r="DQ126" s="22"/>
      <c r="DR126" s="22"/>
      <c r="DS126" s="22"/>
      <c r="DT126" s="22"/>
      <c r="DU126" s="22"/>
      <c r="DV126" s="22"/>
      <c r="DW126" s="22"/>
      <c r="DX126" s="22"/>
      <c r="DY126" s="22">
        <v>12</v>
      </c>
      <c r="DZ126" s="22"/>
      <c r="EA126" s="22"/>
      <c r="EB126" s="22">
        <v>20</v>
      </c>
      <c r="EC126" s="22"/>
      <c r="ED126" s="22"/>
      <c r="EE126" s="22"/>
      <c r="EF126" s="22"/>
      <c r="EG126" s="22"/>
      <c r="EH126" s="22"/>
      <c r="EI126" s="22">
        <v>67</v>
      </c>
      <c r="EJ126" s="22"/>
      <c r="EK126" s="22"/>
      <c r="EL126" s="22"/>
      <c r="EM126" s="22"/>
      <c r="EN126" s="22"/>
      <c r="EO126" s="22"/>
      <c r="EP126" s="22"/>
      <c r="EQ126" s="22">
        <v>106</v>
      </c>
      <c r="ER126" s="22">
        <v>8</v>
      </c>
      <c r="ES126" s="22">
        <v>38</v>
      </c>
      <c r="ET126" s="22"/>
      <c r="EU126" s="22"/>
      <c r="EV126" s="22">
        <v>8</v>
      </c>
      <c r="EW126" s="22">
        <v>16</v>
      </c>
      <c r="EX126" s="22">
        <v>52</v>
      </c>
      <c r="EY126" s="22"/>
      <c r="EZ126" s="22">
        <v>616</v>
      </c>
      <c r="FA126" s="22"/>
      <c r="FB126" s="22"/>
      <c r="FC126" s="22">
        <v>40</v>
      </c>
      <c r="FD126" s="22"/>
      <c r="FE126" s="22">
        <v>16</v>
      </c>
      <c r="FF126" s="22">
        <v>16</v>
      </c>
      <c r="FG126" s="22"/>
      <c r="FH126" s="22">
        <v>80</v>
      </c>
      <c r="FI126" s="22">
        <v>10</v>
      </c>
      <c r="FJ126" s="22"/>
      <c r="FK126" s="22">
        <v>8</v>
      </c>
      <c r="FL126" s="22">
        <v>28</v>
      </c>
      <c r="FM126" s="22">
        <v>44</v>
      </c>
      <c r="FN126" s="22">
        <v>36</v>
      </c>
      <c r="FO126" s="22">
        <v>46</v>
      </c>
      <c r="FP126" s="22">
        <v>58</v>
      </c>
      <c r="FQ126" s="22">
        <v>45</v>
      </c>
      <c r="FT126" s="22">
        <v>60</v>
      </c>
      <c r="FU126" s="22">
        <v>588</v>
      </c>
      <c r="FV126" s="22">
        <v>32</v>
      </c>
      <c r="FW126" s="22">
        <v>73</v>
      </c>
      <c r="GG126" s="22">
        <v>8011</v>
      </c>
    </row>
    <row r="127" spans="1:189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F127" s="22">
        <v>50</v>
      </c>
      <c r="H127" s="22">
        <v>206</v>
      </c>
      <c r="I127" s="22">
        <v>2</v>
      </c>
      <c r="K127" s="22">
        <v>298</v>
      </c>
      <c r="M127" s="22">
        <v>6</v>
      </c>
      <c r="O127" s="22">
        <v>304</v>
      </c>
      <c r="P127" s="22">
        <v>6</v>
      </c>
      <c r="R127" s="22">
        <v>6</v>
      </c>
      <c r="S127" s="22">
        <v>106</v>
      </c>
      <c r="V127" s="22">
        <v>6</v>
      </c>
      <c r="X127" s="36"/>
      <c r="Y127" s="36">
        <v>4</v>
      </c>
      <c r="Z127" s="36">
        <v>10</v>
      </c>
      <c r="AA127" s="36"/>
      <c r="AB127" s="36">
        <v>124</v>
      </c>
      <c r="AC127" s="36"/>
      <c r="AD127" s="36"/>
      <c r="AE127" s="36"/>
      <c r="AF127" s="36">
        <v>22</v>
      </c>
      <c r="AG127" s="36">
        <v>10</v>
      </c>
      <c r="AH127" s="36"/>
      <c r="AI127" s="36"/>
      <c r="AJ127" s="36"/>
      <c r="AK127" s="36"/>
      <c r="AL127" s="36"/>
      <c r="AM127" s="36"/>
      <c r="AN127" s="36"/>
      <c r="AO127" s="36"/>
      <c r="AP127" s="36"/>
      <c r="AQ127" s="36">
        <v>100</v>
      </c>
      <c r="AR127" s="36"/>
      <c r="AS127" s="36"/>
      <c r="AT127" s="36"/>
      <c r="AU127" s="36"/>
      <c r="AV127" s="36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2"/>
      <c r="BO127" s="22"/>
      <c r="BP127" s="22"/>
      <c r="BQ127" s="22"/>
      <c r="BR127" s="22"/>
      <c r="BS127" s="22">
        <v>605</v>
      </c>
      <c r="BT127" s="22"/>
      <c r="BU127" s="22"/>
      <c r="BV127" s="22"/>
      <c r="BW127" s="22"/>
      <c r="BX127" s="22"/>
      <c r="BY127" s="22">
        <v>50</v>
      </c>
      <c r="BZ127" s="22">
        <v>50</v>
      </c>
      <c r="CA127" s="22"/>
      <c r="CB127" s="22">
        <v>200</v>
      </c>
      <c r="CC127" s="22">
        <v>200</v>
      </c>
      <c r="CD127" s="22"/>
      <c r="CE127" s="22"/>
      <c r="CF127" s="22"/>
      <c r="CG127" s="22"/>
      <c r="CH127" s="22">
        <v>567</v>
      </c>
      <c r="CI127" s="22">
        <v>305</v>
      </c>
      <c r="CJ127" s="22">
        <v>210</v>
      </c>
      <c r="CK127" s="22">
        <v>162</v>
      </c>
      <c r="CL127" s="22"/>
      <c r="CM127" s="22">
        <v>306</v>
      </c>
      <c r="CO127" s="22">
        <v>7</v>
      </c>
      <c r="CP127" s="22"/>
      <c r="CQ127" s="22">
        <v>218</v>
      </c>
      <c r="CR127" s="22"/>
      <c r="CS127" s="22"/>
      <c r="CT127" s="22"/>
      <c r="CU127" s="22"/>
      <c r="CV127" s="22"/>
      <c r="CW127" s="22">
        <v>142</v>
      </c>
      <c r="CX127" s="22">
        <v>200</v>
      </c>
      <c r="CY127" s="22"/>
      <c r="CZ127" s="22"/>
      <c r="DA127" s="22"/>
      <c r="DB127" s="22"/>
      <c r="DC127" s="22"/>
      <c r="DD127" s="22">
        <v>602</v>
      </c>
      <c r="DE127" s="22"/>
      <c r="DF127" s="22">
        <v>4</v>
      </c>
      <c r="DG127" s="22"/>
      <c r="DH127" s="22">
        <v>291</v>
      </c>
      <c r="DI127" s="22">
        <v>6</v>
      </c>
      <c r="DJ127" s="22"/>
      <c r="DK127" s="22"/>
      <c r="DL127" s="22"/>
      <c r="DM127" s="22"/>
      <c r="DN127" s="22">
        <v>424</v>
      </c>
      <c r="DO127" s="22"/>
      <c r="DP127" s="22"/>
      <c r="DQ127" s="22"/>
      <c r="DR127" s="22"/>
      <c r="DS127" s="22"/>
      <c r="DT127" s="22"/>
      <c r="DU127" s="22"/>
      <c r="DV127" s="22"/>
      <c r="DW127" s="22"/>
      <c r="DX127" s="22"/>
      <c r="DY127" s="22">
        <v>8</v>
      </c>
      <c r="DZ127" s="22"/>
      <c r="EA127" s="22"/>
      <c r="EB127" s="22"/>
      <c r="EC127" s="22"/>
      <c r="ED127" s="22"/>
      <c r="EE127" s="22"/>
      <c r="EF127" s="22"/>
      <c r="EG127" s="22"/>
      <c r="EH127" s="22"/>
      <c r="EI127" s="22"/>
      <c r="EJ127" s="22"/>
      <c r="EK127" s="22"/>
      <c r="EL127" s="22"/>
      <c r="EM127" s="22"/>
      <c r="EN127" s="22"/>
      <c r="EO127" s="22"/>
      <c r="EP127" s="22"/>
      <c r="EQ127" s="22">
        <v>6</v>
      </c>
      <c r="ER127" s="22"/>
      <c r="ES127" s="22">
        <v>16</v>
      </c>
      <c r="ET127" s="22"/>
      <c r="EU127" s="22">
        <v>500</v>
      </c>
      <c r="EV127" s="22">
        <v>2</v>
      </c>
      <c r="EW127" s="22">
        <v>4</v>
      </c>
      <c r="EX127" s="22">
        <v>602</v>
      </c>
      <c r="EY127" s="22"/>
      <c r="EZ127" s="22">
        <v>400</v>
      </c>
      <c r="FA127" s="22">
        <v>400</v>
      </c>
      <c r="FB127" s="22"/>
      <c r="FC127" s="22">
        <v>612</v>
      </c>
      <c r="FD127" s="22"/>
      <c r="FE127" s="22"/>
      <c r="FF127" s="22">
        <v>4</v>
      </c>
      <c r="FG127" s="22"/>
      <c r="FH127" s="22">
        <v>1740</v>
      </c>
      <c r="FI127" s="22">
        <v>600</v>
      </c>
      <c r="FJ127" s="22"/>
      <c r="FK127" s="22">
        <v>502</v>
      </c>
      <c r="FL127" s="22">
        <v>6</v>
      </c>
      <c r="FM127" s="22">
        <v>302</v>
      </c>
      <c r="FN127" s="22">
        <v>4</v>
      </c>
      <c r="FO127" s="22">
        <v>654</v>
      </c>
      <c r="FP127" s="22">
        <v>596</v>
      </c>
      <c r="FQ127" s="22">
        <v>313</v>
      </c>
      <c r="FT127" s="22">
        <v>54</v>
      </c>
      <c r="FU127" s="22">
        <v>24</v>
      </c>
      <c r="FV127" s="22">
        <v>740</v>
      </c>
      <c r="FW127" s="22">
        <v>74</v>
      </c>
      <c r="GG127" s="22">
        <v>13972</v>
      </c>
    </row>
    <row r="128" spans="1:189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G128" s="22">
        <v>200</v>
      </c>
      <c r="K128" s="22">
        <v>298</v>
      </c>
      <c r="O128" s="22">
        <v>1192</v>
      </c>
      <c r="P128" s="22">
        <v>596</v>
      </c>
      <c r="S128" s="22">
        <v>100</v>
      </c>
      <c r="X128" s="36"/>
      <c r="Y128" s="36">
        <v>30</v>
      </c>
      <c r="Z128" s="36">
        <v>50</v>
      </c>
      <c r="AA128" s="36">
        <v>80</v>
      </c>
      <c r="AB128" s="36">
        <v>232</v>
      </c>
      <c r="AC128" s="36"/>
      <c r="AD128" s="36"/>
      <c r="AE128" s="36"/>
      <c r="AF128" s="36"/>
      <c r="AG128" s="36"/>
      <c r="AH128" s="36">
        <v>30</v>
      </c>
      <c r="AI128" s="36"/>
      <c r="AJ128" s="36"/>
      <c r="AK128" s="36"/>
      <c r="AL128" s="36"/>
      <c r="AM128" s="36"/>
      <c r="AN128" s="36">
        <v>56</v>
      </c>
      <c r="AO128" s="36"/>
      <c r="AP128" s="36"/>
      <c r="AQ128" s="36">
        <v>125</v>
      </c>
      <c r="AR128" s="36"/>
      <c r="AS128" s="36"/>
      <c r="AT128" s="36"/>
      <c r="AU128" s="36"/>
      <c r="AV128" s="36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2"/>
      <c r="BO128" s="22"/>
      <c r="BP128" s="22"/>
      <c r="BQ128" s="22"/>
      <c r="BR128" s="22"/>
      <c r="BS128" s="22"/>
      <c r="BT128" s="22"/>
      <c r="BU128" s="22"/>
      <c r="BV128" s="22"/>
      <c r="BW128" s="22"/>
      <c r="BX128" s="22">
        <v>58</v>
      </c>
      <c r="BY128" s="22">
        <v>150</v>
      </c>
      <c r="BZ128" s="22"/>
      <c r="CA128" s="22">
        <v>200</v>
      </c>
      <c r="CB128" s="22">
        <v>200</v>
      </c>
      <c r="CC128" s="22">
        <v>400</v>
      </c>
      <c r="CD128" s="22">
        <v>150</v>
      </c>
      <c r="CE128" s="22"/>
      <c r="CF128" s="22"/>
      <c r="CG128" s="22"/>
      <c r="CH128" s="22">
        <v>298</v>
      </c>
      <c r="CI128" s="22">
        <v>298</v>
      </c>
      <c r="CJ128" s="22">
        <v>200</v>
      </c>
      <c r="CK128" s="22">
        <v>150</v>
      </c>
      <c r="CL128" s="22"/>
      <c r="CM128" s="22">
        <v>298</v>
      </c>
      <c r="CO128" s="22">
        <v>5</v>
      </c>
      <c r="CP128" s="22">
        <v>28</v>
      </c>
      <c r="CQ128" s="22">
        <v>200</v>
      </c>
      <c r="CR128" s="22"/>
      <c r="CS128" s="22"/>
      <c r="CT128" s="22"/>
      <c r="CU128" s="22"/>
      <c r="CV128" s="22"/>
      <c r="CW128" s="22">
        <v>103</v>
      </c>
      <c r="CX128" s="22"/>
      <c r="CY128" s="22"/>
      <c r="CZ128" s="22"/>
      <c r="DA128" s="22"/>
      <c r="DB128" s="22"/>
      <c r="DC128" s="22"/>
      <c r="DD128" s="22">
        <v>245</v>
      </c>
      <c r="DE128" s="22"/>
      <c r="DF128" s="22"/>
      <c r="DG128" s="22"/>
      <c r="DH128" s="22">
        <v>224</v>
      </c>
      <c r="DI128" s="22"/>
      <c r="DJ128" s="22"/>
      <c r="DK128" s="22"/>
      <c r="DL128" s="22"/>
      <c r="DM128" s="22"/>
      <c r="DN128" s="22">
        <v>1072</v>
      </c>
      <c r="DO128" s="22"/>
      <c r="DP128" s="22"/>
      <c r="DQ128" s="22"/>
      <c r="DR128" s="22"/>
      <c r="DS128" s="22"/>
      <c r="DT128" s="22"/>
      <c r="DU128" s="22"/>
      <c r="DV128" s="22"/>
      <c r="DW128" s="22"/>
      <c r="DX128" s="22"/>
      <c r="DY128" s="22"/>
      <c r="DZ128" s="22"/>
      <c r="EA128" s="22"/>
      <c r="EB128" s="22"/>
      <c r="EC128" s="22"/>
      <c r="ED128" s="22"/>
      <c r="EE128" s="22"/>
      <c r="EF128" s="22"/>
      <c r="EG128" s="22"/>
      <c r="EH128" s="22"/>
      <c r="EI128" s="22"/>
      <c r="EJ128" s="22"/>
      <c r="EK128" s="22"/>
      <c r="EL128" s="22"/>
      <c r="EM128" s="22"/>
      <c r="EN128" s="22"/>
      <c r="EO128" s="22"/>
      <c r="EP128" s="22"/>
      <c r="EQ128" s="22"/>
      <c r="ER128" s="22"/>
      <c r="ES128" s="22">
        <v>212</v>
      </c>
      <c r="ET128" s="22"/>
      <c r="EU128" s="22"/>
      <c r="EV128" s="22"/>
      <c r="EW128" s="22"/>
      <c r="EX128" s="22">
        <v>250</v>
      </c>
      <c r="EY128" s="22"/>
      <c r="EZ128" s="22"/>
      <c r="FA128" s="22"/>
      <c r="FB128" s="22"/>
      <c r="FC128" s="22"/>
      <c r="FD128" s="22"/>
      <c r="FE128" s="22"/>
      <c r="FF128" s="22"/>
      <c r="FG128" s="22"/>
      <c r="FH128" s="22"/>
      <c r="FI128" s="22"/>
      <c r="FJ128" s="22"/>
      <c r="FK128" s="22">
        <v>500</v>
      </c>
      <c r="FL128" s="22"/>
      <c r="FM128" s="22">
        <v>298</v>
      </c>
      <c r="FN128" s="22"/>
      <c r="FO128" s="22">
        <v>298</v>
      </c>
      <c r="FP128" s="22"/>
      <c r="FQ128" s="22">
        <v>300</v>
      </c>
      <c r="FT128" s="22">
        <v>8</v>
      </c>
      <c r="FU128" s="22"/>
      <c r="FV128" s="22"/>
      <c r="FW128" s="22">
        <v>3</v>
      </c>
      <c r="GG128" s="22">
        <v>9137</v>
      </c>
    </row>
    <row r="129" spans="1:189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I129" s="22">
        <v>63</v>
      </c>
      <c r="N129" s="22">
        <v>204</v>
      </c>
      <c r="R129" s="22">
        <v>288</v>
      </c>
      <c r="T129" s="22">
        <v>298</v>
      </c>
      <c r="U129" s="22">
        <v>75</v>
      </c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2"/>
      <c r="BO129" s="22"/>
      <c r="BP129" s="22"/>
      <c r="BQ129" s="22"/>
      <c r="BR129" s="22"/>
      <c r="BS129" s="22"/>
      <c r="BT129" s="22"/>
      <c r="BU129" s="22"/>
      <c r="BV129" s="22"/>
      <c r="BW129" s="22"/>
      <c r="BX129" s="22">
        <v>24</v>
      </c>
      <c r="BY129" s="22"/>
      <c r="BZ129" s="22"/>
      <c r="CA129" s="22"/>
      <c r="CB129" s="22"/>
      <c r="CC129" s="22"/>
      <c r="CD129" s="22"/>
      <c r="CE129" s="22"/>
      <c r="CF129" s="22"/>
      <c r="CG129" s="22"/>
      <c r="CH129" s="22">
        <v>204</v>
      </c>
      <c r="CI129" s="22"/>
      <c r="CJ129" s="22"/>
      <c r="CK129" s="22">
        <v>148</v>
      </c>
      <c r="CL129" s="22"/>
      <c r="CM129" s="22">
        <v>88</v>
      </c>
      <c r="CO129" s="22"/>
      <c r="CP129" s="22"/>
      <c r="CQ129" s="22"/>
      <c r="CR129" s="22"/>
      <c r="CS129" s="22"/>
      <c r="CT129" s="22"/>
      <c r="CU129" s="22"/>
      <c r="CV129" s="22"/>
      <c r="CW129" s="22">
        <v>6</v>
      </c>
      <c r="CX129" s="22"/>
      <c r="CY129" s="22"/>
      <c r="CZ129" s="22"/>
      <c r="DA129" s="22"/>
      <c r="DB129" s="22"/>
      <c r="DC129" s="22"/>
      <c r="DD129" s="22">
        <v>54</v>
      </c>
      <c r="DE129" s="22"/>
      <c r="DF129" s="22"/>
      <c r="DG129" s="22"/>
      <c r="DH129" s="22">
        <v>28</v>
      </c>
      <c r="DI129" s="22"/>
      <c r="DJ129" s="22"/>
      <c r="DK129" s="22"/>
      <c r="DL129" s="22"/>
      <c r="DM129" s="22"/>
      <c r="DN129" s="22">
        <v>65</v>
      </c>
      <c r="DO129" s="22"/>
      <c r="DP129" s="22"/>
      <c r="DQ129" s="22"/>
      <c r="DR129" s="22"/>
      <c r="DS129" s="22"/>
      <c r="DT129" s="22"/>
      <c r="DU129" s="22"/>
      <c r="DV129" s="22"/>
      <c r="DW129" s="22"/>
      <c r="DX129" s="22"/>
      <c r="DY129" s="22"/>
      <c r="DZ129" s="22"/>
      <c r="EA129" s="22"/>
      <c r="EB129" s="22"/>
      <c r="EC129" s="22"/>
      <c r="ED129" s="22"/>
      <c r="EE129" s="22"/>
      <c r="EF129" s="22"/>
      <c r="EG129" s="22"/>
      <c r="EH129" s="22"/>
      <c r="EI129" s="22"/>
      <c r="EJ129" s="22"/>
      <c r="EK129" s="22"/>
      <c r="EL129" s="22"/>
      <c r="EM129" s="22"/>
      <c r="EN129" s="22">
        <v>65</v>
      </c>
      <c r="EO129" s="22"/>
      <c r="EP129" s="22"/>
      <c r="EQ129" s="22"/>
      <c r="ER129" s="22">
        <v>100</v>
      </c>
      <c r="ES129" s="22"/>
      <c r="ET129" s="22"/>
      <c r="EU129" s="22">
        <v>200</v>
      </c>
      <c r="EV129" s="22">
        <v>298</v>
      </c>
      <c r="EW129" s="22">
        <v>102</v>
      </c>
      <c r="EX129" s="22">
        <v>348</v>
      </c>
      <c r="EY129" s="22"/>
      <c r="EZ129" s="22"/>
      <c r="FA129" s="22"/>
      <c r="FB129" s="22"/>
      <c r="FC129" s="22"/>
      <c r="FD129" s="22"/>
      <c r="FE129" s="22"/>
      <c r="FF129" s="22"/>
      <c r="FG129" s="22"/>
      <c r="FH129" s="22">
        <v>296</v>
      </c>
      <c r="FI129" s="22">
        <v>245</v>
      </c>
      <c r="FJ129" s="22"/>
      <c r="FK129" s="22"/>
      <c r="FL129" s="22"/>
      <c r="FM129" s="22">
        <v>298</v>
      </c>
      <c r="FN129" s="22">
        <v>596</v>
      </c>
      <c r="FO129" s="22"/>
      <c r="FP129" s="22">
        <v>353</v>
      </c>
      <c r="FQ129" s="22"/>
      <c r="FU129" s="22">
        <v>644</v>
      </c>
      <c r="FV129" s="22"/>
      <c r="GG129" s="22">
        <v>5090</v>
      </c>
    </row>
    <row r="130" spans="1:189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I130" s="22">
        <v>200</v>
      </c>
      <c r="K130" s="22">
        <v>158</v>
      </c>
      <c r="M130" s="22">
        <v>894</v>
      </c>
      <c r="P130" s="22">
        <v>298</v>
      </c>
      <c r="R130" s="22">
        <v>298</v>
      </c>
      <c r="S130" s="22">
        <v>298</v>
      </c>
      <c r="U130" s="22">
        <v>75</v>
      </c>
      <c r="X130" s="36"/>
      <c r="Y130" s="36">
        <v>50</v>
      </c>
      <c r="Z130" s="36">
        <v>108</v>
      </c>
      <c r="AA130" s="36">
        <v>70</v>
      </c>
      <c r="AB130" s="36">
        <v>150</v>
      </c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>
        <v>100</v>
      </c>
      <c r="AO130" s="36">
        <v>123</v>
      </c>
      <c r="AP130" s="36"/>
      <c r="AQ130" s="36">
        <v>42</v>
      </c>
      <c r="AR130" s="36"/>
      <c r="AS130" s="36"/>
      <c r="AT130" s="36"/>
      <c r="AU130" s="36"/>
      <c r="AV130" s="36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>
        <v>44</v>
      </c>
      <c r="BY130" s="22"/>
      <c r="BZ130" s="22"/>
      <c r="CA130" s="22">
        <v>250</v>
      </c>
      <c r="CB130" s="22">
        <v>216</v>
      </c>
      <c r="CC130" s="22"/>
      <c r="CD130" s="22"/>
      <c r="CE130" s="22">
        <v>50</v>
      </c>
      <c r="CF130" s="22"/>
      <c r="CG130" s="22">
        <v>30</v>
      </c>
      <c r="CH130" s="22">
        <v>231</v>
      </c>
      <c r="CI130" s="22">
        <v>298</v>
      </c>
      <c r="CJ130" s="22">
        <v>310</v>
      </c>
      <c r="CK130" s="22">
        <v>150</v>
      </c>
      <c r="CL130" s="22"/>
      <c r="CM130" s="22">
        <v>298</v>
      </c>
      <c r="CO130" s="22">
        <v>64</v>
      </c>
      <c r="CP130" s="22"/>
      <c r="CQ130" s="22">
        <v>45</v>
      </c>
      <c r="CR130" s="22"/>
      <c r="CS130" s="22"/>
      <c r="CT130" s="22"/>
      <c r="CU130" s="22"/>
      <c r="CV130" s="22"/>
      <c r="CW130" s="22">
        <v>47</v>
      </c>
      <c r="CX130" s="22"/>
      <c r="CY130" s="22"/>
      <c r="CZ130" s="22"/>
      <c r="DA130" s="22"/>
      <c r="DB130" s="22"/>
      <c r="DC130" s="22"/>
      <c r="DD130" s="22">
        <v>139</v>
      </c>
      <c r="DE130" s="22"/>
      <c r="DF130" s="22"/>
      <c r="DG130" s="22"/>
      <c r="DH130" s="22">
        <v>146</v>
      </c>
      <c r="DI130" s="22"/>
      <c r="DJ130" s="22"/>
      <c r="DK130" s="22"/>
      <c r="DL130" s="22"/>
      <c r="DM130" s="22"/>
      <c r="DN130" s="22">
        <v>496</v>
      </c>
      <c r="DO130" s="22"/>
      <c r="DP130" s="22"/>
      <c r="DQ130" s="22"/>
      <c r="DR130" s="22"/>
      <c r="DS130" s="22"/>
      <c r="DT130" s="22"/>
      <c r="DU130" s="22"/>
      <c r="DV130" s="22"/>
      <c r="DW130" s="22"/>
      <c r="DX130" s="22"/>
      <c r="DY130" s="22"/>
      <c r="DZ130" s="22"/>
      <c r="EA130" s="22"/>
      <c r="EB130" s="22"/>
      <c r="EC130" s="22"/>
      <c r="ED130" s="22"/>
      <c r="EE130" s="22"/>
      <c r="EF130" s="22"/>
      <c r="EG130" s="22"/>
      <c r="EH130" s="22"/>
      <c r="EI130" s="22"/>
      <c r="EJ130" s="22"/>
      <c r="EK130" s="22"/>
      <c r="EL130" s="22"/>
      <c r="EM130" s="22"/>
      <c r="EN130" s="22"/>
      <c r="EO130" s="22"/>
      <c r="EP130" s="22"/>
      <c r="EQ130" s="22"/>
      <c r="ER130" s="22"/>
      <c r="ES130" s="22">
        <v>200</v>
      </c>
      <c r="ET130" s="22"/>
      <c r="EU130" s="22">
        <v>200</v>
      </c>
      <c r="EV130" s="22">
        <v>399</v>
      </c>
      <c r="EW130" s="22">
        <v>100</v>
      </c>
      <c r="EX130" s="22">
        <v>232</v>
      </c>
      <c r="EY130" s="22"/>
      <c r="EZ130" s="22"/>
      <c r="FA130" s="22"/>
      <c r="FB130" s="22"/>
      <c r="FC130" s="22"/>
      <c r="FD130" s="22"/>
      <c r="FE130" s="22"/>
      <c r="FF130" s="22"/>
      <c r="FG130" s="22"/>
      <c r="FH130" s="22">
        <v>596</v>
      </c>
      <c r="FI130" s="22"/>
      <c r="FJ130" s="22"/>
      <c r="FK130" s="22"/>
      <c r="FL130" s="22"/>
      <c r="FM130" s="22"/>
      <c r="FN130" s="22">
        <v>298</v>
      </c>
      <c r="FO130" s="22">
        <v>362</v>
      </c>
      <c r="FP130" s="22">
        <v>298</v>
      </c>
      <c r="FQ130" s="22">
        <v>298</v>
      </c>
      <c r="FU130" s="22">
        <v>662</v>
      </c>
      <c r="FV130" s="22"/>
      <c r="GG130" s="22">
        <v>9323</v>
      </c>
    </row>
    <row r="131" spans="1:189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R131" s="22">
        <v>50</v>
      </c>
      <c r="X131" s="36"/>
      <c r="Y131" s="36"/>
      <c r="Z131" s="36"/>
      <c r="AA131" s="36"/>
      <c r="AB131" s="36"/>
      <c r="AC131" s="36"/>
      <c r="AD131" s="36"/>
      <c r="AE131" s="36"/>
      <c r="AF131" s="36"/>
      <c r="AG131" s="36">
        <v>6</v>
      </c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>
        <v>307</v>
      </c>
      <c r="CI131" s="22"/>
      <c r="CJ131" s="22"/>
      <c r="CK131" s="22"/>
      <c r="CL131" s="22"/>
      <c r="CO131" s="22"/>
      <c r="CP131" s="22"/>
      <c r="CQ131" s="22"/>
      <c r="CR131" s="22"/>
      <c r="CS131" s="22"/>
      <c r="CT131" s="22"/>
      <c r="CU131" s="22"/>
      <c r="CV131" s="22"/>
      <c r="CW131" s="22"/>
      <c r="CX131" s="22"/>
      <c r="CY131" s="22"/>
      <c r="CZ131" s="22"/>
      <c r="DA131" s="22"/>
      <c r="DB131" s="22"/>
      <c r="DC131" s="22"/>
      <c r="DD131" s="22"/>
      <c r="DE131" s="22"/>
      <c r="DF131" s="22">
        <v>80</v>
      </c>
      <c r="DG131" s="22"/>
      <c r="DH131" s="22">
        <v>10</v>
      </c>
      <c r="DI131" s="22"/>
      <c r="DJ131" s="22"/>
      <c r="DK131" s="22"/>
      <c r="DL131" s="22"/>
      <c r="DM131" s="22"/>
      <c r="DN131" s="22">
        <v>2</v>
      </c>
      <c r="DO131" s="22"/>
      <c r="DP131" s="22"/>
      <c r="DQ131" s="22"/>
      <c r="DR131" s="22"/>
      <c r="DS131" s="22"/>
      <c r="DT131" s="22"/>
      <c r="DU131" s="22"/>
      <c r="DV131" s="22"/>
      <c r="DW131" s="22"/>
      <c r="DX131" s="22"/>
      <c r="DY131" s="22"/>
      <c r="DZ131" s="22"/>
      <c r="EA131" s="22"/>
      <c r="EB131" s="22"/>
      <c r="EC131" s="22"/>
      <c r="ED131" s="22"/>
      <c r="EE131" s="22"/>
      <c r="EF131" s="22"/>
      <c r="EG131" s="22"/>
      <c r="EH131" s="22"/>
      <c r="EI131" s="22"/>
      <c r="EJ131" s="22"/>
      <c r="EK131" s="22"/>
      <c r="EL131" s="22"/>
      <c r="EM131" s="22"/>
      <c r="EN131" s="22"/>
      <c r="EO131" s="22"/>
      <c r="EP131" s="22"/>
      <c r="EQ131" s="22"/>
      <c r="ER131" s="22">
        <v>147</v>
      </c>
      <c r="ES131" s="22"/>
      <c r="ET131" s="22"/>
      <c r="EU131" s="22"/>
      <c r="EV131" s="22"/>
      <c r="EW131" s="22">
        <v>600</v>
      </c>
      <c r="EX131" s="22"/>
      <c r="EY131" s="22"/>
      <c r="EZ131" s="22"/>
      <c r="FA131" s="22"/>
      <c r="FB131" s="22"/>
      <c r="FC131" s="22"/>
      <c r="FD131" s="22"/>
      <c r="FE131" s="22"/>
      <c r="FF131" s="22"/>
      <c r="FG131" s="22"/>
      <c r="FH131" s="22"/>
      <c r="FI131" s="22"/>
      <c r="FJ131" s="22"/>
      <c r="FK131" s="22"/>
      <c r="FL131" s="22"/>
      <c r="FM131" s="22"/>
      <c r="FN131" s="22"/>
      <c r="FO131" s="22"/>
      <c r="FP131" s="22"/>
      <c r="FQ131" s="22"/>
      <c r="FU131" s="22"/>
      <c r="FV131" s="22"/>
      <c r="GG131" s="22">
        <v>1202</v>
      </c>
    </row>
    <row r="132" spans="1:189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G132" s="22">
        <v>50</v>
      </c>
      <c r="K132" s="22">
        <v>298</v>
      </c>
      <c r="P132" s="22">
        <v>298</v>
      </c>
      <c r="T132" s="22">
        <v>258</v>
      </c>
      <c r="X132" s="36"/>
      <c r="Y132" s="36">
        <v>20</v>
      </c>
      <c r="Z132" s="36">
        <v>50</v>
      </c>
      <c r="AA132" s="36">
        <v>50</v>
      </c>
      <c r="AB132" s="36">
        <v>150</v>
      </c>
      <c r="AC132" s="36"/>
      <c r="AD132" s="36"/>
      <c r="AE132" s="36"/>
      <c r="AF132" s="36">
        <v>55</v>
      </c>
      <c r="AG132" s="36">
        <v>41</v>
      </c>
      <c r="AH132" s="36"/>
      <c r="AI132" s="36"/>
      <c r="AJ132" s="36"/>
      <c r="AK132" s="36"/>
      <c r="AL132" s="36"/>
      <c r="AM132" s="36"/>
      <c r="AN132" s="36">
        <v>100</v>
      </c>
      <c r="AO132" s="36"/>
      <c r="AP132" s="36"/>
      <c r="AQ132" s="36">
        <v>100</v>
      </c>
      <c r="AR132" s="36"/>
      <c r="AS132" s="36"/>
      <c r="AT132" s="36"/>
      <c r="AU132" s="36"/>
      <c r="AV132" s="36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2"/>
      <c r="BO132" s="22"/>
      <c r="BP132" s="22"/>
      <c r="BQ132" s="22"/>
      <c r="BR132" s="22"/>
      <c r="BS132" s="22"/>
      <c r="BT132" s="22"/>
      <c r="BU132" s="22"/>
      <c r="BV132" s="22"/>
      <c r="BW132" s="22"/>
      <c r="BX132" s="22">
        <v>950</v>
      </c>
      <c r="BY132" s="22">
        <v>125</v>
      </c>
      <c r="BZ132" s="22">
        <v>100</v>
      </c>
      <c r="CA132" s="22">
        <v>25</v>
      </c>
      <c r="CB132" s="22"/>
      <c r="CC132" s="22"/>
      <c r="CD132" s="22"/>
      <c r="CE132" s="22">
        <v>50</v>
      </c>
      <c r="CF132" s="22"/>
      <c r="CG132" s="22">
        <v>30</v>
      </c>
      <c r="CH132" s="22"/>
      <c r="CI132" s="22"/>
      <c r="CJ132" s="22">
        <v>606</v>
      </c>
      <c r="CK132" s="22">
        <v>100</v>
      </c>
      <c r="CL132" s="22"/>
      <c r="CM132" s="22">
        <v>200</v>
      </c>
      <c r="CO132" s="22">
        <v>50</v>
      </c>
      <c r="CP132" s="22"/>
      <c r="CQ132" s="22">
        <v>245</v>
      </c>
      <c r="CR132" s="22"/>
      <c r="CS132" s="22"/>
      <c r="CT132" s="22"/>
      <c r="CU132" s="22"/>
      <c r="CV132" s="22"/>
      <c r="CW132" s="22">
        <v>341</v>
      </c>
      <c r="CX132" s="22"/>
      <c r="CY132" s="22"/>
      <c r="CZ132" s="22"/>
      <c r="DA132" s="22"/>
      <c r="DB132" s="22"/>
      <c r="DC132" s="22"/>
      <c r="DD132" s="22"/>
      <c r="DE132" s="22"/>
      <c r="DF132" s="22">
        <v>145</v>
      </c>
      <c r="DG132" s="22"/>
      <c r="DH132" s="22">
        <v>151</v>
      </c>
      <c r="DI132" s="22"/>
      <c r="DJ132" s="22"/>
      <c r="DK132" s="22"/>
      <c r="DL132" s="22"/>
      <c r="DM132" s="22"/>
      <c r="DN132" s="22">
        <v>296</v>
      </c>
      <c r="DO132" s="22"/>
      <c r="DP132" s="22"/>
      <c r="DQ132" s="22"/>
      <c r="DR132" s="22"/>
      <c r="DS132" s="22"/>
      <c r="DT132" s="22"/>
      <c r="DU132" s="22"/>
      <c r="DV132" s="22"/>
      <c r="DW132" s="22"/>
      <c r="DX132" s="22"/>
      <c r="DY132" s="22"/>
      <c r="DZ132" s="22"/>
      <c r="EA132" s="22"/>
      <c r="EB132" s="22"/>
      <c r="EC132" s="22"/>
      <c r="ED132" s="22"/>
      <c r="EE132" s="22"/>
      <c r="EF132" s="22"/>
      <c r="EG132" s="22"/>
      <c r="EH132" s="22"/>
      <c r="EI132" s="22"/>
      <c r="EJ132" s="22"/>
      <c r="EK132" s="22"/>
      <c r="EL132" s="22"/>
      <c r="EM132" s="22"/>
      <c r="EN132" s="22">
        <v>100</v>
      </c>
      <c r="EO132" s="22"/>
      <c r="EP132" s="22"/>
      <c r="EQ132" s="22"/>
      <c r="ER132" s="22"/>
      <c r="ES132" s="22"/>
      <c r="ET132" s="22"/>
      <c r="EU132" s="22"/>
      <c r="EV132" s="22"/>
      <c r="EW132" s="22"/>
      <c r="EX132" s="22">
        <v>298</v>
      </c>
      <c r="EY132" s="22"/>
      <c r="EZ132" s="22">
        <v>200</v>
      </c>
      <c r="FA132" s="22"/>
      <c r="FB132" s="22">
        <v>150</v>
      </c>
      <c r="FC132" s="22">
        <v>298</v>
      </c>
      <c r="FD132" s="22"/>
      <c r="FE132" s="22"/>
      <c r="FF132" s="22">
        <v>596</v>
      </c>
      <c r="FG132" s="22"/>
      <c r="FH132" s="22"/>
      <c r="FI132" s="22"/>
      <c r="FJ132" s="22"/>
      <c r="FK132" s="22"/>
      <c r="FL132" s="22"/>
      <c r="FM132" s="22"/>
      <c r="FN132" s="22"/>
      <c r="FO132" s="22"/>
      <c r="FP132" s="22">
        <v>298</v>
      </c>
      <c r="FQ132" s="22">
        <v>100</v>
      </c>
      <c r="FU132" s="22"/>
      <c r="FV132" s="22"/>
      <c r="GG132" s="22">
        <v>6924</v>
      </c>
    </row>
    <row r="133" spans="1:189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  <c r="BQ133" s="22"/>
      <c r="BR133" s="22"/>
      <c r="BS133" s="22"/>
      <c r="BT133" s="22"/>
      <c r="BU133" s="22"/>
      <c r="BV133" s="22"/>
      <c r="BW133" s="22"/>
      <c r="BX133" s="22"/>
      <c r="BY133" s="22"/>
      <c r="BZ133" s="22"/>
      <c r="CA133" s="22"/>
      <c r="CB133" s="22"/>
      <c r="CC133" s="22"/>
      <c r="CD133" s="22"/>
      <c r="CE133" s="22"/>
      <c r="CF133" s="22"/>
      <c r="CG133" s="22"/>
      <c r="CH133" s="22"/>
      <c r="CI133" s="22"/>
      <c r="CJ133" s="22"/>
      <c r="CK133" s="22"/>
      <c r="CL133" s="22"/>
      <c r="CM133" s="22">
        <v>50</v>
      </c>
      <c r="CO133" s="22"/>
      <c r="CP133" s="22"/>
      <c r="CQ133" s="22"/>
      <c r="CR133" s="22"/>
      <c r="CS133" s="22"/>
      <c r="CT133" s="22"/>
      <c r="CU133" s="22"/>
      <c r="CV133" s="22"/>
      <c r="CW133" s="22"/>
      <c r="CX133" s="22"/>
      <c r="CY133" s="22"/>
      <c r="CZ133" s="22"/>
      <c r="DA133" s="22"/>
      <c r="DB133" s="22"/>
      <c r="DC133" s="22"/>
      <c r="DD133" s="22"/>
      <c r="DE133" s="22"/>
      <c r="DF133" s="22">
        <v>6</v>
      </c>
      <c r="DG133" s="22"/>
      <c r="DH133" s="22"/>
      <c r="DI133" s="22"/>
      <c r="DJ133" s="22"/>
      <c r="DK133" s="22"/>
      <c r="DL133" s="22"/>
      <c r="DM133" s="22"/>
      <c r="DN133" s="22"/>
      <c r="DO133" s="22"/>
      <c r="DP133" s="22"/>
      <c r="DQ133" s="22"/>
      <c r="DR133" s="22"/>
      <c r="DS133" s="22"/>
      <c r="DT133" s="22"/>
      <c r="DU133" s="22"/>
      <c r="DV133" s="22"/>
      <c r="DW133" s="22"/>
      <c r="DX133" s="22"/>
      <c r="DY133" s="22"/>
      <c r="DZ133" s="22"/>
      <c r="EA133" s="22"/>
      <c r="EB133" s="22"/>
      <c r="EC133" s="22"/>
      <c r="ED133" s="22"/>
      <c r="EE133" s="22"/>
      <c r="EF133" s="22"/>
      <c r="EG133" s="22"/>
      <c r="EH133" s="22"/>
      <c r="EI133" s="22"/>
      <c r="EJ133" s="22"/>
      <c r="EK133" s="22"/>
      <c r="EL133" s="22"/>
      <c r="EM133" s="22"/>
      <c r="EN133" s="22"/>
      <c r="EO133" s="22"/>
      <c r="EP133" s="22"/>
      <c r="EQ133" s="22"/>
      <c r="ER133" s="22"/>
      <c r="ES133" s="22"/>
      <c r="ET133" s="22"/>
      <c r="EU133" s="22"/>
      <c r="EV133" s="22"/>
      <c r="EW133" s="22"/>
      <c r="EX133" s="22"/>
      <c r="EY133" s="22"/>
      <c r="EZ133" s="22"/>
      <c r="FA133" s="22"/>
      <c r="FB133" s="22"/>
      <c r="FC133" s="22"/>
      <c r="FD133" s="22"/>
      <c r="FE133" s="22"/>
      <c r="FF133" s="22"/>
      <c r="FG133" s="22"/>
      <c r="FH133" s="22"/>
      <c r="FI133" s="22"/>
      <c r="FJ133" s="22"/>
      <c r="FK133" s="22"/>
      <c r="FL133" s="22"/>
      <c r="FM133" s="22"/>
      <c r="FN133" s="22"/>
      <c r="FO133" s="22"/>
      <c r="FP133" s="22"/>
      <c r="FQ133" s="22"/>
      <c r="FU133" s="22"/>
      <c r="FV133" s="22"/>
      <c r="GG133" s="22">
        <v>56</v>
      </c>
    </row>
    <row r="134" spans="1:189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  <c r="BS134" s="22"/>
      <c r="BT134" s="22"/>
      <c r="BU134" s="22"/>
      <c r="BV134" s="22"/>
      <c r="BW134" s="22"/>
      <c r="BX134" s="22"/>
      <c r="BY134" s="22"/>
      <c r="BZ134" s="22"/>
      <c r="CA134" s="22"/>
      <c r="CB134" s="22"/>
      <c r="CC134" s="22"/>
      <c r="CD134" s="22"/>
      <c r="CE134" s="22"/>
      <c r="CF134" s="22"/>
      <c r="CG134" s="22"/>
      <c r="CH134" s="22"/>
      <c r="CI134" s="22"/>
      <c r="CJ134" s="22"/>
      <c r="CK134" s="22"/>
      <c r="CL134" s="22"/>
      <c r="CO134" s="22"/>
      <c r="CP134" s="22"/>
      <c r="CQ134" s="22"/>
      <c r="CR134" s="22"/>
      <c r="CS134" s="22"/>
      <c r="CT134" s="22"/>
      <c r="CU134" s="22"/>
      <c r="CV134" s="22"/>
      <c r="CW134" s="22"/>
      <c r="CX134" s="22"/>
      <c r="CY134" s="22"/>
      <c r="CZ134" s="22"/>
      <c r="DA134" s="22"/>
      <c r="DB134" s="22"/>
      <c r="DC134" s="22"/>
      <c r="DD134" s="22"/>
      <c r="DE134" s="22"/>
      <c r="DF134" s="22"/>
      <c r="DG134" s="22"/>
      <c r="DH134" s="22"/>
      <c r="DI134" s="22"/>
      <c r="DJ134" s="22"/>
      <c r="DK134" s="22"/>
      <c r="DL134" s="22"/>
      <c r="DM134" s="22"/>
      <c r="DN134" s="22"/>
      <c r="DO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D134" s="22"/>
      <c r="EE134" s="22"/>
      <c r="EF134" s="22"/>
      <c r="EG134" s="22"/>
      <c r="EH134" s="22"/>
      <c r="EI134" s="22"/>
      <c r="EJ134" s="22"/>
      <c r="EK134" s="22"/>
      <c r="EL134" s="22"/>
      <c r="EM134" s="22"/>
      <c r="EN134" s="22"/>
      <c r="EO134" s="22"/>
      <c r="EP134" s="22"/>
      <c r="EQ134" s="22"/>
      <c r="ER134" s="22"/>
      <c r="ES134" s="22"/>
      <c r="ET134" s="22"/>
      <c r="EU134" s="22"/>
      <c r="EV134" s="22"/>
      <c r="EW134" s="22"/>
      <c r="EX134" s="22"/>
      <c r="EY134" s="22"/>
      <c r="EZ134" s="22"/>
      <c r="FA134" s="22"/>
      <c r="FB134" s="22"/>
      <c r="FC134" s="22"/>
      <c r="FD134" s="22"/>
      <c r="FE134" s="22"/>
      <c r="FF134" s="22"/>
      <c r="FG134" s="22"/>
      <c r="FH134" s="22"/>
      <c r="FI134" s="22"/>
      <c r="FJ134" s="22"/>
      <c r="FK134" s="22">
        <v>140</v>
      </c>
      <c r="FL134" s="22"/>
      <c r="FM134" s="22"/>
      <c r="FN134" s="22"/>
      <c r="FO134" s="22"/>
      <c r="FP134" s="22"/>
      <c r="FQ134" s="22"/>
      <c r="FU134" s="22"/>
      <c r="FV134" s="22"/>
      <c r="GG134" s="22">
        <v>140</v>
      </c>
    </row>
    <row r="135" spans="1:189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I135" s="22">
        <v>100</v>
      </c>
      <c r="K135" s="22">
        <v>100</v>
      </c>
      <c r="M135" s="22">
        <v>100</v>
      </c>
      <c r="Q135" s="22">
        <v>50</v>
      </c>
      <c r="R135" s="22">
        <v>200</v>
      </c>
      <c r="V135" s="22">
        <v>50</v>
      </c>
      <c r="X135" s="36"/>
      <c r="Y135" s="36"/>
      <c r="Z135" s="36"/>
      <c r="AA135" s="36"/>
      <c r="AB135" s="36"/>
      <c r="AC135" s="36"/>
      <c r="AD135" s="36"/>
      <c r="AE135" s="36"/>
      <c r="AF135" s="36">
        <v>31</v>
      </c>
      <c r="AG135" s="36">
        <v>18</v>
      </c>
      <c r="AH135" s="36"/>
      <c r="AI135" s="36"/>
      <c r="AJ135" s="36"/>
      <c r="AK135" s="36"/>
      <c r="AL135" s="36"/>
      <c r="AM135" s="36"/>
      <c r="AN135" s="36"/>
      <c r="AO135" s="36">
        <v>100</v>
      </c>
      <c r="AP135" s="36"/>
      <c r="AQ135" s="36">
        <v>100</v>
      </c>
      <c r="AR135" s="36"/>
      <c r="AS135" s="36"/>
      <c r="AT135" s="36"/>
      <c r="AU135" s="36"/>
      <c r="AV135" s="36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22"/>
      <c r="BT135" s="22"/>
      <c r="BU135" s="22"/>
      <c r="BV135" s="22"/>
      <c r="BW135" s="22"/>
      <c r="BX135" s="22"/>
      <c r="BY135" s="22">
        <v>200</v>
      </c>
      <c r="BZ135" s="22">
        <v>60</v>
      </c>
      <c r="CA135" s="22">
        <v>100</v>
      </c>
      <c r="CB135" s="22">
        <v>200</v>
      </c>
      <c r="CC135" s="22">
        <v>450</v>
      </c>
      <c r="CD135" s="22">
        <v>750</v>
      </c>
      <c r="CE135" s="22">
        <v>600</v>
      </c>
      <c r="CF135" s="22"/>
      <c r="CG135" s="22">
        <v>160</v>
      </c>
      <c r="CH135" s="22"/>
      <c r="CI135" s="22"/>
      <c r="CJ135" s="22">
        <v>575</v>
      </c>
      <c r="CK135" s="22">
        <v>200</v>
      </c>
      <c r="CL135" s="22"/>
      <c r="CM135" s="22">
        <v>200</v>
      </c>
      <c r="CO135" s="22">
        <v>50</v>
      </c>
      <c r="CP135" s="22">
        <v>50</v>
      </c>
      <c r="CQ135" s="22">
        <v>139</v>
      </c>
      <c r="CR135" s="22"/>
      <c r="CS135" s="22"/>
      <c r="CT135" s="22"/>
      <c r="CU135" s="22"/>
      <c r="CV135" s="22"/>
      <c r="CW135" s="22"/>
      <c r="CX135" s="22"/>
      <c r="CY135" s="22"/>
      <c r="CZ135" s="22"/>
      <c r="DA135" s="22"/>
      <c r="DB135" s="22"/>
      <c r="DC135" s="22"/>
      <c r="DD135" s="22"/>
      <c r="DE135" s="22"/>
      <c r="DF135" s="22">
        <v>210</v>
      </c>
      <c r="DG135" s="22"/>
      <c r="DH135" s="22"/>
      <c r="DI135" s="22"/>
      <c r="DJ135" s="22"/>
      <c r="DK135" s="22"/>
      <c r="DL135" s="22"/>
      <c r="DM135" s="22"/>
      <c r="DN135" s="22"/>
      <c r="DO135" s="22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D135" s="22"/>
      <c r="EE135" s="22">
        <v>100</v>
      </c>
      <c r="EF135" s="22">
        <v>165</v>
      </c>
      <c r="EG135" s="22"/>
      <c r="EH135" s="22"/>
      <c r="EI135" s="22"/>
      <c r="EJ135" s="22"/>
      <c r="EK135" s="22"/>
      <c r="EL135" s="22"/>
      <c r="EM135" s="22"/>
      <c r="EN135" s="22"/>
      <c r="EO135" s="22"/>
      <c r="EP135" s="22"/>
      <c r="EQ135" s="22">
        <v>50</v>
      </c>
      <c r="ER135" s="22"/>
      <c r="ES135" s="22"/>
      <c r="ET135" s="22"/>
      <c r="EU135" s="22">
        <v>400</v>
      </c>
      <c r="EV135" s="22"/>
      <c r="EW135" s="22">
        <v>600</v>
      </c>
      <c r="EX135" s="22"/>
      <c r="EY135" s="22"/>
      <c r="EZ135" s="22"/>
      <c r="FA135" s="22"/>
      <c r="FB135" s="22">
        <v>200</v>
      </c>
      <c r="FC135" s="22"/>
      <c r="FD135" s="22">
        <v>600</v>
      </c>
      <c r="FE135" s="22">
        <v>400</v>
      </c>
      <c r="FF135" s="22">
        <v>600</v>
      </c>
      <c r="FG135" s="22">
        <v>600</v>
      </c>
      <c r="FH135" s="22"/>
      <c r="FI135" s="22"/>
      <c r="FJ135" s="22"/>
      <c r="FK135" s="22"/>
      <c r="FL135" s="22"/>
      <c r="FM135" s="22"/>
      <c r="FN135" s="22"/>
      <c r="FO135" s="22"/>
      <c r="FP135" s="22"/>
      <c r="FQ135" s="22">
        <v>250</v>
      </c>
      <c r="FU135" s="22"/>
      <c r="FV135" s="22">
        <v>596</v>
      </c>
      <c r="GG135" s="22">
        <v>9354</v>
      </c>
    </row>
    <row r="136" spans="1:189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  <c r="BS136" s="22"/>
      <c r="BT136" s="22"/>
      <c r="BU136" s="22"/>
      <c r="BV136" s="22"/>
      <c r="BW136" s="22"/>
      <c r="BX136" s="22"/>
      <c r="BY136" s="22"/>
      <c r="BZ136" s="22"/>
      <c r="CA136" s="22"/>
      <c r="CB136" s="22"/>
      <c r="CC136" s="22"/>
      <c r="CD136" s="22"/>
      <c r="CE136" s="22"/>
      <c r="CF136" s="22"/>
      <c r="CG136" s="22"/>
      <c r="CH136" s="22"/>
      <c r="CI136" s="22"/>
      <c r="CJ136" s="22"/>
      <c r="CK136" s="22"/>
      <c r="CL136" s="22"/>
      <c r="CO136" s="22"/>
      <c r="CP136" s="22"/>
      <c r="CQ136" s="22"/>
      <c r="CR136" s="22"/>
      <c r="CS136" s="22"/>
      <c r="CT136" s="22"/>
      <c r="CU136" s="22"/>
      <c r="CV136" s="22"/>
      <c r="CW136" s="22"/>
      <c r="CX136" s="22">
        <v>75</v>
      </c>
      <c r="CY136" s="22">
        <v>20</v>
      </c>
      <c r="CZ136" s="22"/>
      <c r="DA136" s="22"/>
      <c r="DB136" s="22"/>
      <c r="DC136" s="22"/>
      <c r="DD136" s="22"/>
      <c r="DE136" s="22"/>
      <c r="DF136" s="22"/>
      <c r="DG136" s="22"/>
      <c r="DH136" s="22"/>
      <c r="DI136" s="22"/>
      <c r="DJ136" s="22"/>
      <c r="DK136" s="22"/>
      <c r="DL136" s="22"/>
      <c r="DM136" s="22"/>
      <c r="DN136" s="22"/>
      <c r="DO136" s="22"/>
      <c r="DP136" s="22"/>
      <c r="DQ136" s="22"/>
      <c r="DR136" s="22"/>
      <c r="DS136" s="22"/>
      <c r="DT136" s="22"/>
      <c r="DU136" s="22"/>
      <c r="DV136" s="22"/>
      <c r="DW136" s="22"/>
      <c r="DX136" s="22"/>
      <c r="DY136" s="22"/>
      <c r="DZ136" s="22"/>
      <c r="EA136" s="22"/>
      <c r="EB136" s="22"/>
      <c r="EC136" s="22"/>
      <c r="ED136" s="22"/>
      <c r="EE136" s="22"/>
      <c r="EF136" s="22"/>
      <c r="EG136" s="22"/>
      <c r="EH136" s="22"/>
      <c r="EI136" s="22"/>
      <c r="EJ136" s="22"/>
      <c r="EK136" s="22"/>
      <c r="EL136" s="22"/>
      <c r="EM136" s="22"/>
      <c r="EN136" s="22"/>
      <c r="EO136" s="22"/>
      <c r="EP136" s="22"/>
      <c r="EQ136" s="22"/>
      <c r="ER136" s="22"/>
      <c r="ES136" s="22"/>
      <c r="ET136" s="22"/>
      <c r="EU136" s="22"/>
      <c r="EV136" s="22"/>
      <c r="EW136" s="22"/>
      <c r="EX136" s="22"/>
      <c r="EY136" s="22">
        <v>50</v>
      </c>
      <c r="EZ136" s="22"/>
      <c r="FA136" s="22"/>
      <c r="FB136" s="22"/>
      <c r="FC136" s="22"/>
      <c r="FD136" s="22"/>
      <c r="FE136" s="22"/>
      <c r="FF136" s="22"/>
      <c r="FG136" s="22"/>
      <c r="FH136" s="22"/>
      <c r="FI136" s="22"/>
      <c r="FJ136" s="22"/>
      <c r="FK136" s="22"/>
      <c r="FL136" s="22"/>
      <c r="FM136" s="22"/>
      <c r="FN136" s="22"/>
      <c r="FO136" s="22"/>
      <c r="FP136" s="22"/>
      <c r="FQ136" s="22"/>
      <c r="FU136" s="22"/>
      <c r="FV136" s="22"/>
      <c r="GG136" s="22">
        <v>145</v>
      </c>
    </row>
    <row r="137" spans="1:189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2"/>
      <c r="BO137" s="22"/>
      <c r="BP137" s="22"/>
      <c r="BQ137" s="22"/>
      <c r="BR137" s="22"/>
      <c r="BS137" s="22"/>
      <c r="BT137" s="22"/>
      <c r="BU137" s="22"/>
      <c r="BV137" s="22"/>
      <c r="BW137" s="22"/>
      <c r="BX137" s="22"/>
      <c r="BY137" s="22"/>
      <c r="BZ137" s="22"/>
      <c r="CA137" s="22"/>
      <c r="CB137" s="22"/>
      <c r="CC137" s="22"/>
      <c r="CD137" s="22"/>
      <c r="CE137" s="22"/>
      <c r="CF137" s="22"/>
      <c r="CG137" s="22"/>
      <c r="CH137" s="22"/>
      <c r="CI137" s="22"/>
      <c r="CJ137" s="22"/>
      <c r="CK137" s="22"/>
      <c r="CL137" s="22"/>
      <c r="CO137" s="22"/>
      <c r="CP137" s="22"/>
      <c r="CQ137" s="22"/>
      <c r="CR137" s="22"/>
      <c r="CS137" s="22"/>
      <c r="CT137" s="22"/>
      <c r="CU137" s="22"/>
      <c r="CV137" s="22"/>
      <c r="CW137" s="22"/>
      <c r="CX137" s="22"/>
      <c r="CY137" s="22"/>
      <c r="CZ137" s="22">
        <v>75</v>
      </c>
      <c r="DA137" s="22"/>
      <c r="DB137" s="22"/>
      <c r="DC137" s="22"/>
      <c r="DD137" s="22"/>
      <c r="DE137" s="22"/>
      <c r="DF137" s="22"/>
      <c r="DG137" s="22"/>
      <c r="DH137" s="22"/>
      <c r="DI137" s="22"/>
      <c r="DJ137" s="22"/>
      <c r="DK137" s="22"/>
      <c r="DL137" s="22"/>
      <c r="DM137" s="22"/>
      <c r="DN137" s="22"/>
      <c r="DO137" s="22"/>
      <c r="DP137" s="22"/>
      <c r="DQ137" s="22"/>
      <c r="DR137" s="22"/>
      <c r="DS137" s="22"/>
      <c r="DT137" s="22"/>
      <c r="DU137" s="22"/>
      <c r="DV137" s="22"/>
      <c r="DW137" s="22"/>
      <c r="DX137" s="22"/>
      <c r="DY137" s="22"/>
      <c r="DZ137" s="22"/>
      <c r="EA137" s="22"/>
      <c r="EB137" s="22"/>
      <c r="EC137" s="22"/>
      <c r="ED137" s="22"/>
      <c r="EE137" s="22"/>
      <c r="EF137" s="22"/>
      <c r="EG137" s="22"/>
      <c r="EH137" s="22"/>
      <c r="EI137" s="22"/>
      <c r="EJ137" s="22"/>
      <c r="EK137" s="22"/>
      <c r="EL137" s="22"/>
      <c r="EM137" s="22"/>
      <c r="EN137" s="22"/>
      <c r="EO137" s="22"/>
      <c r="EP137" s="22"/>
      <c r="EQ137" s="22"/>
      <c r="ER137" s="22"/>
      <c r="ES137" s="22"/>
      <c r="ET137" s="22"/>
      <c r="EU137" s="22"/>
      <c r="EV137" s="22"/>
      <c r="EW137" s="22"/>
      <c r="EX137" s="22"/>
      <c r="EY137" s="22">
        <v>20</v>
      </c>
      <c r="EZ137" s="22"/>
      <c r="FA137" s="22"/>
      <c r="FB137" s="22"/>
      <c r="FC137" s="22"/>
      <c r="FD137" s="22"/>
      <c r="FE137" s="22"/>
      <c r="FF137" s="22"/>
      <c r="FG137" s="22"/>
      <c r="FH137" s="22"/>
      <c r="FI137" s="22"/>
      <c r="FJ137" s="22"/>
      <c r="FK137" s="22"/>
      <c r="FL137" s="22"/>
      <c r="FM137" s="22"/>
      <c r="FN137" s="22"/>
      <c r="FO137" s="22"/>
      <c r="FP137" s="22"/>
      <c r="FQ137" s="22"/>
      <c r="FU137" s="22"/>
      <c r="FV137" s="22"/>
      <c r="GG137" s="22">
        <v>95</v>
      </c>
    </row>
    <row r="138" spans="1:189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>
        <v>25</v>
      </c>
      <c r="AS138" s="36"/>
      <c r="AT138" s="36"/>
      <c r="AU138" s="36"/>
      <c r="AV138" s="36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2"/>
      <c r="BO138" s="22"/>
      <c r="BP138" s="22"/>
      <c r="BQ138" s="22"/>
      <c r="BR138" s="22"/>
      <c r="BS138" s="22"/>
      <c r="BT138" s="22"/>
      <c r="BU138" s="22"/>
      <c r="BV138" s="22"/>
      <c r="BW138" s="22"/>
      <c r="BX138" s="22"/>
      <c r="BY138" s="22"/>
      <c r="BZ138" s="22"/>
      <c r="CA138" s="22"/>
      <c r="CB138" s="22"/>
      <c r="CC138" s="22"/>
      <c r="CD138" s="22"/>
      <c r="CE138" s="22"/>
      <c r="CF138" s="22"/>
      <c r="CG138" s="22"/>
      <c r="CH138" s="22"/>
      <c r="CI138" s="22"/>
      <c r="CJ138" s="22"/>
      <c r="CK138" s="22"/>
      <c r="CL138" s="22"/>
      <c r="CO138" s="22"/>
      <c r="CP138" s="22"/>
      <c r="CQ138" s="22"/>
      <c r="CR138" s="22"/>
      <c r="CS138" s="22"/>
      <c r="CT138" s="22"/>
      <c r="CU138" s="22"/>
      <c r="CV138" s="22"/>
      <c r="CW138" s="22"/>
      <c r="CX138" s="22"/>
      <c r="CY138" s="22">
        <v>3</v>
      </c>
      <c r="CZ138" s="22"/>
      <c r="DA138" s="22"/>
      <c r="DB138" s="22"/>
      <c r="DC138" s="22"/>
      <c r="DD138" s="22"/>
      <c r="DE138" s="22"/>
      <c r="DF138" s="22"/>
      <c r="DG138" s="22"/>
      <c r="DH138" s="22"/>
      <c r="DI138" s="22"/>
      <c r="DJ138" s="22"/>
      <c r="DK138" s="22"/>
      <c r="DL138" s="22"/>
      <c r="DM138" s="22"/>
      <c r="DN138" s="22"/>
      <c r="DO138" s="22"/>
      <c r="DP138" s="22">
        <v>7</v>
      </c>
      <c r="DQ138" s="22"/>
      <c r="DR138" s="22"/>
      <c r="DS138" s="22"/>
      <c r="DT138" s="22">
        <v>50</v>
      </c>
      <c r="DU138" s="22"/>
      <c r="DV138" s="22"/>
      <c r="DW138" s="22"/>
      <c r="DX138" s="22"/>
      <c r="DY138" s="22"/>
      <c r="DZ138" s="22"/>
      <c r="EA138" s="22"/>
      <c r="EB138" s="22"/>
      <c r="EC138" s="22"/>
      <c r="ED138" s="22"/>
      <c r="EE138" s="22"/>
      <c r="EF138" s="22"/>
      <c r="EG138" s="22"/>
      <c r="EH138" s="22"/>
      <c r="EI138" s="22"/>
      <c r="EJ138" s="22"/>
      <c r="EK138" s="22"/>
      <c r="EL138" s="22"/>
      <c r="EM138" s="22"/>
      <c r="EN138" s="22"/>
      <c r="EO138" s="22"/>
      <c r="EP138" s="22"/>
      <c r="EQ138" s="22"/>
      <c r="ER138" s="22"/>
      <c r="ES138" s="22"/>
      <c r="ET138" s="22"/>
      <c r="EU138" s="22"/>
      <c r="EV138" s="22"/>
      <c r="EW138" s="22"/>
      <c r="EX138" s="22"/>
      <c r="EY138" s="22"/>
      <c r="EZ138" s="22"/>
      <c r="FA138" s="22"/>
      <c r="FB138" s="22"/>
      <c r="FC138" s="22"/>
      <c r="FD138" s="22"/>
      <c r="FE138" s="22"/>
      <c r="FF138" s="22"/>
      <c r="FG138" s="22"/>
      <c r="FH138" s="22"/>
      <c r="FI138" s="22"/>
      <c r="FJ138" s="22"/>
      <c r="FK138" s="22"/>
      <c r="FL138" s="22"/>
      <c r="FM138" s="22"/>
      <c r="FN138" s="22"/>
      <c r="FO138" s="22"/>
      <c r="FP138" s="22"/>
      <c r="FQ138" s="22"/>
      <c r="FU138" s="22"/>
      <c r="FV138" s="22"/>
      <c r="GG138" s="22">
        <v>85</v>
      </c>
    </row>
    <row r="139" spans="1:189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>
        <v>25</v>
      </c>
      <c r="AS139" s="36"/>
      <c r="AT139" s="36"/>
      <c r="AU139" s="36"/>
      <c r="AV139" s="36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2"/>
      <c r="BO139" s="22"/>
      <c r="BP139" s="22"/>
      <c r="BQ139" s="22"/>
      <c r="BR139" s="22"/>
      <c r="BS139" s="22"/>
      <c r="BT139" s="22"/>
      <c r="BU139" s="22"/>
      <c r="BV139" s="22"/>
      <c r="BW139" s="22"/>
      <c r="BX139" s="22"/>
      <c r="BY139" s="22"/>
      <c r="BZ139" s="22"/>
      <c r="CA139" s="22"/>
      <c r="CB139" s="22"/>
      <c r="CC139" s="22"/>
      <c r="CD139" s="22"/>
      <c r="CE139" s="22"/>
      <c r="CF139" s="22"/>
      <c r="CG139" s="22"/>
      <c r="CH139" s="22"/>
      <c r="CI139" s="22"/>
      <c r="CJ139" s="22"/>
      <c r="CK139" s="22"/>
      <c r="CL139" s="22"/>
      <c r="CO139" s="22"/>
      <c r="CP139" s="22"/>
      <c r="CQ139" s="22"/>
      <c r="CR139" s="22"/>
      <c r="CS139" s="22"/>
      <c r="CT139" s="22"/>
      <c r="CU139" s="22"/>
      <c r="CV139" s="22"/>
      <c r="CW139" s="22"/>
      <c r="CX139" s="22"/>
      <c r="CY139" s="22"/>
      <c r="CZ139" s="22"/>
      <c r="DA139" s="22"/>
      <c r="DB139" s="22"/>
      <c r="DC139" s="22"/>
      <c r="DD139" s="22"/>
      <c r="DE139" s="22"/>
      <c r="DF139" s="22"/>
      <c r="DG139" s="22"/>
      <c r="DH139" s="22"/>
      <c r="DI139" s="22"/>
      <c r="DJ139" s="22"/>
      <c r="DK139" s="22"/>
      <c r="DL139" s="22"/>
      <c r="DM139" s="22"/>
      <c r="DN139" s="22"/>
      <c r="DO139" s="22"/>
      <c r="DP139" s="22"/>
      <c r="DQ139" s="22"/>
      <c r="DR139" s="22"/>
      <c r="DS139" s="22"/>
      <c r="DT139" s="22">
        <v>50</v>
      </c>
      <c r="DU139" s="22"/>
      <c r="DV139" s="22"/>
      <c r="DW139" s="22"/>
      <c r="DX139" s="22"/>
      <c r="DY139" s="22"/>
      <c r="DZ139" s="22"/>
      <c r="EA139" s="22"/>
      <c r="EB139" s="22"/>
      <c r="EC139" s="22"/>
      <c r="ED139" s="22"/>
      <c r="EE139" s="22"/>
      <c r="EF139" s="22"/>
      <c r="EG139" s="22"/>
      <c r="EH139" s="22"/>
      <c r="EI139" s="22"/>
      <c r="EJ139" s="22"/>
      <c r="EK139" s="22"/>
      <c r="EL139" s="22"/>
      <c r="EM139" s="22"/>
      <c r="EN139" s="22"/>
      <c r="EO139" s="22"/>
      <c r="EP139" s="22"/>
      <c r="EQ139" s="22"/>
      <c r="ER139" s="22"/>
      <c r="ES139" s="22"/>
      <c r="ET139" s="22"/>
      <c r="EU139" s="22"/>
      <c r="EV139" s="22"/>
      <c r="EW139" s="22"/>
      <c r="EX139" s="22"/>
      <c r="EY139" s="22"/>
      <c r="EZ139" s="22"/>
      <c r="FA139" s="22"/>
      <c r="FB139" s="22"/>
      <c r="FC139" s="22"/>
      <c r="FD139" s="22"/>
      <c r="FE139" s="22"/>
      <c r="FF139" s="22"/>
      <c r="FG139" s="22"/>
      <c r="FH139" s="22"/>
      <c r="FI139" s="22"/>
      <c r="FJ139" s="22"/>
      <c r="FK139" s="22"/>
      <c r="FL139" s="22"/>
      <c r="FM139" s="22"/>
      <c r="FN139" s="22"/>
      <c r="FO139" s="22"/>
      <c r="FP139" s="22"/>
      <c r="FQ139" s="22"/>
      <c r="FU139" s="22"/>
      <c r="FV139" s="22"/>
      <c r="GG139" s="22">
        <v>75</v>
      </c>
    </row>
    <row r="140" spans="1:189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2"/>
      <c r="BO140" s="22"/>
      <c r="BP140" s="22"/>
      <c r="BQ140" s="22"/>
      <c r="BR140" s="22"/>
      <c r="BS140" s="22"/>
      <c r="BT140" s="22"/>
      <c r="BU140" s="22"/>
      <c r="BV140" s="22"/>
      <c r="BW140" s="22"/>
      <c r="BX140" s="22"/>
      <c r="BY140" s="22"/>
      <c r="BZ140" s="22"/>
      <c r="CA140" s="22"/>
      <c r="CB140" s="22"/>
      <c r="CC140" s="22"/>
      <c r="CD140" s="22"/>
      <c r="CE140" s="22"/>
      <c r="CF140" s="22"/>
      <c r="CG140" s="22"/>
      <c r="CH140" s="22"/>
      <c r="CI140" s="22"/>
      <c r="CJ140" s="22"/>
      <c r="CK140" s="22"/>
      <c r="CL140" s="22"/>
      <c r="CO140" s="22"/>
      <c r="CP140" s="22"/>
      <c r="CQ140" s="22"/>
      <c r="CR140" s="22"/>
      <c r="CS140" s="22"/>
      <c r="CT140" s="22"/>
      <c r="CU140" s="22"/>
      <c r="CV140" s="22"/>
      <c r="CW140" s="22"/>
      <c r="CX140" s="22"/>
      <c r="CY140" s="22"/>
      <c r="CZ140" s="22"/>
      <c r="DA140" s="22">
        <v>20</v>
      </c>
      <c r="DB140" s="22"/>
      <c r="DC140" s="22"/>
      <c r="DD140" s="22"/>
      <c r="DE140" s="22"/>
      <c r="DF140" s="22"/>
      <c r="DG140" s="22"/>
      <c r="DH140" s="22"/>
      <c r="DI140" s="22"/>
      <c r="DJ140" s="22"/>
      <c r="DK140" s="22"/>
      <c r="DL140" s="22"/>
      <c r="DM140" s="22"/>
      <c r="DN140" s="22"/>
      <c r="DO140" s="22"/>
      <c r="DP140" s="22">
        <v>15</v>
      </c>
      <c r="DQ140" s="22"/>
      <c r="DR140" s="22"/>
      <c r="DS140" s="22"/>
      <c r="DT140" s="22">
        <v>100</v>
      </c>
      <c r="DU140" s="22"/>
      <c r="DV140" s="22"/>
      <c r="DW140" s="22"/>
      <c r="DX140" s="22"/>
      <c r="DY140" s="22"/>
      <c r="DZ140" s="22"/>
      <c r="EA140" s="22"/>
      <c r="EB140" s="22"/>
      <c r="EC140" s="22"/>
      <c r="ED140" s="22"/>
      <c r="EE140" s="22"/>
      <c r="EF140" s="22"/>
      <c r="EG140" s="22"/>
      <c r="EH140" s="22"/>
      <c r="EI140" s="22"/>
      <c r="EJ140" s="22"/>
      <c r="EK140" s="22"/>
      <c r="EL140" s="22"/>
      <c r="EM140" s="22"/>
      <c r="EN140" s="22"/>
      <c r="EO140" s="22"/>
      <c r="EP140" s="22"/>
      <c r="EQ140" s="22"/>
      <c r="ER140" s="22"/>
      <c r="ES140" s="22"/>
      <c r="ET140" s="22"/>
      <c r="EU140" s="22"/>
      <c r="EV140" s="22"/>
      <c r="EW140" s="22"/>
      <c r="EX140" s="22"/>
      <c r="EY140" s="22">
        <v>100</v>
      </c>
      <c r="EZ140" s="22"/>
      <c r="FA140" s="22"/>
      <c r="FB140" s="22"/>
      <c r="FC140" s="22"/>
      <c r="FD140" s="22"/>
      <c r="FE140" s="22"/>
      <c r="FF140" s="22"/>
      <c r="FG140" s="22"/>
      <c r="FH140" s="22"/>
      <c r="FI140" s="22"/>
      <c r="FJ140" s="22"/>
      <c r="FK140" s="22"/>
      <c r="FL140" s="22"/>
      <c r="FM140" s="22"/>
      <c r="FN140" s="22"/>
      <c r="FO140" s="22"/>
      <c r="FP140" s="22"/>
      <c r="FQ140" s="22"/>
      <c r="FU140" s="22"/>
      <c r="FV140" s="22"/>
      <c r="GG140" s="22">
        <v>235</v>
      </c>
    </row>
    <row r="141" spans="1:189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>
        <v>50</v>
      </c>
      <c r="AS141" s="36"/>
      <c r="AT141" s="36"/>
      <c r="AU141" s="36"/>
      <c r="AV141" s="36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2"/>
      <c r="BO141" s="22"/>
      <c r="BP141" s="22"/>
      <c r="BQ141" s="22"/>
      <c r="BR141" s="22"/>
      <c r="BS141" s="22"/>
      <c r="BT141" s="22"/>
      <c r="BU141" s="22"/>
      <c r="BV141" s="22"/>
      <c r="BW141" s="22"/>
      <c r="BX141" s="22"/>
      <c r="BY141" s="22"/>
      <c r="BZ141" s="22"/>
      <c r="CA141" s="22"/>
      <c r="CB141" s="22"/>
      <c r="CC141" s="22"/>
      <c r="CD141" s="22"/>
      <c r="CE141" s="22"/>
      <c r="CF141" s="22"/>
      <c r="CG141" s="22"/>
      <c r="CH141" s="22"/>
      <c r="CI141" s="22"/>
      <c r="CJ141" s="22"/>
      <c r="CK141" s="22"/>
      <c r="CL141" s="22"/>
      <c r="CO141" s="22"/>
      <c r="CP141" s="22"/>
      <c r="CQ141" s="22"/>
      <c r="CR141" s="22"/>
      <c r="CS141" s="22"/>
      <c r="CT141" s="22"/>
      <c r="CU141" s="22"/>
      <c r="CV141" s="22"/>
      <c r="CW141" s="22"/>
      <c r="CX141" s="22">
        <v>25</v>
      </c>
      <c r="CY141" s="22"/>
      <c r="CZ141" s="22"/>
      <c r="DA141" s="22">
        <v>30</v>
      </c>
      <c r="DB141" s="22"/>
      <c r="DC141" s="22"/>
      <c r="DD141" s="22"/>
      <c r="DE141" s="22"/>
      <c r="DF141" s="22"/>
      <c r="DG141" s="22"/>
      <c r="DH141" s="22"/>
      <c r="DI141" s="22"/>
      <c r="DJ141" s="22"/>
      <c r="DK141" s="22"/>
      <c r="DL141" s="22"/>
      <c r="DM141" s="22"/>
      <c r="DN141" s="22"/>
      <c r="DO141" s="22"/>
      <c r="DP141" s="22">
        <v>3</v>
      </c>
      <c r="DQ141" s="22"/>
      <c r="DR141" s="22"/>
      <c r="DS141" s="22"/>
      <c r="DT141" s="22">
        <v>100</v>
      </c>
      <c r="DU141" s="22"/>
      <c r="DV141" s="22"/>
      <c r="DW141" s="22"/>
      <c r="DX141" s="22"/>
      <c r="DY141" s="22"/>
      <c r="DZ141" s="22"/>
      <c r="EA141" s="22"/>
      <c r="EB141" s="22"/>
      <c r="EC141" s="22"/>
      <c r="ED141" s="22"/>
      <c r="EE141" s="22"/>
      <c r="EF141" s="22"/>
      <c r="EG141" s="22"/>
      <c r="EH141" s="22"/>
      <c r="EI141" s="22"/>
      <c r="EJ141" s="22">
        <v>50</v>
      </c>
      <c r="EK141" s="22"/>
      <c r="EL141" s="22"/>
      <c r="EM141" s="22"/>
      <c r="EN141" s="22"/>
      <c r="EO141" s="22"/>
      <c r="EP141" s="22"/>
      <c r="EQ141" s="22"/>
      <c r="ER141" s="22"/>
      <c r="ES141" s="22"/>
      <c r="ET141" s="22"/>
      <c r="EU141" s="22"/>
      <c r="EV141" s="22"/>
      <c r="EW141" s="22"/>
      <c r="EX141" s="22"/>
      <c r="EY141" s="22"/>
      <c r="EZ141" s="22"/>
      <c r="FA141" s="22"/>
      <c r="FB141" s="22"/>
      <c r="FC141" s="22"/>
      <c r="FD141" s="22"/>
      <c r="FE141" s="22"/>
      <c r="FF141" s="22"/>
      <c r="FG141" s="22"/>
      <c r="FH141" s="22"/>
      <c r="FI141" s="22"/>
      <c r="FJ141" s="22"/>
      <c r="FK141" s="22"/>
      <c r="FL141" s="22"/>
      <c r="FM141" s="22"/>
      <c r="FN141" s="22"/>
      <c r="FO141" s="22"/>
      <c r="FP141" s="22"/>
      <c r="FQ141" s="22"/>
      <c r="FU141" s="22"/>
      <c r="FV141" s="22"/>
      <c r="GG141" s="22">
        <v>258</v>
      </c>
    </row>
    <row r="142" spans="1:189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>
        <v>25</v>
      </c>
      <c r="AS142" s="36"/>
      <c r="AT142" s="36"/>
      <c r="AU142" s="36"/>
      <c r="AV142" s="36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22"/>
      <c r="BT142" s="22"/>
      <c r="BU142" s="22"/>
      <c r="BV142" s="22"/>
      <c r="BW142" s="22"/>
      <c r="BX142" s="22"/>
      <c r="BY142" s="22"/>
      <c r="BZ142" s="22"/>
      <c r="CA142" s="22"/>
      <c r="CB142" s="22"/>
      <c r="CC142" s="22"/>
      <c r="CD142" s="22"/>
      <c r="CE142" s="22"/>
      <c r="CF142" s="22"/>
      <c r="CG142" s="22"/>
      <c r="CH142" s="22"/>
      <c r="CI142" s="22"/>
      <c r="CJ142" s="22"/>
      <c r="CK142" s="22"/>
      <c r="CL142" s="22"/>
      <c r="CO142" s="22"/>
      <c r="CP142" s="22"/>
      <c r="CQ142" s="22"/>
      <c r="CR142" s="22"/>
      <c r="CS142" s="22"/>
      <c r="CT142" s="22"/>
      <c r="CU142" s="22"/>
      <c r="CV142" s="22"/>
      <c r="CW142" s="22"/>
      <c r="CX142" s="22">
        <v>150</v>
      </c>
      <c r="CY142" s="22"/>
      <c r="CZ142" s="22"/>
      <c r="DA142" s="22">
        <v>125</v>
      </c>
      <c r="DB142" s="22"/>
      <c r="DC142" s="22"/>
      <c r="DD142" s="22"/>
      <c r="DE142" s="22"/>
      <c r="DF142" s="22"/>
      <c r="DG142" s="22"/>
      <c r="DH142" s="22"/>
      <c r="DI142" s="22"/>
      <c r="DJ142" s="22"/>
      <c r="DK142" s="22"/>
      <c r="DL142" s="22"/>
      <c r="DM142" s="22"/>
      <c r="DN142" s="22"/>
      <c r="DO142" s="22"/>
      <c r="DP142" s="22">
        <v>30</v>
      </c>
      <c r="DQ142" s="22"/>
      <c r="DR142" s="22"/>
      <c r="DS142" s="22"/>
      <c r="DT142" s="22"/>
      <c r="DU142" s="22"/>
      <c r="DV142" s="22"/>
      <c r="DW142" s="22"/>
      <c r="DX142" s="22"/>
      <c r="DY142" s="22"/>
      <c r="DZ142" s="22"/>
      <c r="EA142" s="22"/>
      <c r="EB142" s="22"/>
      <c r="EC142" s="22"/>
      <c r="ED142" s="22"/>
      <c r="EE142" s="22"/>
      <c r="EF142" s="22"/>
      <c r="EG142" s="22"/>
      <c r="EH142" s="22"/>
      <c r="EI142" s="22"/>
      <c r="EJ142" s="22"/>
      <c r="EK142" s="22"/>
      <c r="EL142" s="22"/>
      <c r="EM142" s="22"/>
      <c r="EN142" s="22"/>
      <c r="EO142" s="22"/>
      <c r="EP142" s="22"/>
      <c r="EQ142" s="22"/>
      <c r="ER142" s="22"/>
      <c r="ES142" s="22"/>
      <c r="ET142" s="22"/>
      <c r="EU142" s="22"/>
      <c r="EV142" s="22"/>
      <c r="EW142" s="22"/>
      <c r="EX142" s="22"/>
      <c r="EY142" s="22">
        <v>170</v>
      </c>
      <c r="EZ142" s="22"/>
      <c r="FA142" s="22"/>
      <c r="FB142" s="22"/>
      <c r="FC142" s="22"/>
      <c r="FD142" s="22"/>
      <c r="FE142" s="22"/>
      <c r="FF142" s="22"/>
      <c r="FG142" s="22"/>
      <c r="FH142" s="22"/>
      <c r="FI142" s="22"/>
      <c r="FJ142" s="22"/>
      <c r="FK142" s="22"/>
      <c r="FL142" s="22"/>
      <c r="FM142" s="22"/>
      <c r="FN142" s="22"/>
      <c r="FO142" s="22"/>
      <c r="FP142" s="22"/>
      <c r="FQ142" s="22"/>
      <c r="FU142" s="22"/>
      <c r="FV142" s="22"/>
      <c r="GG142" s="22">
        <v>500</v>
      </c>
    </row>
    <row r="143" spans="1:189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G143" s="22">
        <v>100</v>
      </c>
      <c r="K143" s="22">
        <v>300</v>
      </c>
      <c r="M143" s="22">
        <v>2000</v>
      </c>
      <c r="P143" s="22">
        <v>450</v>
      </c>
      <c r="U143" s="22">
        <v>250</v>
      </c>
      <c r="X143" s="36">
        <v>100</v>
      </c>
      <c r="Y143" s="36">
        <v>20</v>
      </c>
      <c r="Z143" s="36">
        <v>70</v>
      </c>
      <c r="AA143" s="36">
        <v>200</v>
      </c>
      <c r="AB143" s="36">
        <v>100</v>
      </c>
      <c r="AC143" s="36"/>
      <c r="AD143" s="36"/>
      <c r="AE143" s="36">
        <v>150</v>
      </c>
      <c r="AF143" s="36"/>
      <c r="AG143" s="36"/>
      <c r="AH143" s="36"/>
      <c r="AI143" s="36"/>
      <c r="AJ143" s="36"/>
      <c r="AK143" s="36"/>
      <c r="AL143" s="36"/>
      <c r="AM143" s="36"/>
      <c r="AN143" s="36"/>
      <c r="AO143" s="36">
        <v>800</v>
      </c>
      <c r="AP143" s="36"/>
      <c r="AQ143" s="36"/>
      <c r="AR143" s="36"/>
      <c r="AS143" s="36"/>
      <c r="AT143" s="36"/>
      <c r="AU143" s="36"/>
      <c r="AV143" s="36"/>
      <c r="AW143" s="22"/>
      <c r="AX143" s="22"/>
      <c r="AY143" s="22"/>
      <c r="AZ143" s="22"/>
      <c r="BA143" s="22"/>
      <c r="BB143" s="22"/>
      <c r="BC143" s="22">
        <v>2700</v>
      </c>
      <c r="BD143" s="22">
        <v>2700</v>
      </c>
      <c r="BE143" s="22"/>
      <c r="BF143" s="22"/>
      <c r="BG143" s="22"/>
      <c r="BH143" s="22"/>
      <c r="BI143" s="22">
        <v>5400</v>
      </c>
      <c r="BJ143" s="22"/>
      <c r="BK143" s="22"/>
      <c r="BL143" s="22"/>
      <c r="BM143" s="22"/>
      <c r="BN143" s="22">
        <v>1325</v>
      </c>
      <c r="BO143" s="22"/>
      <c r="BP143" s="22"/>
      <c r="BQ143" s="22"/>
      <c r="BR143" s="22"/>
      <c r="BS143" s="22"/>
      <c r="BT143" s="22"/>
      <c r="BU143" s="22"/>
      <c r="BV143" s="22"/>
      <c r="BW143" s="22"/>
      <c r="BX143" s="22"/>
      <c r="BY143" s="22"/>
      <c r="BZ143" s="22"/>
      <c r="CA143" s="22"/>
      <c r="CB143" s="22"/>
      <c r="CC143" s="22"/>
      <c r="CD143" s="22"/>
      <c r="CE143" s="22"/>
      <c r="CF143" s="22"/>
      <c r="CG143" s="22">
        <v>350</v>
      </c>
      <c r="CH143" s="22"/>
      <c r="CI143" s="22">
        <v>1050</v>
      </c>
      <c r="CJ143" s="22">
        <v>1250</v>
      </c>
      <c r="CK143" s="22"/>
      <c r="CL143" s="22"/>
      <c r="CM143" s="22">
        <v>1000</v>
      </c>
      <c r="CO143" s="22">
        <v>50</v>
      </c>
      <c r="CP143" s="22"/>
      <c r="CQ143" s="22">
        <v>150</v>
      </c>
      <c r="CR143" s="22"/>
      <c r="CS143" s="22"/>
      <c r="CT143" s="22"/>
      <c r="CU143" s="22"/>
      <c r="CV143" s="22"/>
      <c r="CW143" s="22">
        <v>500</v>
      </c>
      <c r="CX143" s="22"/>
      <c r="CY143" s="22"/>
      <c r="CZ143" s="22"/>
      <c r="DA143" s="22"/>
      <c r="DB143" s="22"/>
      <c r="DC143" s="22"/>
      <c r="DD143" s="22"/>
      <c r="DE143" s="22">
        <v>2611</v>
      </c>
      <c r="DF143" s="22"/>
      <c r="DG143" s="22"/>
      <c r="DH143" s="22"/>
      <c r="DI143" s="22"/>
      <c r="DJ143" s="22"/>
      <c r="DK143" s="22"/>
      <c r="DL143" s="22"/>
      <c r="DM143" s="22"/>
      <c r="DN143" s="22"/>
      <c r="DO143" s="22"/>
      <c r="DP143" s="22"/>
      <c r="DQ143" s="22"/>
      <c r="DR143" s="22"/>
      <c r="DS143" s="22"/>
      <c r="DT143" s="22"/>
      <c r="DU143" s="22"/>
      <c r="DV143" s="22"/>
      <c r="DW143" s="22"/>
      <c r="DX143" s="22"/>
      <c r="DY143" s="22"/>
      <c r="DZ143" s="22"/>
      <c r="EA143" s="22"/>
      <c r="EB143" s="22"/>
      <c r="EC143" s="22"/>
      <c r="ED143" s="22"/>
      <c r="EE143" s="22"/>
      <c r="EF143" s="22"/>
      <c r="EG143" s="22"/>
      <c r="EH143" s="22"/>
      <c r="EI143" s="22"/>
      <c r="EJ143" s="22"/>
      <c r="EK143" s="22"/>
      <c r="EL143" s="22"/>
      <c r="EM143" s="22"/>
      <c r="EN143" s="22"/>
      <c r="EO143" s="22"/>
      <c r="EP143" s="22"/>
      <c r="EQ143" s="22"/>
      <c r="ER143" s="22"/>
      <c r="ES143" s="22">
        <v>500</v>
      </c>
      <c r="ET143" s="22"/>
      <c r="EU143" s="22">
        <v>1950</v>
      </c>
      <c r="EV143" s="22"/>
      <c r="EW143" s="22"/>
      <c r="EX143" s="22">
        <v>1000</v>
      </c>
      <c r="EY143" s="22"/>
      <c r="EZ143" s="22"/>
      <c r="FA143" s="22"/>
      <c r="FB143" s="22">
        <v>600</v>
      </c>
      <c r="FC143" s="22">
        <v>700</v>
      </c>
      <c r="FD143" s="22"/>
      <c r="FE143" s="22"/>
      <c r="FF143" s="22">
        <v>500</v>
      </c>
      <c r="FG143" s="22"/>
      <c r="FH143" s="22">
        <v>600</v>
      </c>
      <c r="FI143" s="22"/>
      <c r="FJ143" s="22"/>
      <c r="FK143" s="22"/>
      <c r="FL143" s="22">
        <v>851</v>
      </c>
      <c r="FM143" s="22"/>
      <c r="FN143" s="22"/>
      <c r="FO143" s="22"/>
      <c r="FP143" s="22"/>
      <c r="FQ143" s="22">
        <v>901</v>
      </c>
      <c r="FT143" s="22">
        <v>11</v>
      </c>
      <c r="FU143" s="22"/>
      <c r="FV143" s="22"/>
      <c r="GG143" s="22">
        <v>31239</v>
      </c>
    </row>
    <row r="144" spans="1:189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2"/>
      <c r="BO144" s="22"/>
      <c r="BP144" s="22"/>
      <c r="BQ144" s="22"/>
      <c r="BR144" s="22"/>
      <c r="BS144" s="22"/>
      <c r="BT144" s="22"/>
      <c r="BU144" s="22"/>
      <c r="BV144" s="22"/>
      <c r="BW144" s="22"/>
      <c r="BX144" s="22"/>
      <c r="BY144" s="22"/>
      <c r="BZ144" s="22"/>
      <c r="CA144" s="22"/>
      <c r="CB144" s="22"/>
      <c r="CC144" s="22"/>
      <c r="CD144" s="22"/>
      <c r="CE144" s="22"/>
      <c r="CF144" s="22"/>
      <c r="CG144" s="22"/>
      <c r="CH144" s="22"/>
      <c r="CI144" s="22"/>
      <c r="CJ144" s="22"/>
      <c r="CK144" s="22"/>
      <c r="CL144" s="22"/>
      <c r="CO144" s="22"/>
      <c r="CP144" s="22"/>
      <c r="CQ144" s="22"/>
      <c r="CR144" s="22"/>
      <c r="CS144" s="22"/>
      <c r="CT144" s="22"/>
      <c r="CU144" s="22"/>
      <c r="CV144" s="22"/>
      <c r="CW144" s="22"/>
      <c r="CX144" s="22"/>
      <c r="CY144" s="22"/>
      <c r="CZ144" s="22"/>
      <c r="DA144" s="22"/>
      <c r="DB144" s="22"/>
      <c r="DC144" s="22"/>
      <c r="DD144" s="22"/>
      <c r="DE144" s="22"/>
      <c r="DF144" s="22"/>
      <c r="DG144" s="22"/>
      <c r="DH144" s="22"/>
      <c r="DI144" s="22"/>
      <c r="DJ144" s="22"/>
      <c r="DK144" s="22"/>
      <c r="DL144" s="22"/>
      <c r="DM144" s="22"/>
      <c r="DN144" s="22"/>
      <c r="DO144" s="22"/>
      <c r="DP144" s="22"/>
      <c r="DQ144" s="22"/>
      <c r="DR144" s="22"/>
      <c r="DS144" s="22"/>
      <c r="DT144" s="22"/>
      <c r="DU144" s="22"/>
      <c r="DV144" s="22"/>
      <c r="DW144" s="22"/>
      <c r="DX144" s="22"/>
      <c r="DY144" s="22"/>
      <c r="DZ144" s="22"/>
      <c r="EA144" s="22"/>
      <c r="EB144" s="22"/>
      <c r="EC144" s="22"/>
      <c r="ED144" s="22"/>
      <c r="EE144" s="22"/>
      <c r="EF144" s="22"/>
      <c r="EG144" s="22"/>
      <c r="EH144" s="22"/>
      <c r="EI144" s="22"/>
      <c r="EJ144" s="22"/>
      <c r="EK144" s="22"/>
      <c r="EL144" s="22"/>
      <c r="EM144" s="22"/>
      <c r="EN144" s="22"/>
      <c r="EO144" s="22"/>
      <c r="EP144" s="22"/>
      <c r="EQ144" s="22"/>
      <c r="ER144" s="22"/>
      <c r="ES144" s="22"/>
      <c r="ET144" s="22"/>
      <c r="EU144" s="22"/>
      <c r="EV144" s="22"/>
      <c r="EW144" s="22"/>
      <c r="EX144" s="22"/>
      <c r="EY144" s="22"/>
      <c r="EZ144" s="22"/>
      <c r="FA144" s="22"/>
      <c r="FB144" s="22"/>
      <c r="FC144" s="22"/>
      <c r="FD144" s="22"/>
      <c r="FE144" s="22"/>
      <c r="FF144" s="22"/>
      <c r="FG144" s="22"/>
      <c r="FH144" s="22"/>
      <c r="FI144" s="22"/>
      <c r="FJ144" s="22"/>
      <c r="FK144" s="22"/>
      <c r="FL144" s="22"/>
      <c r="FM144" s="22"/>
      <c r="FN144" s="22"/>
      <c r="FO144" s="22"/>
      <c r="FP144" s="22"/>
      <c r="FQ144" s="22"/>
      <c r="FU144" s="22"/>
      <c r="FV144" s="22"/>
      <c r="GG144" s="22">
        <v>0</v>
      </c>
    </row>
    <row r="145" spans="1:189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U145" s="22">
        <v>200</v>
      </c>
      <c r="X145" s="36"/>
      <c r="Y145" s="36"/>
      <c r="Z145" s="36"/>
      <c r="AA145" s="36"/>
      <c r="AB145" s="36"/>
      <c r="AC145" s="36"/>
      <c r="AD145" s="36"/>
      <c r="AE145" s="36">
        <v>30</v>
      </c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2"/>
      <c r="BO145" s="22"/>
      <c r="BP145" s="22"/>
      <c r="BQ145" s="22"/>
      <c r="BR145" s="22"/>
      <c r="BS145" s="22"/>
      <c r="BT145" s="22"/>
      <c r="BU145" s="22"/>
      <c r="BV145" s="22"/>
      <c r="BW145" s="22"/>
      <c r="BX145" s="22"/>
      <c r="BY145" s="22"/>
      <c r="BZ145" s="22"/>
      <c r="CA145" s="22"/>
      <c r="CB145" s="22"/>
      <c r="CC145" s="22"/>
      <c r="CD145" s="22"/>
      <c r="CE145" s="22"/>
      <c r="CF145" s="22"/>
      <c r="CG145" s="22"/>
      <c r="CH145" s="22"/>
      <c r="CI145" s="22"/>
      <c r="CJ145" s="22"/>
      <c r="CK145" s="22"/>
      <c r="CL145" s="22"/>
      <c r="CO145" s="22"/>
      <c r="CP145" s="22"/>
      <c r="CQ145" s="22"/>
      <c r="CR145" s="22"/>
      <c r="CS145" s="22"/>
      <c r="CT145" s="22"/>
      <c r="CU145" s="22"/>
      <c r="CV145" s="22"/>
      <c r="CW145" s="22"/>
      <c r="CX145" s="22"/>
      <c r="CY145" s="22"/>
      <c r="CZ145" s="22"/>
      <c r="DA145" s="22"/>
      <c r="DB145" s="22"/>
      <c r="DC145" s="22"/>
      <c r="DD145" s="22">
        <v>338</v>
      </c>
      <c r="DE145" s="22"/>
      <c r="DF145" s="22"/>
      <c r="DG145" s="22"/>
      <c r="DH145" s="22">
        <v>162</v>
      </c>
      <c r="DI145" s="22"/>
      <c r="DJ145" s="22"/>
      <c r="DK145" s="22"/>
      <c r="DL145" s="22"/>
      <c r="DM145" s="22"/>
      <c r="DN145" s="22"/>
      <c r="DO145" s="22"/>
      <c r="DP145" s="22"/>
      <c r="DQ145" s="22"/>
      <c r="DR145" s="22"/>
      <c r="DS145" s="22">
        <v>274</v>
      </c>
      <c r="DT145" s="22"/>
      <c r="DU145" s="22"/>
      <c r="DV145" s="22"/>
      <c r="DW145" s="22">
        <v>360</v>
      </c>
      <c r="DX145" s="22">
        <v>570</v>
      </c>
      <c r="DY145" s="22"/>
      <c r="DZ145" s="22"/>
      <c r="EA145" s="22"/>
      <c r="EB145" s="22"/>
      <c r="EC145" s="22"/>
      <c r="ED145" s="22"/>
      <c r="EE145" s="22"/>
      <c r="EF145" s="22"/>
      <c r="EG145" s="22"/>
      <c r="EH145" s="22"/>
      <c r="EI145" s="22"/>
      <c r="EJ145" s="22"/>
      <c r="EK145" s="22"/>
      <c r="EL145" s="22"/>
      <c r="EM145" s="22"/>
      <c r="EN145" s="22"/>
      <c r="EO145" s="22"/>
      <c r="EP145" s="22"/>
      <c r="EQ145" s="22"/>
      <c r="ER145" s="22"/>
      <c r="ES145" s="22"/>
      <c r="ET145" s="22"/>
      <c r="EU145" s="22"/>
      <c r="EV145" s="22"/>
      <c r="EW145" s="22"/>
      <c r="EX145" s="22"/>
      <c r="EY145" s="22"/>
      <c r="EZ145" s="22"/>
      <c r="FA145" s="22">
        <v>100</v>
      </c>
      <c r="FB145" s="22"/>
      <c r="FC145" s="22"/>
      <c r="FD145" s="22"/>
      <c r="FE145" s="22">
        <v>154</v>
      </c>
      <c r="FF145" s="22"/>
      <c r="FG145" s="22"/>
      <c r="FH145" s="22"/>
      <c r="FI145" s="22"/>
      <c r="FJ145" s="22"/>
      <c r="FK145" s="22"/>
      <c r="FL145" s="22"/>
      <c r="FM145" s="22"/>
      <c r="FN145" s="22"/>
      <c r="FO145" s="22"/>
      <c r="FP145" s="22"/>
      <c r="FQ145" s="22"/>
      <c r="FU145" s="22"/>
      <c r="FV145" s="22"/>
      <c r="GG145" s="22">
        <v>2188</v>
      </c>
    </row>
    <row r="146" spans="1:189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X146" s="36"/>
      <c r="Y146" s="36"/>
      <c r="Z146" s="36"/>
      <c r="AA146" s="36"/>
      <c r="AB146" s="36"/>
      <c r="AC146" s="36"/>
      <c r="AD146" s="36"/>
      <c r="AE146" s="36">
        <v>50</v>
      </c>
      <c r="AF146" s="36"/>
      <c r="AG146" s="36"/>
      <c r="AH146" s="36"/>
      <c r="AI146" s="36"/>
      <c r="AJ146" s="36"/>
      <c r="AK146" s="36"/>
      <c r="AL146" s="36">
        <v>15</v>
      </c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22"/>
      <c r="BT146" s="22"/>
      <c r="BU146" s="22"/>
      <c r="BV146" s="22"/>
      <c r="BW146" s="22"/>
      <c r="BX146" s="22"/>
      <c r="BY146" s="22"/>
      <c r="BZ146" s="22"/>
      <c r="CA146" s="22"/>
      <c r="CB146" s="22"/>
      <c r="CC146" s="22"/>
      <c r="CD146" s="22"/>
      <c r="CE146" s="22"/>
      <c r="CF146" s="22"/>
      <c r="CG146" s="22"/>
      <c r="CH146" s="22"/>
      <c r="CI146" s="22"/>
      <c r="CJ146" s="22"/>
      <c r="CK146" s="22"/>
      <c r="CL146" s="22"/>
      <c r="CO146" s="22"/>
      <c r="CP146" s="22"/>
      <c r="CQ146" s="22"/>
      <c r="CR146" s="22"/>
      <c r="CS146" s="22"/>
      <c r="CT146" s="22"/>
      <c r="CU146" s="22"/>
      <c r="CV146" s="22"/>
      <c r="CW146" s="22"/>
      <c r="CX146" s="22"/>
      <c r="CY146" s="22"/>
      <c r="CZ146" s="22"/>
      <c r="DA146" s="22"/>
      <c r="DB146" s="22"/>
      <c r="DC146" s="22"/>
      <c r="DD146" s="22">
        <v>153</v>
      </c>
      <c r="DE146" s="22"/>
      <c r="DF146" s="22">
        <v>223</v>
      </c>
      <c r="DG146" s="22"/>
      <c r="DH146" s="22"/>
      <c r="DI146" s="22"/>
      <c r="DJ146" s="22"/>
      <c r="DK146" s="22"/>
      <c r="DL146" s="22"/>
      <c r="DM146" s="22"/>
      <c r="DN146" s="22">
        <v>52</v>
      </c>
      <c r="DO146" s="22"/>
      <c r="DP146" s="22"/>
      <c r="DQ146" s="22"/>
      <c r="DR146" s="22"/>
      <c r="DS146" s="22">
        <v>12</v>
      </c>
      <c r="DT146" s="22"/>
      <c r="DU146" s="22"/>
      <c r="DV146" s="22"/>
      <c r="DW146" s="22"/>
      <c r="DX146" s="22"/>
      <c r="DY146" s="22"/>
      <c r="DZ146" s="22"/>
      <c r="EA146" s="22"/>
      <c r="EB146" s="22"/>
      <c r="EC146" s="22"/>
      <c r="ED146" s="22"/>
      <c r="EE146" s="22"/>
      <c r="EF146" s="22"/>
      <c r="EG146" s="22"/>
      <c r="EH146" s="22"/>
      <c r="EI146" s="22"/>
      <c r="EJ146" s="22"/>
      <c r="EK146" s="22"/>
      <c r="EL146" s="22"/>
      <c r="EM146" s="22"/>
      <c r="EN146" s="22"/>
      <c r="EO146" s="22"/>
      <c r="EP146" s="22"/>
      <c r="EQ146" s="22"/>
      <c r="ER146" s="22">
        <v>100</v>
      </c>
      <c r="ES146" s="22"/>
      <c r="ET146" s="22"/>
      <c r="EU146" s="22"/>
      <c r="EV146" s="22"/>
      <c r="EW146" s="22"/>
      <c r="EX146" s="22"/>
      <c r="EY146" s="22"/>
      <c r="EZ146" s="22"/>
      <c r="FA146" s="22"/>
      <c r="FB146" s="22"/>
      <c r="FC146" s="22"/>
      <c r="FD146" s="22"/>
      <c r="FE146" s="22"/>
      <c r="FF146" s="22"/>
      <c r="FG146" s="22"/>
      <c r="FH146" s="22"/>
      <c r="FI146" s="22"/>
      <c r="FJ146" s="22"/>
      <c r="FK146" s="22"/>
      <c r="FL146" s="22"/>
      <c r="FM146" s="22"/>
      <c r="FN146" s="22"/>
      <c r="FO146" s="22"/>
      <c r="FP146" s="22"/>
      <c r="FQ146" s="22"/>
      <c r="FU146" s="22"/>
      <c r="FV146" s="22"/>
      <c r="GG146" s="22">
        <v>605</v>
      </c>
    </row>
    <row r="147" spans="1:189" x14ac:dyDescent="0.25">
      <c r="A147" s="9">
        <v>143</v>
      </c>
      <c r="B147" s="9">
        <v>3000000000</v>
      </c>
      <c r="C147" s="12" t="s">
        <v>157</v>
      </c>
      <c r="D147" s="9" t="s">
        <v>12</v>
      </c>
      <c r="E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2"/>
      <c r="BO147" s="22"/>
      <c r="BP147" s="22"/>
      <c r="BQ147" s="22"/>
      <c r="BR147" s="22"/>
      <c r="BS147" s="22"/>
      <c r="BT147" s="22"/>
      <c r="BU147" s="22"/>
      <c r="BV147" s="22"/>
      <c r="BW147" s="22"/>
      <c r="BX147" s="22"/>
      <c r="BY147" s="22"/>
      <c r="BZ147" s="22"/>
      <c r="CA147" s="22"/>
      <c r="CB147" s="22"/>
      <c r="CC147" s="22"/>
      <c r="CD147" s="22"/>
      <c r="CE147" s="22"/>
      <c r="CF147" s="22"/>
      <c r="CG147" s="22"/>
      <c r="CH147" s="22"/>
      <c r="CI147" s="22"/>
      <c r="CJ147" s="22"/>
      <c r="CK147" s="22"/>
      <c r="CL147" s="22"/>
      <c r="CO147" s="22"/>
      <c r="CP147" s="22"/>
      <c r="CQ147" s="22"/>
      <c r="CR147" s="22"/>
      <c r="CS147" s="22"/>
      <c r="CT147" s="22"/>
      <c r="CU147" s="22"/>
      <c r="CV147" s="22"/>
      <c r="CW147" s="22"/>
      <c r="CX147" s="22"/>
      <c r="CY147" s="22"/>
      <c r="CZ147" s="22"/>
      <c r="DA147" s="22"/>
      <c r="DB147" s="22"/>
      <c r="DC147" s="22"/>
      <c r="DD147" s="22"/>
      <c r="DE147" s="22"/>
      <c r="DF147" s="22"/>
      <c r="DG147" s="22"/>
      <c r="DH147" s="22"/>
      <c r="DI147" s="22"/>
      <c r="DJ147" s="22"/>
      <c r="DK147" s="22"/>
      <c r="DL147" s="22"/>
      <c r="DM147" s="22"/>
      <c r="DN147" s="22"/>
      <c r="DO147" s="22"/>
      <c r="DP147" s="22"/>
      <c r="DQ147" s="22"/>
      <c r="DR147" s="22"/>
      <c r="DS147" s="22"/>
      <c r="DT147" s="22"/>
      <c r="DU147" s="22"/>
      <c r="DV147" s="22"/>
      <c r="DW147" s="22"/>
      <c r="DX147" s="22"/>
      <c r="DY147" s="22"/>
      <c r="DZ147" s="22"/>
      <c r="EA147" s="22"/>
      <c r="EB147" s="22"/>
      <c r="EC147" s="22"/>
      <c r="ED147" s="22"/>
      <c r="EE147" s="22"/>
      <c r="EF147" s="22"/>
      <c r="EG147" s="22"/>
      <c r="EH147" s="22"/>
      <c r="EI147" s="22"/>
      <c r="EJ147" s="22"/>
      <c r="EK147" s="22"/>
      <c r="EL147" s="22"/>
      <c r="EM147" s="22"/>
      <c r="EN147" s="22"/>
      <c r="EO147" s="22"/>
      <c r="EP147" s="22"/>
      <c r="EQ147" s="22"/>
      <c r="ER147" s="22"/>
      <c r="ES147" s="22"/>
      <c r="ET147" s="22"/>
      <c r="EU147" s="22"/>
      <c r="EV147" s="22"/>
      <c r="EW147" s="22"/>
      <c r="EX147" s="22"/>
      <c r="EY147" s="22"/>
      <c r="EZ147" s="22"/>
      <c r="FA147" s="22"/>
      <c r="FB147" s="22"/>
      <c r="FC147" s="22"/>
      <c r="FD147" s="22"/>
      <c r="FE147" s="22"/>
      <c r="FF147" s="22"/>
      <c r="FG147" s="22"/>
      <c r="FH147" s="22"/>
      <c r="FI147" s="22"/>
      <c r="FJ147" s="22"/>
      <c r="FK147" s="22"/>
      <c r="FL147" s="22"/>
      <c r="FM147" s="22"/>
      <c r="FN147" s="22"/>
      <c r="FO147" s="22"/>
      <c r="FP147" s="22"/>
      <c r="FQ147" s="22"/>
      <c r="FU147" s="22"/>
      <c r="FV147" s="22"/>
      <c r="GG147" s="22">
        <v>0</v>
      </c>
    </row>
    <row r="148" spans="1:189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U148" s="22">
        <v>100</v>
      </c>
      <c r="X148" s="36"/>
      <c r="Y148" s="36"/>
      <c r="Z148" s="36"/>
      <c r="AA148" s="36"/>
      <c r="AB148" s="36"/>
      <c r="AC148" s="36"/>
      <c r="AD148" s="36"/>
      <c r="AE148" s="36">
        <v>16</v>
      </c>
      <c r="AF148" s="36"/>
      <c r="AG148" s="36"/>
      <c r="AH148" s="36"/>
      <c r="AI148" s="36"/>
      <c r="AJ148" s="36"/>
      <c r="AK148" s="36">
        <v>10</v>
      </c>
      <c r="AL148" s="36">
        <v>15</v>
      </c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  <c r="BS148" s="22"/>
      <c r="BT148" s="22"/>
      <c r="BU148" s="22"/>
      <c r="BV148" s="22"/>
      <c r="BW148" s="22"/>
      <c r="BX148" s="22"/>
      <c r="BY148" s="22"/>
      <c r="BZ148" s="22"/>
      <c r="CA148" s="22"/>
      <c r="CB148" s="22"/>
      <c r="CC148" s="22"/>
      <c r="CD148" s="22"/>
      <c r="CE148" s="22"/>
      <c r="CF148" s="22"/>
      <c r="CG148" s="22"/>
      <c r="CH148" s="22"/>
      <c r="CI148" s="22"/>
      <c r="CJ148" s="22"/>
      <c r="CK148" s="22"/>
      <c r="CL148" s="22"/>
      <c r="CO148" s="22"/>
      <c r="CP148" s="22"/>
      <c r="CQ148" s="22"/>
      <c r="CR148" s="22"/>
      <c r="CS148" s="22"/>
      <c r="CT148" s="22"/>
      <c r="CU148" s="22"/>
      <c r="CV148" s="22"/>
      <c r="CW148" s="22"/>
      <c r="CX148" s="22"/>
      <c r="CY148" s="22"/>
      <c r="CZ148" s="22"/>
      <c r="DA148" s="22"/>
      <c r="DB148" s="22"/>
      <c r="DC148" s="22"/>
      <c r="DD148" s="22"/>
      <c r="DE148" s="22"/>
      <c r="DF148" s="22"/>
      <c r="DG148" s="22"/>
      <c r="DH148" s="22"/>
      <c r="DI148" s="22"/>
      <c r="DJ148" s="22"/>
      <c r="DK148" s="22"/>
      <c r="DL148" s="22"/>
      <c r="DM148" s="22"/>
      <c r="DN148" s="22"/>
      <c r="DO148" s="22"/>
      <c r="DP148" s="22"/>
      <c r="DQ148" s="22"/>
      <c r="DR148" s="22"/>
      <c r="DS148" s="22"/>
      <c r="DT148" s="22"/>
      <c r="DU148" s="22">
        <v>100</v>
      </c>
      <c r="DV148" s="22"/>
      <c r="DW148" s="22"/>
      <c r="DX148" s="22"/>
      <c r="DY148" s="22">
        <v>196</v>
      </c>
      <c r="DZ148" s="22"/>
      <c r="EA148" s="22">
        <v>180</v>
      </c>
      <c r="EB148" s="22"/>
      <c r="EC148" s="22"/>
      <c r="ED148" s="22"/>
      <c r="EE148" s="22"/>
      <c r="EF148" s="22"/>
      <c r="EG148" s="22"/>
      <c r="EH148" s="22"/>
      <c r="EI148" s="22"/>
      <c r="EJ148" s="22"/>
      <c r="EK148" s="22"/>
      <c r="EL148" s="22"/>
      <c r="EM148" s="22"/>
      <c r="EN148" s="22"/>
      <c r="EO148" s="22"/>
      <c r="EP148" s="22"/>
      <c r="EQ148" s="22"/>
      <c r="ER148" s="22"/>
      <c r="ES148" s="22"/>
      <c r="ET148" s="22"/>
      <c r="EU148" s="22"/>
      <c r="EV148" s="22"/>
      <c r="EW148" s="22"/>
      <c r="EX148" s="22"/>
      <c r="EY148" s="22"/>
      <c r="EZ148" s="22"/>
      <c r="FA148" s="22"/>
      <c r="FB148" s="22"/>
      <c r="FC148" s="22"/>
      <c r="FD148" s="22"/>
      <c r="FE148" s="22"/>
      <c r="FF148" s="22"/>
      <c r="FG148" s="22"/>
      <c r="FH148" s="22"/>
      <c r="FI148" s="22"/>
      <c r="FJ148" s="22"/>
      <c r="FK148" s="22"/>
      <c r="FL148" s="22"/>
      <c r="FM148" s="22"/>
      <c r="FN148" s="22"/>
      <c r="FO148" s="22"/>
      <c r="FP148" s="22"/>
      <c r="FQ148" s="22"/>
      <c r="FU148" s="22"/>
      <c r="FV148" s="22"/>
      <c r="GG148" s="22">
        <v>617</v>
      </c>
    </row>
    <row r="149" spans="1:189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  <c r="BV149" s="22">
        <v>52</v>
      </c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22"/>
      <c r="CI149" s="22"/>
      <c r="CJ149" s="22"/>
      <c r="CK149" s="22"/>
      <c r="CL149" s="22"/>
      <c r="CO149" s="22"/>
      <c r="CP149" s="22"/>
      <c r="CQ149" s="22"/>
      <c r="CR149" s="22"/>
      <c r="CS149" s="22"/>
      <c r="CT149" s="22"/>
      <c r="CU149" s="22"/>
      <c r="CV149" s="22"/>
      <c r="CW149" s="22"/>
      <c r="CX149" s="22"/>
      <c r="CY149" s="22"/>
      <c r="CZ149" s="22"/>
      <c r="DA149" s="22"/>
      <c r="DB149" s="22"/>
      <c r="DC149" s="22"/>
      <c r="DD149" s="22"/>
      <c r="DE149" s="22"/>
      <c r="DF149" s="22"/>
      <c r="DG149" s="22"/>
      <c r="DH149" s="22"/>
      <c r="DI149" s="22"/>
      <c r="DJ149" s="22"/>
      <c r="DK149" s="22"/>
      <c r="DL149" s="22"/>
      <c r="DM149" s="22"/>
      <c r="DN149" s="22"/>
      <c r="DO149" s="22"/>
      <c r="DP149" s="22"/>
      <c r="DQ149" s="22"/>
      <c r="DR149" s="22"/>
      <c r="DS149" s="22"/>
      <c r="DT149" s="22"/>
      <c r="DU149" s="22"/>
      <c r="DV149" s="22"/>
      <c r="DW149" s="22"/>
      <c r="DX149" s="22"/>
      <c r="DY149" s="22"/>
      <c r="DZ149" s="22"/>
      <c r="EA149" s="22"/>
      <c r="EB149" s="22"/>
      <c r="EC149" s="22"/>
      <c r="ED149" s="22"/>
      <c r="EE149" s="22"/>
      <c r="EF149" s="22"/>
      <c r="EG149" s="22"/>
      <c r="EH149" s="22"/>
      <c r="EI149" s="22"/>
      <c r="EJ149" s="22"/>
      <c r="EK149" s="22"/>
      <c r="EL149" s="22"/>
      <c r="EM149" s="22"/>
      <c r="EN149" s="22"/>
      <c r="EO149" s="22"/>
      <c r="EP149" s="22"/>
      <c r="EQ149" s="22"/>
      <c r="ER149" s="22"/>
      <c r="ES149" s="22"/>
      <c r="ET149" s="22"/>
      <c r="EU149" s="22"/>
      <c r="EV149" s="22"/>
      <c r="EW149" s="22"/>
      <c r="EX149" s="22"/>
      <c r="EY149" s="22"/>
      <c r="EZ149" s="22"/>
      <c r="FA149" s="22"/>
      <c r="FB149" s="22"/>
      <c r="FC149" s="22"/>
      <c r="FD149" s="22"/>
      <c r="FE149" s="22"/>
      <c r="FF149" s="22"/>
      <c r="FG149" s="22"/>
      <c r="FH149" s="22"/>
      <c r="FI149" s="22"/>
      <c r="FJ149" s="22"/>
      <c r="FK149" s="22"/>
      <c r="FL149" s="22"/>
      <c r="FM149" s="22"/>
      <c r="FN149" s="22"/>
      <c r="FO149" s="22"/>
      <c r="FP149" s="22"/>
      <c r="FQ149" s="22"/>
      <c r="FU149" s="22"/>
      <c r="FV149" s="22"/>
      <c r="GG149" s="22">
        <v>52</v>
      </c>
    </row>
    <row r="150" spans="1:189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U150" s="22">
        <v>155</v>
      </c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  <c r="BO150" s="22"/>
      <c r="BP150" s="22"/>
      <c r="BQ150" s="22"/>
      <c r="BR150" s="22"/>
      <c r="BS150" s="22"/>
      <c r="BT150" s="22"/>
      <c r="BU150" s="22"/>
      <c r="BV150" s="22"/>
      <c r="BW150" s="22"/>
      <c r="BX150" s="22"/>
      <c r="BY150" s="22"/>
      <c r="BZ150" s="22"/>
      <c r="CA150" s="22"/>
      <c r="CB150" s="22"/>
      <c r="CC150" s="22"/>
      <c r="CD150" s="22"/>
      <c r="CE150" s="22"/>
      <c r="CF150" s="22"/>
      <c r="CG150" s="22"/>
      <c r="CH150" s="22"/>
      <c r="CI150" s="22"/>
      <c r="CJ150" s="22"/>
      <c r="CK150" s="22"/>
      <c r="CL150" s="22"/>
      <c r="CO150" s="22"/>
      <c r="CP150" s="22"/>
      <c r="CQ150" s="22"/>
      <c r="CR150" s="22"/>
      <c r="CS150" s="22"/>
      <c r="CT150" s="22"/>
      <c r="CU150" s="22"/>
      <c r="CV150" s="22"/>
      <c r="CW150" s="22"/>
      <c r="CX150" s="22"/>
      <c r="CY150" s="22"/>
      <c r="CZ150" s="22"/>
      <c r="DA150" s="22"/>
      <c r="DB150" s="22"/>
      <c r="DC150" s="22"/>
      <c r="DD150" s="22"/>
      <c r="DE150" s="22"/>
      <c r="DF150" s="22"/>
      <c r="DG150" s="22"/>
      <c r="DH150" s="22"/>
      <c r="DI150" s="22"/>
      <c r="DJ150" s="22"/>
      <c r="DK150" s="22"/>
      <c r="DL150" s="22"/>
      <c r="DM150" s="22"/>
      <c r="DN150" s="22"/>
      <c r="DO150" s="22"/>
      <c r="DP150" s="22"/>
      <c r="DQ150" s="22"/>
      <c r="DR150" s="22"/>
      <c r="DS150" s="22"/>
      <c r="DT150" s="22"/>
      <c r="DU150" s="22"/>
      <c r="DV150" s="22"/>
      <c r="DW150" s="22"/>
      <c r="DX150" s="22"/>
      <c r="DY150" s="22">
        <v>117</v>
      </c>
      <c r="DZ150" s="22"/>
      <c r="EA150" s="22"/>
      <c r="EB150" s="22"/>
      <c r="EC150" s="22"/>
      <c r="ED150" s="22"/>
      <c r="EE150" s="22"/>
      <c r="EF150" s="22"/>
      <c r="EG150" s="22"/>
      <c r="EH150" s="22"/>
      <c r="EI150" s="22"/>
      <c r="EJ150" s="22"/>
      <c r="EK150" s="22"/>
      <c r="EL150" s="22"/>
      <c r="EM150" s="22"/>
      <c r="EN150" s="22"/>
      <c r="EO150" s="22"/>
      <c r="EP150" s="22"/>
      <c r="EQ150" s="22"/>
      <c r="ER150" s="22">
        <v>110</v>
      </c>
      <c r="ES150" s="22"/>
      <c r="ET150" s="22"/>
      <c r="EU150" s="22"/>
      <c r="EV150" s="22">
        <v>100</v>
      </c>
      <c r="EW150" s="22"/>
      <c r="EX150" s="22"/>
      <c r="EY150" s="22"/>
      <c r="EZ150" s="22">
        <v>100</v>
      </c>
      <c r="FA150" s="22">
        <v>200</v>
      </c>
      <c r="FB150" s="22"/>
      <c r="FC150" s="22"/>
      <c r="FD150" s="22"/>
      <c r="FE150" s="22"/>
      <c r="FF150" s="22"/>
      <c r="FG150" s="22"/>
      <c r="FH150" s="22"/>
      <c r="FI150" s="22"/>
      <c r="FJ150" s="22"/>
      <c r="FK150" s="22"/>
      <c r="FL150" s="22"/>
      <c r="FM150" s="22"/>
      <c r="FN150" s="22"/>
      <c r="FO150" s="22"/>
      <c r="FP150" s="22"/>
      <c r="FQ150" s="22"/>
      <c r="FU150" s="22"/>
      <c r="FV150" s="22"/>
      <c r="GG150" s="22">
        <v>782</v>
      </c>
    </row>
    <row r="151" spans="1:189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>
        <v>10</v>
      </c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2"/>
      <c r="BO151" s="22"/>
      <c r="BP151" s="22"/>
      <c r="BQ151" s="22"/>
      <c r="BR151" s="22"/>
      <c r="BS151" s="22">
        <v>56</v>
      </c>
      <c r="BT151" s="22"/>
      <c r="BU151" s="22"/>
      <c r="BV151" s="22"/>
      <c r="BW151" s="22"/>
      <c r="BX151" s="22"/>
      <c r="BY151" s="22"/>
      <c r="BZ151" s="22"/>
      <c r="CA151" s="22"/>
      <c r="CB151" s="22"/>
      <c r="CC151" s="22"/>
      <c r="CD151" s="22"/>
      <c r="CE151" s="22"/>
      <c r="CF151" s="22"/>
      <c r="CG151" s="22"/>
      <c r="CH151" s="22"/>
      <c r="CI151" s="22"/>
      <c r="CJ151" s="22"/>
      <c r="CK151" s="22"/>
      <c r="CL151" s="22"/>
      <c r="CO151" s="22"/>
      <c r="CP151" s="22"/>
      <c r="CQ151" s="22"/>
      <c r="CR151" s="22"/>
      <c r="CS151" s="22"/>
      <c r="CT151" s="22"/>
      <c r="CU151" s="22"/>
      <c r="CV151" s="22"/>
      <c r="CW151" s="22"/>
      <c r="CX151" s="22"/>
      <c r="CY151" s="22"/>
      <c r="CZ151" s="22"/>
      <c r="DA151" s="22"/>
      <c r="DB151" s="22"/>
      <c r="DC151" s="22"/>
      <c r="DD151" s="22"/>
      <c r="DE151" s="22"/>
      <c r="DF151" s="22"/>
      <c r="DG151" s="22"/>
      <c r="DH151" s="22"/>
      <c r="DI151" s="22"/>
      <c r="DJ151" s="22">
        <v>58</v>
      </c>
      <c r="DK151" s="22"/>
      <c r="DL151" s="22"/>
      <c r="DM151" s="22"/>
      <c r="DN151" s="22"/>
      <c r="DO151" s="22"/>
      <c r="DP151" s="22"/>
      <c r="DQ151" s="22"/>
      <c r="DR151" s="22"/>
      <c r="DS151" s="22"/>
      <c r="DT151" s="22"/>
      <c r="DU151" s="22"/>
      <c r="DV151" s="22"/>
      <c r="DW151" s="22"/>
      <c r="DX151" s="22"/>
      <c r="DY151" s="22"/>
      <c r="DZ151" s="22"/>
      <c r="EA151" s="22">
        <v>66</v>
      </c>
      <c r="EB151" s="22"/>
      <c r="EC151" s="22"/>
      <c r="ED151" s="22"/>
      <c r="EE151" s="22"/>
      <c r="EF151" s="22"/>
      <c r="EG151" s="22"/>
      <c r="EH151" s="22"/>
      <c r="EI151" s="22"/>
      <c r="EJ151" s="22"/>
      <c r="EK151" s="22"/>
      <c r="EL151" s="22"/>
      <c r="EM151" s="22"/>
      <c r="EN151" s="22"/>
      <c r="EO151" s="22"/>
      <c r="EP151" s="22"/>
      <c r="EQ151" s="22"/>
      <c r="ER151" s="22"/>
      <c r="ES151" s="22"/>
      <c r="ET151" s="22"/>
      <c r="EU151" s="22"/>
      <c r="EV151" s="22"/>
      <c r="EW151" s="22"/>
      <c r="EX151" s="22"/>
      <c r="EY151" s="22"/>
      <c r="EZ151" s="22"/>
      <c r="FA151" s="22">
        <v>41</v>
      </c>
      <c r="FB151" s="22"/>
      <c r="FC151" s="22"/>
      <c r="FD151" s="22"/>
      <c r="FE151" s="22"/>
      <c r="FF151" s="22"/>
      <c r="FG151" s="22"/>
      <c r="FH151" s="22"/>
      <c r="FI151" s="22"/>
      <c r="FJ151" s="22"/>
      <c r="FK151" s="22"/>
      <c r="FL151" s="22"/>
      <c r="FM151" s="22"/>
      <c r="FN151" s="22"/>
      <c r="FO151" s="22"/>
      <c r="FP151" s="22"/>
      <c r="FQ151" s="22"/>
      <c r="FU151" s="22"/>
      <c r="FV151" s="22"/>
      <c r="GG151" s="22">
        <v>231</v>
      </c>
    </row>
    <row r="152" spans="1:189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X152" s="36"/>
      <c r="Y152" s="36"/>
      <c r="Z152" s="36"/>
      <c r="AA152" s="36"/>
      <c r="AB152" s="36"/>
      <c r="AC152" s="36"/>
      <c r="AD152" s="36"/>
      <c r="AE152" s="36">
        <v>15</v>
      </c>
      <c r="AF152" s="36"/>
      <c r="AG152" s="36"/>
      <c r="AH152" s="36"/>
      <c r="AI152" s="36">
        <v>20</v>
      </c>
      <c r="AJ152" s="36">
        <v>10</v>
      </c>
      <c r="AK152" s="36">
        <v>35</v>
      </c>
      <c r="AL152" s="36">
        <v>30</v>
      </c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>
        <v>187</v>
      </c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>
        <v>140</v>
      </c>
      <c r="CJ152" s="22"/>
      <c r="CK152" s="22"/>
      <c r="CL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>
        <v>100</v>
      </c>
      <c r="DA152" s="22"/>
      <c r="DB152" s="22"/>
      <c r="DC152" s="22"/>
      <c r="DD152" s="22"/>
      <c r="DE152" s="22"/>
      <c r="DF152" s="22"/>
      <c r="DG152" s="22"/>
      <c r="DH152" s="22"/>
      <c r="DI152" s="22"/>
      <c r="DJ152" s="22">
        <v>92</v>
      </c>
      <c r="DK152" s="22"/>
      <c r="DL152" s="22"/>
      <c r="DM152" s="22"/>
      <c r="DN152" s="22"/>
      <c r="DO152" s="22"/>
      <c r="DP152" s="22"/>
      <c r="DQ152" s="22"/>
      <c r="DR152" s="22"/>
      <c r="DS152" s="22"/>
      <c r="DT152" s="22"/>
      <c r="DU152" s="22"/>
      <c r="DV152" s="22"/>
      <c r="DW152" s="22"/>
      <c r="DX152" s="22"/>
      <c r="DY152" s="22"/>
      <c r="DZ152" s="22"/>
      <c r="EA152" s="22"/>
      <c r="EB152" s="22">
        <v>100</v>
      </c>
      <c r="EC152" s="22"/>
      <c r="ED152" s="22"/>
      <c r="EE152" s="22"/>
      <c r="EF152" s="22"/>
      <c r="EG152" s="22"/>
      <c r="EH152" s="22"/>
      <c r="EI152" s="22"/>
      <c r="EJ152" s="22"/>
      <c r="EK152" s="22"/>
      <c r="EL152" s="22"/>
      <c r="EM152" s="22"/>
      <c r="EN152" s="22"/>
      <c r="EO152" s="22"/>
      <c r="EP152" s="22"/>
      <c r="EQ152" s="22"/>
      <c r="ER152" s="22"/>
      <c r="ES152" s="22"/>
      <c r="ET152" s="22"/>
      <c r="EU152" s="22"/>
      <c r="EV152" s="22"/>
      <c r="EW152" s="22"/>
      <c r="EX152" s="22"/>
      <c r="EY152" s="22"/>
      <c r="EZ152" s="22"/>
      <c r="FA152" s="22"/>
      <c r="FB152" s="22"/>
      <c r="FC152" s="22"/>
      <c r="FD152" s="22"/>
      <c r="FE152" s="22"/>
      <c r="FF152" s="22"/>
      <c r="FG152" s="22"/>
      <c r="FH152" s="22"/>
      <c r="FI152" s="22"/>
      <c r="FJ152" s="22"/>
      <c r="FK152" s="22"/>
      <c r="FL152" s="22"/>
      <c r="FM152" s="22"/>
      <c r="FN152" s="22"/>
      <c r="FO152" s="22">
        <v>230</v>
      </c>
      <c r="FP152" s="22"/>
      <c r="FQ152" s="22"/>
      <c r="FU152" s="22"/>
      <c r="FV152" s="22"/>
      <c r="GG152" s="22">
        <v>959</v>
      </c>
    </row>
    <row r="153" spans="1:189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>
        <v>25</v>
      </c>
      <c r="AR153" s="36"/>
      <c r="AS153" s="36"/>
      <c r="AT153" s="36"/>
      <c r="AU153" s="36"/>
      <c r="AV153" s="36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  <c r="DJ153" s="22"/>
      <c r="DK153" s="22"/>
      <c r="DL153" s="22"/>
      <c r="DM153" s="22"/>
      <c r="DN153" s="22"/>
      <c r="DO153" s="22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22"/>
      <c r="EH153" s="22"/>
      <c r="EI153" s="22"/>
      <c r="EJ153" s="22"/>
      <c r="EK153" s="22"/>
      <c r="EL153" s="22"/>
      <c r="EM153" s="22"/>
      <c r="EN153" s="22"/>
      <c r="EO153" s="22"/>
      <c r="EP153" s="22"/>
      <c r="EQ153" s="22"/>
      <c r="ER153" s="22"/>
      <c r="ES153" s="22"/>
      <c r="ET153" s="22"/>
      <c r="EU153" s="22"/>
      <c r="EV153" s="22"/>
      <c r="EW153" s="22"/>
      <c r="EX153" s="22"/>
      <c r="EY153" s="22"/>
      <c r="EZ153" s="22"/>
      <c r="FA153" s="22"/>
      <c r="FB153" s="22"/>
      <c r="FC153" s="22"/>
      <c r="FD153" s="22"/>
      <c r="FE153" s="22"/>
      <c r="FF153" s="22"/>
      <c r="FG153" s="22"/>
      <c r="FH153" s="22"/>
      <c r="FI153" s="22"/>
      <c r="FJ153" s="22"/>
      <c r="FK153" s="22"/>
      <c r="FL153" s="22"/>
      <c r="FM153" s="22"/>
      <c r="FN153" s="22"/>
      <c r="FO153" s="22"/>
      <c r="FP153" s="22"/>
      <c r="FQ153" s="22"/>
      <c r="FU153" s="22"/>
      <c r="FV153" s="22"/>
      <c r="GG153" s="22">
        <v>25</v>
      </c>
    </row>
    <row r="154" spans="1:189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  <c r="BS154" s="22"/>
      <c r="BT154" s="22"/>
      <c r="BU154" s="22"/>
      <c r="BV154" s="22"/>
      <c r="BW154" s="22"/>
      <c r="BX154" s="22"/>
      <c r="BY154" s="22"/>
      <c r="BZ154" s="22"/>
      <c r="CA154" s="22"/>
      <c r="CB154" s="22"/>
      <c r="CC154" s="22"/>
      <c r="CD154" s="22"/>
      <c r="CE154" s="22"/>
      <c r="CF154" s="22"/>
      <c r="CG154" s="22"/>
      <c r="CH154" s="22"/>
      <c r="CI154" s="22"/>
      <c r="CJ154" s="22"/>
      <c r="CK154" s="22"/>
      <c r="CL154" s="22"/>
      <c r="CO154" s="22"/>
      <c r="CP154" s="22"/>
      <c r="CQ154" s="22"/>
      <c r="CR154" s="22"/>
      <c r="CS154" s="22"/>
      <c r="CT154" s="22"/>
      <c r="CU154" s="22"/>
      <c r="CV154" s="22"/>
      <c r="CW154" s="22"/>
      <c r="CX154" s="22"/>
      <c r="CY154" s="22"/>
      <c r="CZ154" s="22"/>
      <c r="DA154" s="22"/>
      <c r="DB154" s="22"/>
      <c r="DC154" s="22"/>
      <c r="DD154" s="22"/>
      <c r="DE154" s="22"/>
      <c r="DF154" s="22"/>
      <c r="DG154" s="22"/>
      <c r="DH154" s="22"/>
      <c r="DI154" s="22"/>
      <c r="DJ154" s="22"/>
      <c r="DK154" s="22"/>
      <c r="DL154" s="22"/>
      <c r="DM154" s="22"/>
      <c r="DN154" s="22"/>
      <c r="DO154" s="22"/>
      <c r="DP154" s="22"/>
      <c r="DQ154" s="22"/>
      <c r="DR154" s="22"/>
      <c r="DS154" s="22"/>
      <c r="DT154" s="22"/>
      <c r="DU154" s="22"/>
      <c r="DV154" s="22"/>
      <c r="DW154" s="22"/>
      <c r="DX154" s="22"/>
      <c r="DY154" s="22"/>
      <c r="DZ154" s="22"/>
      <c r="EA154" s="22"/>
      <c r="EB154" s="22"/>
      <c r="EC154" s="22">
        <v>160</v>
      </c>
      <c r="ED154" s="22"/>
      <c r="EE154" s="22">
        <v>800</v>
      </c>
      <c r="EF154" s="22"/>
      <c r="EG154" s="22"/>
      <c r="EH154" s="22">
        <v>400</v>
      </c>
      <c r="EI154" s="22"/>
      <c r="EJ154" s="22"/>
      <c r="EK154" s="22"/>
      <c r="EL154" s="22"/>
      <c r="EM154" s="22"/>
      <c r="EN154" s="22"/>
      <c r="EO154" s="22"/>
      <c r="EP154" s="22"/>
      <c r="EQ154" s="22"/>
      <c r="ER154" s="22"/>
      <c r="ES154" s="22"/>
      <c r="ET154" s="22"/>
      <c r="EU154" s="22"/>
      <c r="EV154" s="22"/>
      <c r="EW154" s="22"/>
      <c r="EX154" s="22"/>
      <c r="EY154" s="22"/>
      <c r="EZ154" s="22"/>
      <c r="FA154" s="22"/>
      <c r="FB154" s="22"/>
      <c r="FC154" s="22"/>
      <c r="FD154" s="22"/>
      <c r="FE154" s="22"/>
      <c r="FF154" s="22"/>
      <c r="FG154" s="22"/>
      <c r="FH154" s="22"/>
      <c r="FI154" s="22"/>
      <c r="FJ154" s="22"/>
      <c r="FK154" s="22"/>
      <c r="FL154" s="22"/>
      <c r="FM154" s="22"/>
      <c r="FN154" s="22"/>
      <c r="FO154" s="22"/>
      <c r="FP154" s="22"/>
      <c r="FQ154" s="22"/>
      <c r="FU154" s="22"/>
      <c r="FV154" s="22"/>
      <c r="GG154" s="22">
        <v>1360</v>
      </c>
    </row>
    <row r="155" spans="1:189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2"/>
      <c r="BO155" s="22"/>
      <c r="BP155" s="22"/>
      <c r="BQ155" s="22"/>
      <c r="BR155" s="22"/>
      <c r="BS155" s="22"/>
      <c r="BT155" s="22"/>
      <c r="BU155" s="22"/>
      <c r="BV155" s="22"/>
      <c r="BW155" s="22"/>
      <c r="BX155" s="22"/>
      <c r="BY155" s="22"/>
      <c r="BZ155" s="22"/>
      <c r="CA155" s="22"/>
      <c r="CB155" s="22"/>
      <c r="CC155" s="22"/>
      <c r="CD155" s="22"/>
      <c r="CE155" s="22"/>
      <c r="CF155" s="22"/>
      <c r="CG155" s="22"/>
      <c r="CH155" s="22"/>
      <c r="CI155" s="22"/>
      <c r="CJ155" s="22"/>
      <c r="CK155" s="22"/>
      <c r="CL155" s="22"/>
      <c r="CO155" s="22"/>
      <c r="CP155" s="22"/>
      <c r="CQ155" s="22"/>
      <c r="CR155" s="22"/>
      <c r="CS155" s="22"/>
      <c r="CT155" s="22"/>
      <c r="CU155" s="22"/>
      <c r="CV155" s="22"/>
      <c r="CW155" s="22"/>
      <c r="CX155" s="22"/>
      <c r="CY155" s="22"/>
      <c r="CZ155" s="22"/>
      <c r="DA155" s="22"/>
      <c r="DB155" s="22">
        <v>168</v>
      </c>
      <c r="DC155" s="22"/>
      <c r="DD155" s="22"/>
      <c r="DE155" s="22"/>
      <c r="DF155" s="22"/>
      <c r="DG155" s="22"/>
      <c r="DH155" s="22"/>
      <c r="DI155" s="22"/>
      <c r="DJ155" s="22"/>
      <c r="DK155" s="22"/>
      <c r="DL155" s="22"/>
      <c r="DM155" s="22"/>
      <c r="DN155" s="22"/>
      <c r="DO155" s="22"/>
      <c r="DP155" s="22"/>
      <c r="DQ155" s="22"/>
      <c r="DR155" s="22"/>
      <c r="DS155" s="22"/>
      <c r="DT155" s="22"/>
      <c r="DU155" s="22"/>
      <c r="DV155" s="22"/>
      <c r="DW155" s="22"/>
      <c r="DX155" s="22"/>
      <c r="DY155" s="22"/>
      <c r="DZ155" s="22"/>
      <c r="EA155" s="22"/>
      <c r="EB155" s="22"/>
      <c r="EC155" s="22"/>
      <c r="ED155" s="22"/>
      <c r="EE155" s="22"/>
      <c r="EF155" s="22"/>
      <c r="EG155" s="22"/>
      <c r="EH155" s="22"/>
      <c r="EI155" s="22"/>
      <c r="EJ155" s="22"/>
      <c r="EK155" s="22"/>
      <c r="EL155" s="22"/>
      <c r="EM155" s="22"/>
      <c r="EN155" s="22"/>
      <c r="EO155" s="22"/>
      <c r="EP155" s="22"/>
      <c r="EQ155" s="22"/>
      <c r="ER155" s="22"/>
      <c r="ES155" s="22"/>
      <c r="ET155" s="22"/>
      <c r="EU155" s="22"/>
      <c r="EV155" s="22"/>
      <c r="EW155" s="22"/>
      <c r="EX155" s="22"/>
      <c r="EY155" s="22"/>
      <c r="EZ155" s="22"/>
      <c r="FA155" s="22"/>
      <c r="FB155" s="22"/>
      <c r="FC155" s="22"/>
      <c r="FD155" s="22"/>
      <c r="FE155" s="22"/>
      <c r="FF155" s="22"/>
      <c r="FG155" s="22"/>
      <c r="FH155" s="22"/>
      <c r="FI155" s="22"/>
      <c r="FJ155" s="22"/>
      <c r="FK155" s="22"/>
      <c r="FL155" s="22"/>
      <c r="FM155" s="22"/>
      <c r="FN155" s="22"/>
      <c r="FO155" s="22"/>
      <c r="FP155" s="22"/>
      <c r="FQ155" s="22"/>
      <c r="FU155" s="22"/>
      <c r="FV155" s="22"/>
      <c r="GG155" s="22">
        <v>168</v>
      </c>
    </row>
    <row r="156" spans="1:189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2"/>
      <c r="BO156" s="22"/>
      <c r="BP156" s="22"/>
      <c r="BQ156" s="22"/>
      <c r="BR156" s="22"/>
      <c r="BS156" s="22"/>
      <c r="BT156" s="22"/>
      <c r="BU156" s="22"/>
      <c r="BV156" s="22"/>
      <c r="BW156" s="22"/>
      <c r="BX156" s="22"/>
      <c r="BY156" s="22"/>
      <c r="BZ156" s="22"/>
      <c r="CA156" s="22"/>
      <c r="CB156" s="22"/>
      <c r="CC156" s="22"/>
      <c r="CD156" s="22"/>
      <c r="CE156" s="22"/>
      <c r="CF156" s="22"/>
      <c r="CG156" s="22"/>
      <c r="CH156" s="22"/>
      <c r="CI156" s="22"/>
      <c r="CJ156" s="22"/>
      <c r="CK156" s="22"/>
      <c r="CL156" s="22"/>
      <c r="CO156" s="22"/>
      <c r="CP156" s="22"/>
      <c r="CQ156" s="22"/>
      <c r="CR156" s="22"/>
      <c r="CS156" s="22"/>
      <c r="CT156" s="22"/>
      <c r="CU156" s="22"/>
      <c r="CV156" s="22"/>
      <c r="CW156" s="22"/>
      <c r="CX156" s="22"/>
      <c r="CY156" s="22"/>
      <c r="CZ156" s="22"/>
      <c r="DA156" s="22"/>
      <c r="DB156" s="22">
        <v>14</v>
      </c>
      <c r="DC156" s="22"/>
      <c r="DD156" s="22"/>
      <c r="DE156" s="22"/>
      <c r="DF156" s="22"/>
      <c r="DG156" s="22"/>
      <c r="DH156" s="22"/>
      <c r="DI156" s="22"/>
      <c r="DJ156" s="22"/>
      <c r="DK156" s="22"/>
      <c r="DL156" s="22"/>
      <c r="DM156" s="22"/>
      <c r="DN156" s="22"/>
      <c r="DO156" s="22"/>
      <c r="DP156" s="22"/>
      <c r="DQ156" s="22"/>
      <c r="DR156" s="22"/>
      <c r="DS156" s="22"/>
      <c r="DT156" s="22"/>
      <c r="DU156" s="22"/>
      <c r="DV156" s="22"/>
      <c r="DW156" s="22"/>
      <c r="DX156" s="22"/>
      <c r="DY156" s="22"/>
      <c r="DZ156" s="22"/>
      <c r="EA156" s="22"/>
      <c r="EB156" s="22"/>
      <c r="EC156" s="22"/>
      <c r="ED156" s="22"/>
      <c r="EE156" s="22"/>
      <c r="EF156" s="22"/>
      <c r="EG156" s="22"/>
      <c r="EH156" s="22"/>
      <c r="EI156" s="22"/>
      <c r="EJ156" s="22"/>
      <c r="EK156" s="22"/>
      <c r="EL156" s="22"/>
      <c r="EM156" s="22"/>
      <c r="EN156" s="22"/>
      <c r="EO156" s="22"/>
      <c r="EP156" s="22"/>
      <c r="EQ156" s="22"/>
      <c r="ER156" s="22"/>
      <c r="ES156" s="22"/>
      <c r="ET156" s="22"/>
      <c r="EU156" s="22"/>
      <c r="EV156" s="22"/>
      <c r="EW156" s="22"/>
      <c r="EX156" s="22"/>
      <c r="EY156" s="22"/>
      <c r="EZ156" s="22"/>
      <c r="FA156" s="22"/>
      <c r="FB156" s="22"/>
      <c r="FC156" s="22"/>
      <c r="FD156" s="22"/>
      <c r="FE156" s="22"/>
      <c r="FF156" s="22"/>
      <c r="FG156" s="22"/>
      <c r="FH156" s="22"/>
      <c r="FI156" s="22"/>
      <c r="FJ156" s="22"/>
      <c r="FK156" s="22"/>
      <c r="FL156" s="22"/>
      <c r="FM156" s="22"/>
      <c r="FN156" s="22"/>
      <c r="FO156" s="22"/>
      <c r="FP156" s="22"/>
      <c r="FQ156" s="22"/>
      <c r="FU156" s="22"/>
      <c r="FV156" s="22"/>
      <c r="GG156" s="22">
        <v>14</v>
      </c>
    </row>
    <row r="157" spans="1:189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2"/>
      <c r="BO157" s="22"/>
      <c r="BP157" s="22"/>
      <c r="BQ157" s="22"/>
      <c r="BR157" s="22"/>
      <c r="BS157" s="22"/>
      <c r="BT157" s="22"/>
      <c r="BU157" s="22"/>
      <c r="BV157" s="22"/>
      <c r="BW157" s="22"/>
      <c r="BX157" s="22"/>
      <c r="BY157" s="22"/>
      <c r="BZ157" s="22"/>
      <c r="CA157" s="22"/>
      <c r="CB157" s="22"/>
      <c r="CC157" s="22"/>
      <c r="CD157" s="22"/>
      <c r="CE157" s="22"/>
      <c r="CF157" s="22"/>
      <c r="CG157" s="22"/>
      <c r="CH157" s="22"/>
      <c r="CI157" s="22"/>
      <c r="CJ157" s="22"/>
      <c r="CK157" s="22"/>
      <c r="CL157" s="22"/>
      <c r="CO157" s="22"/>
      <c r="CP157" s="22"/>
      <c r="CQ157" s="22"/>
      <c r="CR157" s="22"/>
      <c r="CS157" s="22"/>
      <c r="CT157" s="22"/>
      <c r="CU157" s="22"/>
      <c r="CV157" s="22"/>
      <c r="CW157" s="22"/>
      <c r="CX157" s="22"/>
      <c r="CY157" s="22"/>
      <c r="CZ157" s="22"/>
      <c r="DA157" s="22"/>
      <c r="DB157" s="22">
        <v>14</v>
      </c>
      <c r="DC157" s="22"/>
      <c r="DD157" s="22"/>
      <c r="DE157" s="22"/>
      <c r="DF157" s="22"/>
      <c r="DG157" s="22"/>
      <c r="DH157" s="22"/>
      <c r="DI157" s="22"/>
      <c r="DJ157" s="22"/>
      <c r="DK157" s="22"/>
      <c r="DL157" s="22"/>
      <c r="DM157" s="22"/>
      <c r="DN157" s="22"/>
      <c r="DO157" s="22"/>
      <c r="DP157" s="22"/>
      <c r="DQ157" s="22"/>
      <c r="DR157" s="22"/>
      <c r="DS157" s="22"/>
      <c r="DT157" s="22"/>
      <c r="DU157" s="22"/>
      <c r="DV157" s="22"/>
      <c r="DW157" s="22"/>
      <c r="DX157" s="22"/>
      <c r="DY157" s="22"/>
      <c r="DZ157" s="22"/>
      <c r="EA157" s="22"/>
      <c r="EB157" s="22"/>
      <c r="EC157" s="22"/>
      <c r="ED157" s="22"/>
      <c r="EE157" s="22"/>
      <c r="EF157" s="22"/>
      <c r="EG157" s="22"/>
      <c r="EH157" s="22"/>
      <c r="EI157" s="22"/>
      <c r="EJ157" s="22"/>
      <c r="EK157" s="22"/>
      <c r="EL157" s="22"/>
      <c r="EM157" s="22"/>
      <c r="EN157" s="22"/>
      <c r="EO157" s="22"/>
      <c r="EP157" s="22"/>
      <c r="EQ157" s="22"/>
      <c r="ER157" s="22"/>
      <c r="ES157" s="22"/>
      <c r="ET157" s="22"/>
      <c r="EU157" s="22"/>
      <c r="EV157" s="22"/>
      <c r="EW157" s="22"/>
      <c r="EX157" s="22"/>
      <c r="EY157" s="22"/>
      <c r="EZ157" s="22"/>
      <c r="FA157" s="22"/>
      <c r="FB157" s="22"/>
      <c r="FC157" s="22"/>
      <c r="FD157" s="22"/>
      <c r="FE157" s="22"/>
      <c r="FF157" s="22"/>
      <c r="FG157" s="22"/>
      <c r="FH157" s="22"/>
      <c r="FI157" s="22"/>
      <c r="FJ157" s="22"/>
      <c r="FK157" s="22"/>
      <c r="FL157" s="22"/>
      <c r="FM157" s="22"/>
      <c r="FN157" s="22"/>
      <c r="FO157" s="22"/>
      <c r="FP157" s="22"/>
      <c r="FQ157" s="22"/>
      <c r="FU157" s="22"/>
      <c r="FV157" s="22"/>
      <c r="GG157" s="22">
        <v>14</v>
      </c>
    </row>
    <row r="158" spans="1:189" x14ac:dyDescent="0.25">
      <c r="A158" s="9">
        <v>154</v>
      </c>
      <c r="B158" s="9">
        <v>1000006665</v>
      </c>
      <c r="C158" s="12" t="s">
        <v>168</v>
      </c>
      <c r="D158" s="9" t="s">
        <v>12</v>
      </c>
      <c r="E158" s="36"/>
      <c r="R158" s="22">
        <v>100</v>
      </c>
      <c r="S158" s="22">
        <v>100</v>
      </c>
      <c r="W158" s="22">
        <v>40</v>
      </c>
      <c r="X158" s="36"/>
      <c r="Y158" s="36"/>
      <c r="Z158" s="36">
        <v>26</v>
      </c>
      <c r="AA158" s="36">
        <v>25</v>
      </c>
      <c r="AB158" s="36"/>
      <c r="AC158" s="36">
        <v>53</v>
      </c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2"/>
      <c r="BO158" s="22"/>
      <c r="BP158" s="22"/>
      <c r="BQ158" s="22"/>
      <c r="BR158" s="22"/>
      <c r="BS158" s="22"/>
      <c r="BT158" s="22"/>
      <c r="BU158" s="22"/>
      <c r="BV158" s="22"/>
      <c r="BW158" s="22"/>
      <c r="BX158" s="22">
        <v>1836</v>
      </c>
      <c r="BY158" s="22"/>
      <c r="BZ158" s="22"/>
      <c r="CA158" s="22"/>
      <c r="CB158" s="22"/>
      <c r="CC158" s="22"/>
      <c r="CD158" s="22"/>
      <c r="CE158" s="22"/>
      <c r="CF158" s="22"/>
      <c r="CG158" s="22"/>
      <c r="CH158" s="22"/>
      <c r="CI158" s="22"/>
      <c r="CJ158" s="22"/>
      <c r="CK158" s="22"/>
      <c r="CL158" s="22"/>
      <c r="CN158" s="22">
        <v>100</v>
      </c>
      <c r="CO158" s="22">
        <v>50</v>
      </c>
      <c r="CP158" s="22"/>
      <c r="CQ158" s="22"/>
      <c r="CR158" s="22"/>
      <c r="CS158" s="22"/>
      <c r="CT158" s="22"/>
      <c r="CU158" s="22"/>
      <c r="CV158" s="22"/>
      <c r="CW158" s="22">
        <v>100</v>
      </c>
      <c r="CX158" s="22">
        <v>100</v>
      </c>
      <c r="CY158" s="22"/>
      <c r="CZ158" s="22"/>
      <c r="DA158" s="22"/>
      <c r="DB158" s="22"/>
      <c r="DC158" s="22"/>
      <c r="DD158" s="22"/>
      <c r="DE158" s="22">
        <v>100</v>
      </c>
      <c r="DF158" s="22"/>
      <c r="DG158" s="22">
        <v>200</v>
      </c>
      <c r="DH158" s="22"/>
      <c r="DI158" s="22"/>
      <c r="DJ158" s="22"/>
      <c r="DK158" s="22"/>
      <c r="DL158" s="22"/>
      <c r="DM158" s="22"/>
      <c r="DN158" s="22"/>
      <c r="DO158" s="22"/>
      <c r="DP158" s="22"/>
      <c r="DQ158" s="22"/>
      <c r="DR158" s="22"/>
      <c r="DS158" s="22"/>
      <c r="DT158" s="22"/>
      <c r="DU158" s="22"/>
      <c r="DV158" s="22"/>
      <c r="DW158" s="22"/>
      <c r="DX158" s="22"/>
      <c r="DY158" s="22"/>
      <c r="DZ158" s="22"/>
      <c r="EA158" s="22"/>
      <c r="EB158" s="22"/>
      <c r="EC158" s="22"/>
      <c r="ED158" s="22"/>
      <c r="EE158" s="22"/>
      <c r="EF158" s="22"/>
      <c r="EG158" s="22"/>
      <c r="EH158" s="22"/>
      <c r="EI158" s="22"/>
      <c r="EJ158" s="22"/>
      <c r="EK158" s="22"/>
      <c r="EL158" s="22"/>
      <c r="EM158" s="22"/>
      <c r="EN158" s="22"/>
      <c r="EO158" s="22"/>
      <c r="EP158" s="22"/>
      <c r="EQ158" s="22"/>
      <c r="ER158" s="22"/>
      <c r="ES158" s="22"/>
      <c r="ET158" s="22">
        <v>56</v>
      </c>
      <c r="EU158" s="22"/>
      <c r="EV158" s="22"/>
      <c r="EW158" s="22"/>
      <c r="EX158" s="22">
        <v>100</v>
      </c>
      <c r="EY158" s="22"/>
      <c r="EZ158" s="22"/>
      <c r="FA158" s="22"/>
      <c r="FB158" s="22">
        <v>19</v>
      </c>
      <c r="FC158" s="22"/>
      <c r="FD158" s="22"/>
      <c r="FE158" s="22"/>
      <c r="FF158" s="22"/>
      <c r="FG158" s="22"/>
      <c r="FH158" s="22"/>
      <c r="FI158" s="22"/>
      <c r="FJ158" s="22"/>
      <c r="FK158" s="22"/>
      <c r="FL158" s="22"/>
      <c r="FM158" s="22"/>
      <c r="FN158" s="22"/>
      <c r="FO158" s="22"/>
      <c r="FP158" s="22"/>
      <c r="FQ158" s="22">
        <v>100</v>
      </c>
      <c r="FU158" s="22"/>
      <c r="FV158" s="22"/>
      <c r="GG158" s="22">
        <v>3105</v>
      </c>
    </row>
    <row r="159" spans="1:189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F159" s="22">
        <v>25</v>
      </c>
      <c r="G159" s="22">
        <v>75</v>
      </c>
      <c r="K159" s="22">
        <v>100</v>
      </c>
      <c r="M159" s="22">
        <v>36</v>
      </c>
      <c r="N159" s="22">
        <v>8</v>
      </c>
      <c r="R159" s="22">
        <v>6</v>
      </c>
      <c r="U159" s="22">
        <v>21</v>
      </c>
      <c r="X159" s="36"/>
      <c r="Y159" s="36"/>
      <c r="Z159" s="36">
        <v>8</v>
      </c>
      <c r="AA159" s="36">
        <v>4</v>
      </c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2"/>
      <c r="BO159" s="22"/>
      <c r="BP159" s="22"/>
      <c r="BQ159" s="22"/>
      <c r="BR159" s="22"/>
      <c r="BS159" s="22">
        <v>3</v>
      </c>
      <c r="BT159" s="22"/>
      <c r="BU159" s="22"/>
      <c r="BV159" s="22"/>
      <c r="BW159" s="22"/>
      <c r="BX159" s="22"/>
      <c r="BY159" s="22"/>
      <c r="BZ159" s="22"/>
      <c r="CA159" s="22"/>
      <c r="CB159" s="22"/>
      <c r="CC159" s="22"/>
      <c r="CD159" s="22"/>
      <c r="CE159" s="22"/>
      <c r="CF159" s="22"/>
      <c r="CG159" s="22"/>
      <c r="CH159" s="22"/>
      <c r="CI159" s="22"/>
      <c r="CJ159" s="22"/>
      <c r="CK159" s="22"/>
      <c r="CL159" s="22"/>
      <c r="CN159" s="22">
        <v>106</v>
      </c>
      <c r="CO159" s="22"/>
      <c r="CP159" s="22"/>
      <c r="CQ159" s="22"/>
      <c r="CR159" s="22"/>
      <c r="CS159" s="22"/>
      <c r="CT159" s="22"/>
      <c r="CU159" s="22"/>
      <c r="CV159" s="22"/>
      <c r="CW159" s="22">
        <v>92</v>
      </c>
      <c r="CX159" s="22"/>
      <c r="CY159" s="22"/>
      <c r="CZ159" s="22"/>
      <c r="DA159" s="22"/>
      <c r="DB159" s="22"/>
      <c r="DC159" s="22"/>
      <c r="DD159" s="22"/>
      <c r="DE159" s="22">
        <v>100</v>
      </c>
      <c r="DF159" s="22"/>
      <c r="DG159" s="22">
        <v>137</v>
      </c>
      <c r="DH159" s="22"/>
      <c r="DI159" s="22"/>
      <c r="DJ159" s="22"/>
      <c r="DK159" s="22"/>
      <c r="DL159" s="22"/>
      <c r="DM159" s="22"/>
      <c r="DN159" s="22"/>
      <c r="DO159" s="22"/>
      <c r="DP159" s="22"/>
      <c r="DQ159" s="22"/>
      <c r="DR159" s="22"/>
      <c r="DS159" s="22"/>
      <c r="DT159" s="22"/>
      <c r="DU159" s="22"/>
      <c r="DV159" s="22"/>
      <c r="DW159" s="22"/>
      <c r="DX159" s="22"/>
      <c r="DY159" s="22"/>
      <c r="DZ159" s="22"/>
      <c r="EA159" s="22"/>
      <c r="EB159" s="22"/>
      <c r="EC159" s="22"/>
      <c r="ED159" s="22"/>
      <c r="EE159" s="22"/>
      <c r="EF159" s="22"/>
      <c r="EG159" s="22"/>
      <c r="EH159" s="22"/>
      <c r="EI159" s="22"/>
      <c r="EJ159" s="22"/>
      <c r="EK159" s="22"/>
      <c r="EL159" s="22"/>
      <c r="EM159" s="22"/>
      <c r="EN159" s="22"/>
      <c r="EO159" s="22"/>
      <c r="EP159" s="22"/>
      <c r="EQ159" s="22"/>
      <c r="ER159" s="22"/>
      <c r="ES159" s="22">
        <v>20</v>
      </c>
      <c r="ET159" s="22"/>
      <c r="EU159" s="22"/>
      <c r="EV159" s="22"/>
      <c r="EW159" s="22"/>
      <c r="EX159" s="22"/>
      <c r="EY159" s="22"/>
      <c r="EZ159" s="22"/>
      <c r="FA159" s="22"/>
      <c r="FB159" s="22">
        <v>24</v>
      </c>
      <c r="FC159" s="22">
        <v>200</v>
      </c>
      <c r="FD159" s="22">
        <v>200</v>
      </c>
      <c r="FE159" s="22"/>
      <c r="FF159" s="22"/>
      <c r="FG159" s="22"/>
      <c r="FH159" s="22"/>
      <c r="FI159" s="22"/>
      <c r="FJ159" s="22">
        <v>37</v>
      </c>
      <c r="FK159" s="22"/>
      <c r="FL159" s="22"/>
      <c r="FM159" s="22"/>
      <c r="FN159" s="22"/>
      <c r="FO159" s="22"/>
      <c r="FP159" s="22"/>
      <c r="FQ159" s="22">
        <v>100</v>
      </c>
      <c r="FT159" s="22">
        <v>36</v>
      </c>
      <c r="FU159" s="22"/>
      <c r="FV159" s="22"/>
      <c r="FW159" s="22">
        <v>12</v>
      </c>
      <c r="GG159" s="22">
        <v>1350</v>
      </c>
    </row>
    <row r="160" spans="1:189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M160" s="22">
        <v>8</v>
      </c>
      <c r="N160" s="22">
        <v>6</v>
      </c>
      <c r="R160" s="22">
        <v>6</v>
      </c>
      <c r="X160" s="36"/>
      <c r="Y160" s="36"/>
      <c r="Z160" s="36">
        <v>20</v>
      </c>
      <c r="AA160" s="36">
        <v>36</v>
      </c>
      <c r="AB160" s="36"/>
      <c r="AC160" s="36">
        <v>39</v>
      </c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  <c r="BS160" s="22"/>
      <c r="BT160" s="22"/>
      <c r="BU160" s="22"/>
      <c r="BV160" s="22"/>
      <c r="BW160" s="22"/>
      <c r="BX160" s="22">
        <v>500</v>
      </c>
      <c r="BY160" s="22"/>
      <c r="BZ160" s="22"/>
      <c r="CA160" s="22"/>
      <c r="CB160" s="22"/>
      <c r="CC160" s="22"/>
      <c r="CD160" s="22"/>
      <c r="CE160" s="22"/>
      <c r="CF160" s="22"/>
      <c r="CG160" s="22">
        <v>100</v>
      </c>
      <c r="CH160" s="22"/>
      <c r="CI160" s="22"/>
      <c r="CJ160" s="22">
        <v>100</v>
      </c>
      <c r="CK160" s="22"/>
      <c r="CL160" s="22"/>
      <c r="CO160" s="22">
        <v>100</v>
      </c>
      <c r="CP160" s="22"/>
      <c r="CQ160" s="22">
        <v>90</v>
      </c>
      <c r="CR160" s="22"/>
      <c r="CS160" s="22"/>
      <c r="CT160" s="22"/>
      <c r="CU160" s="22"/>
      <c r="CV160" s="22"/>
      <c r="CW160" s="22">
        <v>50</v>
      </c>
      <c r="CX160" s="22"/>
      <c r="CY160" s="22"/>
      <c r="CZ160" s="22"/>
      <c r="DA160" s="22">
        <v>200</v>
      </c>
      <c r="DB160" s="22"/>
      <c r="DC160" s="22"/>
      <c r="DD160" s="22"/>
      <c r="DE160" s="22">
        <v>107</v>
      </c>
      <c r="DF160" s="22"/>
      <c r="DG160" s="22"/>
      <c r="DH160" s="22"/>
      <c r="DI160" s="22"/>
      <c r="DJ160" s="22"/>
      <c r="DK160" s="22"/>
      <c r="DL160" s="22"/>
      <c r="DM160" s="22"/>
      <c r="DN160" s="22"/>
      <c r="DO160" s="22"/>
      <c r="DP160" s="22"/>
      <c r="DQ160" s="22"/>
      <c r="DR160" s="22"/>
      <c r="DS160" s="22"/>
      <c r="DT160" s="22"/>
      <c r="DU160" s="22"/>
      <c r="DV160" s="22"/>
      <c r="DW160" s="22"/>
      <c r="DX160" s="22"/>
      <c r="DY160" s="22"/>
      <c r="DZ160" s="22"/>
      <c r="EA160" s="22"/>
      <c r="EB160" s="22"/>
      <c r="EC160" s="22"/>
      <c r="ED160" s="22"/>
      <c r="EE160" s="22"/>
      <c r="EF160" s="22"/>
      <c r="EG160" s="22"/>
      <c r="EH160" s="22"/>
      <c r="EI160" s="22"/>
      <c r="EJ160" s="22"/>
      <c r="EK160" s="22"/>
      <c r="EL160" s="22"/>
      <c r="EM160" s="22"/>
      <c r="EN160" s="22"/>
      <c r="EO160" s="22"/>
      <c r="EP160" s="22"/>
      <c r="EQ160" s="22"/>
      <c r="ER160" s="22"/>
      <c r="ES160" s="22"/>
      <c r="ET160" s="22"/>
      <c r="EU160" s="22"/>
      <c r="EV160" s="22"/>
      <c r="EW160" s="22"/>
      <c r="EX160" s="22"/>
      <c r="EY160" s="22"/>
      <c r="EZ160" s="22"/>
      <c r="FA160" s="22"/>
      <c r="FB160" s="22">
        <v>30</v>
      </c>
      <c r="FC160" s="22"/>
      <c r="FD160" s="22"/>
      <c r="FE160" s="22"/>
      <c r="FF160" s="22"/>
      <c r="FG160" s="22"/>
      <c r="FH160" s="22"/>
      <c r="FI160" s="22"/>
      <c r="FJ160" s="22">
        <v>88</v>
      </c>
      <c r="FK160" s="22"/>
      <c r="FL160" s="22"/>
      <c r="FM160" s="22"/>
      <c r="FN160" s="22"/>
      <c r="FO160" s="22"/>
      <c r="FP160" s="22"/>
      <c r="FQ160" s="22"/>
      <c r="FT160" s="22">
        <v>40</v>
      </c>
      <c r="FU160" s="22"/>
      <c r="FV160" s="22"/>
      <c r="FW160" s="22">
        <v>13</v>
      </c>
      <c r="GG160" s="22">
        <v>1533</v>
      </c>
    </row>
    <row r="161" spans="1:189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X161" s="36"/>
      <c r="Y161" s="36"/>
      <c r="Z161" s="36"/>
      <c r="AA161" s="36">
        <v>50</v>
      </c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  <c r="BS161" s="22">
        <v>159</v>
      </c>
      <c r="BT161" s="22"/>
      <c r="BU161" s="22"/>
      <c r="BV161" s="22"/>
      <c r="BW161" s="22"/>
      <c r="BX161" s="22"/>
      <c r="BY161" s="22"/>
      <c r="BZ161" s="22"/>
      <c r="CA161" s="22"/>
      <c r="CB161" s="22"/>
      <c r="CC161" s="22"/>
      <c r="CD161" s="22"/>
      <c r="CE161" s="22"/>
      <c r="CF161" s="22"/>
      <c r="CG161" s="22"/>
      <c r="CH161" s="22"/>
      <c r="CI161" s="22"/>
      <c r="CJ161" s="22"/>
      <c r="CK161" s="22"/>
      <c r="CL161" s="22"/>
      <c r="CO161" s="22"/>
      <c r="CP161" s="22"/>
      <c r="CQ161" s="22"/>
      <c r="CR161" s="22"/>
      <c r="CS161" s="22"/>
      <c r="CT161" s="22"/>
      <c r="CU161" s="22"/>
      <c r="CV161" s="22"/>
      <c r="CW161" s="22">
        <v>51</v>
      </c>
      <c r="CX161" s="22"/>
      <c r="CY161" s="22"/>
      <c r="CZ161" s="22"/>
      <c r="DA161" s="22"/>
      <c r="DB161" s="22"/>
      <c r="DC161" s="22"/>
      <c r="DD161" s="22"/>
      <c r="DE161" s="22">
        <v>100</v>
      </c>
      <c r="DF161" s="22"/>
      <c r="DG161" s="22"/>
      <c r="DH161" s="22"/>
      <c r="DI161" s="22"/>
      <c r="DJ161" s="22"/>
      <c r="DK161" s="22"/>
      <c r="DL161" s="22"/>
      <c r="DM161" s="22"/>
      <c r="DN161" s="22"/>
      <c r="DO161" s="22"/>
      <c r="DP161" s="22"/>
      <c r="DQ161" s="22"/>
      <c r="DR161" s="22"/>
      <c r="DS161" s="22"/>
      <c r="DT161" s="22"/>
      <c r="DU161" s="22"/>
      <c r="DV161" s="22"/>
      <c r="DW161" s="22"/>
      <c r="DX161" s="22"/>
      <c r="DY161" s="22"/>
      <c r="DZ161" s="22"/>
      <c r="EA161" s="22"/>
      <c r="EB161" s="22"/>
      <c r="EC161" s="22"/>
      <c r="ED161" s="22"/>
      <c r="EE161" s="22"/>
      <c r="EF161" s="22"/>
      <c r="EG161" s="22"/>
      <c r="EH161" s="22"/>
      <c r="EI161" s="22"/>
      <c r="EJ161" s="22"/>
      <c r="EK161" s="22"/>
      <c r="EL161" s="22"/>
      <c r="EM161" s="22"/>
      <c r="EN161" s="22"/>
      <c r="EO161" s="22"/>
      <c r="EP161" s="22"/>
      <c r="EQ161" s="22"/>
      <c r="ER161" s="22"/>
      <c r="ES161" s="22"/>
      <c r="ET161" s="22"/>
      <c r="EU161" s="22"/>
      <c r="EV161" s="22"/>
      <c r="EW161" s="22"/>
      <c r="EX161" s="22"/>
      <c r="EY161" s="22"/>
      <c r="EZ161" s="22"/>
      <c r="FA161" s="22"/>
      <c r="FB161" s="22"/>
      <c r="FC161" s="22"/>
      <c r="FD161" s="22"/>
      <c r="FE161" s="22"/>
      <c r="FF161" s="22"/>
      <c r="FG161" s="22"/>
      <c r="FH161" s="22"/>
      <c r="FI161" s="22"/>
      <c r="FJ161" s="22"/>
      <c r="FK161" s="22"/>
      <c r="FL161" s="22"/>
      <c r="FM161" s="22"/>
      <c r="FN161" s="22"/>
      <c r="FO161" s="22"/>
      <c r="FP161" s="22"/>
      <c r="FQ161" s="22"/>
      <c r="FU161" s="22"/>
      <c r="FV161" s="22"/>
      <c r="GG161" s="22">
        <v>360</v>
      </c>
    </row>
    <row r="162" spans="1:189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F162" s="22">
        <v>3</v>
      </c>
      <c r="O162" s="22">
        <v>100</v>
      </c>
      <c r="X162" s="36"/>
      <c r="Y162" s="36"/>
      <c r="Z162" s="36">
        <v>55</v>
      </c>
      <c r="AA162" s="36">
        <v>21</v>
      </c>
      <c r="AB162" s="36"/>
      <c r="AC162" s="36">
        <v>75</v>
      </c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  <c r="BS162" s="22"/>
      <c r="BT162" s="22"/>
      <c r="BU162" s="22"/>
      <c r="BV162" s="22"/>
      <c r="BW162" s="22"/>
      <c r="BX162" s="22">
        <v>70</v>
      </c>
      <c r="BY162" s="22"/>
      <c r="BZ162" s="22"/>
      <c r="CA162" s="22"/>
      <c r="CB162" s="22"/>
      <c r="CC162" s="22"/>
      <c r="CD162" s="22"/>
      <c r="CE162" s="22"/>
      <c r="CF162" s="22"/>
      <c r="CG162" s="22"/>
      <c r="CH162" s="22"/>
      <c r="CI162" s="22"/>
      <c r="CJ162" s="22">
        <v>120</v>
      </c>
      <c r="CK162" s="22"/>
      <c r="CL162" s="22"/>
      <c r="CN162" s="22">
        <v>100</v>
      </c>
      <c r="CO162" s="22">
        <v>12</v>
      </c>
      <c r="CP162" s="22"/>
      <c r="CQ162" s="22"/>
      <c r="CR162" s="22"/>
      <c r="CS162" s="22"/>
      <c r="CT162" s="22"/>
      <c r="CU162" s="22"/>
      <c r="CV162" s="22"/>
      <c r="CW162" s="22">
        <v>41</v>
      </c>
      <c r="CX162" s="22"/>
      <c r="CY162" s="22"/>
      <c r="CZ162" s="22"/>
      <c r="DA162" s="22"/>
      <c r="DB162" s="22"/>
      <c r="DC162" s="22"/>
      <c r="DD162" s="22"/>
      <c r="DE162" s="22">
        <v>90</v>
      </c>
      <c r="DF162" s="22"/>
      <c r="DG162" s="22"/>
      <c r="DH162" s="22"/>
      <c r="DI162" s="22"/>
      <c r="DJ162" s="22"/>
      <c r="DK162" s="22"/>
      <c r="DL162" s="22"/>
      <c r="DM162" s="22"/>
      <c r="DN162" s="22"/>
      <c r="DO162" s="22"/>
      <c r="DP162" s="22"/>
      <c r="DQ162" s="22"/>
      <c r="DR162" s="22"/>
      <c r="DS162" s="22"/>
      <c r="DT162" s="22"/>
      <c r="DU162" s="22"/>
      <c r="DV162" s="22"/>
      <c r="DW162" s="22"/>
      <c r="DX162" s="22"/>
      <c r="DY162" s="22"/>
      <c r="DZ162" s="22"/>
      <c r="EA162" s="22"/>
      <c r="EB162" s="22"/>
      <c r="EC162" s="22"/>
      <c r="ED162" s="22"/>
      <c r="EE162" s="22"/>
      <c r="EF162" s="22"/>
      <c r="EG162" s="22"/>
      <c r="EH162" s="22"/>
      <c r="EI162" s="22"/>
      <c r="EJ162" s="22"/>
      <c r="EK162" s="22"/>
      <c r="EL162" s="22"/>
      <c r="EM162" s="22"/>
      <c r="EN162" s="22"/>
      <c r="EO162" s="22"/>
      <c r="EP162" s="22"/>
      <c r="EQ162" s="22"/>
      <c r="ER162" s="22"/>
      <c r="ES162" s="22"/>
      <c r="ET162" s="22"/>
      <c r="EU162" s="22"/>
      <c r="EV162" s="22"/>
      <c r="EW162" s="22"/>
      <c r="EX162" s="22"/>
      <c r="EY162" s="22"/>
      <c r="EZ162" s="22"/>
      <c r="FA162" s="22"/>
      <c r="FB162" s="22"/>
      <c r="FC162" s="22"/>
      <c r="FD162" s="22"/>
      <c r="FE162" s="22"/>
      <c r="FF162" s="22"/>
      <c r="FG162" s="22"/>
      <c r="FH162" s="22"/>
      <c r="FI162" s="22"/>
      <c r="FJ162" s="22"/>
      <c r="FK162" s="22"/>
      <c r="FL162" s="22"/>
      <c r="FM162" s="22"/>
      <c r="FN162" s="22"/>
      <c r="FO162" s="22"/>
      <c r="FP162" s="22"/>
      <c r="FQ162" s="22"/>
      <c r="FU162" s="22"/>
      <c r="FV162" s="22"/>
      <c r="GG162" s="22">
        <v>687</v>
      </c>
    </row>
    <row r="163" spans="1:189" x14ac:dyDescent="0.25">
      <c r="A163" s="9">
        <v>159</v>
      </c>
      <c r="B163" s="9">
        <v>1000006662</v>
      </c>
      <c r="C163" s="12" t="s">
        <v>173</v>
      </c>
      <c r="D163" s="9" t="s">
        <v>12</v>
      </c>
      <c r="E163" s="36"/>
      <c r="F163" s="22">
        <v>63</v>
      </c>
      <c r="P163" s="22">
        <v>41</v>
      </c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>
        <v>190</v>
      </c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2"/>
      <c r="BO163" s="22"/>
      <c r="BP163" s="22"/>
      <c r="BQ163" s="22"/>
      <c r="BR163" s="22"/>
      <c r="BS163" s="22"/>
      <c r="BT163" s="22"/>
      <c r="BU163" s="22"/>
      <c r="BV163" s="22"/>
      <c r="BW163" s="22"/>
      <c r="BX163" s="22">
        <v>200</v>
      </c>
      <c r="BY163" s="22"/>
      <c r="BZ163" s="22"/>
      <c r="CA163" s="22"/>
      <c r="CB163" s="22"/>
      <c r="CC163" s="22"/>
      <c r="CD163" s="22"/>
      <c r="CE163" s="22"/>
      <c r="CF163" s="22"/>
      <c r="CG163" s="22"/>
      <c r="CH163" s="22"/>
      <c r="CI163" s="22"/>
      <c r="CJ163" s="22">
        <v>40</v>
      </c>
      <c r="CK163" s="22"/>
      <c r="CL163" s="22"/>
      <c r="CM163" s="22">
        <v>80</v>
      </c>
      <c r="CO163" s="22">
        <v>100</v>
      </c>
      <c r="CP163" s="22"/>
      <c r="CQ163" s="22">
        <v>100</v>
      </c>
      <c r="CR163" s="22"/>
      <c r="CS163" s="22"/>
      <c r="CT163" s="22"/>
      <c r="CU163" s="22"/>
      <c r="CV163" s="22"/>
      <c r="CW163" s="22">
        <v>55</v>
      </c>
      <c r="CX163" s="22"/>
      <c r="CY163" s="22"/>
      <c r="CZ163" s="22"/>
      <c r="DA163" s="22">
        <v>180</v>
      </c>
      <c r="DB163" s="22"/>
      <c r="DC163" s="22"/>
      <c r="DD163" s="22"/>
      <c r="DE163" s="22">
        <v>100</v>
      </c>
      <c r="DF163" s="22"/>
      <c r="DG163" s="22"/>
      <c r="DH163" s="22"/>
      <c r="DI163" s="22"/>
      <c r="DJ163" s="22"/>
      <c r="DK163" s="22"/>
      <c r="DL163" s="22"/>
      <c r="DM163" s="22"/>
      <c r="DN163" s="22"/>
      <c r="DO163" s="22"/>
      <c r="DP163" s="22"/>
      <c r="DQ163" s="22"/>
      <c r="DR163" s="22"/>
      <c r="DS163" s="22"/>
      <c r="DT163" s="22"/>
      <c r="DU163" s="22"/>
      <c r="DV163" s="22"/>
      <c r="DW163" s="22"/>
      <c r="DX163" s="22"/>
      <c r="DY163" s="22"/>
      <c r="DZ163" s="22"/>
      <c r="EA163" s="22"/>
      <c r="EB163" s="22"/>
      <c r="EC163" s="22"/>
      <c r="ED163" s="22"/>
      <c r="EE163" s="22"/>
      <c r="EF163" s="22"/>
      <c r="EG163" s="22"/>
      <c r="EH163" s="22"/>
      <c r="EI163" s="22"/>
      <c r="EJ163" s="22"/>
      <c r="EK163" s="22"/>
      <c r="EL163" s="22"/>
      <c r="EM163" s="22"/>
      <c r="EN163" s="22"/>
      <c r="EO163" s="22"/>
      <c r="EP163" s="22"/>
      <c r="EQ163" s="22"/>
      <c r="ER163" s="22"/>
      <c r="ES163" s="22"/>
      <c r="ET163" s="22"/>
      <c r="EU163" s="22"/>
      <c r="EV163" s="22"/>
      <c r="EW163" s="22"/>
      <c r="EX163" s="22"/>
      <c r="EY163" s="22"/>
      <c r="EZ163" s="22"/>
      <c r="FA163" s="22"/>
      <c r="FB163" s="22"/>
      <c r="FC163" s="22"/>
      <c r="FD163" s="22"/>
      <c r="FE163" s="22"/>
      <c r="FF163" s="22"/>
      <c r="FG163" s="22"/>
      <c r="FH163" s="22"/>
      <c r="FI163" s="22"/>
      <c r="FJ163" s="22"/>
      <c r="FK163" s="22"/>
      <c r="FL163" s="22"/>
      <c r="FM163" s="22"/>
      <c r="FN163" s="22"/>
      <c r="FO163" s="22"/>
      <c r="FP163" s="22"/>
      <c r="FQ163" s="22">
        <v>100</v>
      </c>
      <c r="FU163" s="22"/>
      <c r="FV163" s="22"/>
      <c r="GG163" s="22">
        <v>1249</v>
      </c>
    </row>
    <row r="164" spans="1:189" x14ac:dyDescent="0.25">
      <c r="A164" s="22">
        <v>160</v>
      </c>
      <c r="B164" s="22">
        <v>3000003029</v>
      </c>
      <c r="C164" t="s">
        <v>211</v>
      </c>
      <c r="D164" s="22" t="s">
        <v>12</v>
      </c>
      <c r="V164" s="22">
        <v>6</v>
      </c>
      <c r="GG164" s="22">
        <v>6</v>
      </c>
    </row>
    <row r="165" spans="1:189" x14ac:dyDescent="0.25">
      <c r="A165" s="22">
        <v>161</v>
      </c>
      <c r="B165" s="22">
        <v>3000003029</v>
      </c>
      <c r="C165" t="s">
        <v>297</v>
      </c>
      <c r="D165" s="22" t="s">
        <v>12</v>
      </c>
      <c r="FY165" s="22">
        <v>400</v>
      </c>
      <c r="FZ165" s="22">
        <v>800</v>
      </c>
      <c r="GG165" s="22">
        <v>1200</v>
      </c>
    </row>
    <row r="166" spans="1:189" x14ac:dyDescent="0.25">
      <c r="A166" s="22">
        <v>162</v>
      </c>
      <c r="B166" s="22">
        <v>1000006010</v>
      </c>
      <c r="C166" t="s">
        <v>298</v>
      </c>
      <c r="D166" s="22" t="s">
        <v>12</v>
      </c>
      <c r="GA166" s="22">
        <v>50</v>
      </c>
      <c r="GG166" s="22">
        <v>50</v>
      </c>
    </row>
    <row r="167" spans="1:189" x14ac:dyDescent="0.25">
      <c r="A167" s="22">
        <v>163</v>
      </c>
      <c r="B167" s="22">
        <v>3000001220</v>
      </c>
      <c r="C167" t="s">
        <v>300</v>
      </c>
      <c r="D167" s="22" t="s">
        <v>12</v>
      </c>
      <c r="GB167" s="22">
        <v>5</v>
      </c>
      <c r="GG167" s="22">
        <v>5</v>
      </c>
    </row>
    <row r="168" spans="1:189" x14ac:dyDescent="0.25">
      <c r="A168" s="22">
        <v>164</v>
      </c>
      <c r="B168" s="22">
        <v>3000001221</v>
      </c>
      <c r="C168" t="s">
        <v>302</v>
      </c>
      <c r="D168" s="22" t="s">
        <v>12</v>
      </c>
      <c r="GB168" s="22">
        <v>77</v>
      </c>
      <c r="GG168" s="22">
        <v>77</v>
      </c>
    </row>
    <row r="169" spans="1:189" x14ac:dyDescent="0.25">
      <c r="A169" s="22">
        <v>165</v>
      </c>
      <c r="B169" s="22">
        <v>3000001223</v>
      </c>
      <c r="C169" t="s">
        <v>304</v>
      </c>
      <c r="D169" s="22" t="s">
        <v>12</v>
      </c>
      <c r="GB169" s="22">
        <v>100</v>
      </c>
      <c r="GG169" s="22">
        <v>100</v>
      </c>
    </row>
    <row r="170" spans="1:189" x14ac:dyDescent="0.25">
      <c r="A170" s="22">
        <v>166</v>
      </c>
      <c r="B170" s="22">
        <v>3000001224</v>
      </c>
      <c r="C170" t="s">
        <v>306</v>
      </c>
      <c r="D170" s="22" t="s">
        <v>12</v>
      </c>
      <c r="GB170" s="22">
        <v>40</v>
      </c>
      <c r="GG170" s="22">
        <v>40</v>
      </c>
    </row>
  </sheetData>
  <autoFilter ref="A4:GG163"/>
  <mergeCells count="3">
    <mergeCell ref="C1:C2"/>
    <mergeCell ref="B1:B2"/>
    <mergeCell ref="A1:A2"/>
  </mergeCells>
  <conditionalFormatting sqref="A2:XFD2">
    <cfRule type="expression" dxfId="390" priority="1" stopIfTrue="1">
      <formula>AND(ROW()&gt;=2,ROW()&lt;=2)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J178"/>
  <sheetViews>
    <sheetView workbookViewId="0">
      <pane xSplit="5" ySplit="4" topLeftCell="CQ5" activePane="bottomRight" state="frozen"/>
      <selection pane="topRight" activeCell="F1" sqref="F1"/>
      <selection pane="bottomLeft" activeCell="A5" sqref="A5"/>
      <selection pane="bottomRight" activeCell="D1" sqref="D1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13.5703125" style="22" bestFit="1" customWidth="1"/>
    <col min="5" max="5" width="9.85546875" customWidth="1"/>
    <col min="6" max="64" width="11.140625" style="22" customWidth="1"/>
    <col min="65" max="65" width="11" style="22" bestFit="1" customWidth="1"/>
    <col min="66" max="80" width="11" style="22" customWidth="1"/>
    <col min="81" max="100" width="11.28515625" style="22" customWidth="1"/>
    <col min="101" max="114" width="10.85546875" style="22" customWidth="1"/>
  </cols>
  <sheetData>
    <row r="1" spans="1:114" ht="38.25" thickBot="1" x14ac:dyDescent="0.3">
      <c r="A1" s="149" t="s">
        <v>1</v>
      </c>
      <c r="B1" s="149" t="s">
        <v>174</v>
      </c>
      <c r="C1" s="149" t="s">
        <v>175</v>
      </c>
      <c r="D1" s="80">
        <f>COUNTA(F1:XFD1)+5-4</f>
        <v>106</v>
      </c>
      <c r="E1" s="27" t="s">
        <v>188</v>
      </c>
      <c r="F1" s="26" t="s">
        <v>435</v>
      </c>
      <c r="G1" s="26" t="s">
        <v>435</v>
      </c>
      <c r="H1" s="26" t="s">
        <v>435</v>
      </c>
      <c r="I1" s="26" t="s">
        <v>435</v>
      </c>
      <c r="J1" s="26" t="s">
        <v>435</v>
      </c>
      <c r="K1" s="26" t="s">
        <v>435</v>
      </c>
      <c r="L1" s="26" t="s">
        <v>435</v>
      </c>
      <c r="M1" s="26" t="s">
        <v>435</v>
      </c>
      <c r="N1" s="26" t="s">
        <v>435</v>
      </c>
      <c r="O1" s="26" t="s">
        <v>435</v>
      </c>
      <c r="P1" s="26" t="s">
        <v>435</v>
      </c>
      <c r="Q1" s="26" t="s">
        <v>435</v>
      </c>
      <c r="R1" s="26" t="s">
        <v>435</v>
      </c>
      <c r="S1" s="26" t="s">
        <v>435</v>
      </c>
      <c r="T1" s="26" t="s">
        <v>435</v>
      </c>
      <c r="U1" s="26" t="s">
        <v>435</v>
      </c>
      <c r="V1" s="26" t="s">
        <v>435</v>
      </c>
      <c r="W1" s="26" t="s">
        <v>435</v>
      </c>
      <c r="X1" s="26" t="s">
        <v>435</v>
      </c>
      <c r="Y1" s="26" t="s">
        <v>435</v>
      </c>
      <c r="Z1" s="26" t="s">
        <v>435</v>
      </c>
      <c r="AA1" s="26" t="s">
        <v>435</v>
      </c>
      <c r="AB1" s="26" t="s">
        <v>435</v>
      </c>
      <c r="AC1" s="26" t="s">
        <v>435</v>
      </c>
      <c r="AD1" s="26" t="s">
        <v>435</v>
      </c>
      <c r="AE1" s="26" t="s">
        <v>435</v>
      </c>
      <c r="AF1" s="26" t="s">
        <v>435</v>
      </c>
      <c r="AG1" s="26" t="s">
        <v>435</v>
      </c>
      <c r="AH1" s="26" t="s">
        <v>435</v>
      </c>
      <c r="AI1" s="26" t="s">
        <v>435</v>
      </c>
      <c r="AJ1" s="26" t="s">
        <v>435</v>
      </c>
      <c r="AK1" s="26" t="s">
        <v>435</v>
      </c>
      <c r="AL1" s="26" t="s">
        <v>435</v>
      </c>
      <c r="AM1" s="26" t="s">
        <v>435</v>
      </c>
      <c r="AN1" s="26" t="s">
        <v>435</v>
      </c>
      <c r="AO1" s="26" t="s">
        <v>435</v>
      </c>
      <c r="AP1" s="26" t="s">
        <v>435</v>
      </c>
      <c r="AQ1" s="26" t="s">
        <v>435</v>
      </c>
      <c r="AR1" s="26" t="s">
        <v>435</v>
      </c>
      <c r="AS1" s="26" t="s">
        <v>435</v>
      </c>
      <c r="AT1" s="26" t="s">
        <v>435</v>
      </c>
      <c r="AU1" s="26" t="s">
        <v>435</v>
      </c>
      <c r="AV1" s="26" t="s">
        <v>435</v>
      </c>
      <c r="AW1" s="26" t="s">
        <v>435</v>
      </c>
      <c r="AX1" s="26" t="s">
        <v>435</v>
      </c>
      <c r="AY1" s="26" t="s">
        <v>435</v>
      </c>
      <c r="AZ1" s="26" t="s">
        <v>435</v>
      </c>
      <c r="BA1" s="26" t="s">
        <v>435</v>
      </c>
      <c r="BB1" s="26" t="s">
        <v>435</v>
      </c>
      <c r="BC1" s="26" t="s">
        <v>435</v>
      </c>
      <c r="BD1" s="26" t="s">
        <v>435</v>
      </c>
      <c r="BE1" s="26" t="s">
        <v>435</v>
      </c>
      <c r="BF1" s="26" t="s">
        <v>435</v>
      </c>
      <c r="BG1" s="26" t="s">
        <v>435</v>
      </c>
      <c r="BH1" s="26" t="s">
        <v>435</v>
      </c>
      <c r="BI1" s="26" t="s">
        <v>435</v>
      </c>
      <c r="BJ1" s="26" t="s">
        <v>435</v>
      </c>
      <c r="BK1" s="26" t="s">
        <v>435</v>
      </c>
      <c r="BL1" s="26" t="s">
        <v>435</v>
      </c>
      <c r="BM1" s="26" t="s">
        <v>435</v>
      </c>
      <c r="BN1" s="26" t="s">
        <v>435</v>
      </c>
      <c r="BO1" s="26" t="s">
        <v>435</v>
      </c>
      <c r="BP1" s="26" t="s">
        <v>435</v>
      </c>
      <c r="BQ1" s="26" t="s">
        <v>435</v>
      </c>
      <c r="BR1" s="26" t="s">
        <v>435</v>
      </c>
      <c r="BS1" s="26" t="s">
        <v>435</v>
      </c>
      <c r="BT1" s="26" t="s">
        <v>435</v>
      </c>
      <c r="BU1" s="26" t="s">
        <v>435</v>
      </c>
      <c r="BV1" s="26" t="s">
        <v>435</v>
      </c>
      <c r="BW1" s="26" t="s">
        <v>435</v>
      </c>
      <c r="BX1" s="26" t="s">
        <v>435</v>
      </c>
      <c r="BY1" s="26" t="s">
        <v>435</v>
      </c>
      <c r="BZ1" s="26" t="s">
        <v>435</v>
      </c>
      <c r="CA1" s="26" t="s">
        <v>435</v>
      </c>
      <c r="CB1" s="26" t="s">
        <v>435</v>
      </c>
      <c r="CC1" s="26" t="s">
        <v>435</v>
      </c>
      <c r="CD1" s="26" t="s">
        <v>435</v>
      </c>
      <c r="CE1" s="26" t="s">
        <v>435</v>
      </c>
      <c r="CF1" s="26" t="s">
        <v>435</v>
      </c>
      <c r="CG1" s="26" t="s">
        <v>435</v>
      </c>
      <c r="CH1" s="26" t="s">
        <v>435</v>
      </c>
      <c r="CI1" s="26" t="s">
        <v>435</v>
      </c>
      <c r="CJ1" s="26" t="s">
        <v>435</v>
      </c>
      <c r="CK1" s="26" t="s">
        <v>435</v>
      </c>
      <c r="CL1" s="26" t="s">
        <v>435</v>
      </c>
      <c r="CM1" s="26" t="s">
        <v>435</v>
      </c>
      <c r="CN1" s="26" t="s">
        <v>435</v>
      </c>
      <c r="CO1" s="26" t="s">
        <v>435</v>
      </c>
      <c r="CP1" s="26" t="s">
        <v>435</v>
      </c>
      <c r="CQ1" s="26" t="s">
        <v>435</v>
      </c>
      <c r="CR1" s="26" t="s">
        <v>435</v>
      </c>
      <c r="CS1" s="26" t="s">
        <v>435</v>
      </c>
      <c r="CT1" s="26" t="s">
        <v>435</v>
      </c>
      <c r="CU1" s="26" t="s">
        <v>435</v>
      </c>
      <c r="CV1" s="26" t="s">
        <v>435</v>
      </c>
      <c r="CW1" s="26" t="s">
        <v>988</v>
      </c>
      <c r="CX1" s="26" t="s">
        <v>988</v>
      </c>
      <c r="CY1" s="26" t="s">
        <v>988</v>
      </c>
      <c r="CZ1" s="26" t="s">
        <v>988</v>
      </c>
      <c r="DA1" s="26" t="s">
        <v>988</v>
      </c>
      <c r="DB1" s="26" t="s">
        <v>988</v>
      </c>
      <c r="DC1" s="26" t="s">
        <v>988</v>
      </c>
      <c r="DD1" s="26" t="s">
        <v>988</v>
      </c>
      <c r="DE1" s="26" t="s">
        <v>988</v>
      </c>
      <c r="DF1" s="26"/>
      <c r="DG1" s="26"/>
      <c r="DH1" s="26"/>
      <c r="DI1" s="26"/>
      <c r="DJ1" s="25" t="s">
        <v>177</v>
      </c>
    </row>
    <row r="2" spans="1:114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436</v>
      </c>
      <c r="G2" s="25" t="s">
        <v>439</v>
      </c>
      <c r="H2" s="25" t="s">
        <v>472</v>
      </c>
      <c r="I2" s="25" t="s">
        <v>473</v>
      </c>
      <c r="J2" s="25" t="s">
        <v>474</v>
      </c>
      <c r="K2" s="25" t="s">
        <v>477</v>
      </c>
      <c r="L2" s="25" t="s">
        <v>606</v>
      </c>
      <c r="M2" s="25" t="s">
        <v>607</v>
      </c>
      <c r="N2" s="25" t="s">
        <v>608</v>
      </c>
      <c r="O2" s="25" t="s">
        <v>609</v>
      </c>
      <c r="P2" s="25" t="s">
        <v>610</v>
      </c>
      <c r="Q2" s="25" t="s">
        <v>611</v>
      </c>
      <c r="R2" s="25" t="s">
        <v>612</v>
      </c>
      <c r="S2" s="25" t="s">
        <v>613</v>
      </c>
      <c r="T2" s="25" t="s">
        <v>614</v>
      </c>
      <c r="U2" s="25" t="s">
        <v>615</v>
      </c>
      <c r="V2" s="25" t="s">
        <v>616</v>
      </c>
      <c r="W2" s="25" t="s">
        <v>617</v>
      </c>
      <c r="X2" s="25" t="s">
        <v>618</v>
      </c>
      <c r="Y2" s="25" t="s">
        <v>619</v>
      </c>
      <c r="Z2" s="25" t="s">
        <v>620</v>
      </c>
      <c r="AA2" s="25" t="s">
        <v>621</v>
      </c>
      <c r="AB2" s="25" t="s">
        <v>622</v>
      </c>
      <c r="AC2" s="25" t="s">
        <v>623</v>
      </c>
      <c r="AD2" s="25" t="s">
        <v>624</v>
      </c>
      <c r="AE2" s="25" t="s">
        <v>625</v>
      </c>
      <c r="AF2" s="25" t="s">
        <v>505</v>
      </c>
      <c r="AG2" s="25" t="s">
        <v>506</v>
      </c>
      <c r="AH2" s="25" t="s">
        <v>507</v>
      </c>
      <c r="AI2" s="25" t="s">
        <v>508</v>
      </c>
      <c r="AJ2" s="25" t="s">
        <v>509</v>
      </c>
      <c r="AK2" s="25" t="s">
        <v>511</v>
      </c>
      <c r="AL2" s="25" t="s">
        <v>512</v>
      </c>
      <c r="AM2" s="25" t="s">
        <v>513</v>
      </c>
      <c r="AN2" s="25" t="s">
        <v>517</v>
      </c>
      <c r="AO2" s="25" t="s">
        <v>519</v>
      </c>
      <c r="AP2" s="25" t="s">
        <v>520</v>
      </c>
      <c r="AQ2" s="25" t="s">
        <v>521</v>
      </c>
      <c r="AR2" s="25" t="s">
        <v>522</v>
      </c>
      <c r="AS2" s="25" t="s">
        <v>523</v>
      </c>
      <c r="AT2" s="25" t="s">
        <v>524</v>
      </c>
      <c r="AU2" s="25" t="s">
        <v>528</v>
      </c>
      <c r="AV2" s="25" t="s">
        <v>529</v>
      </c>
      <c r="AW2" s="25" t="s">
        <v>531</v>
      </c>
      <c r="AX2" s="25" t="s">
        <v>536</v>
      </c>
      <c r="AY2" s="25" t="s">
        <v>537</v>
      </c>
      <c r="AZ2" s="25" t="s">
        <v>538</v>
      </c>
      <c r="BA2" s="25" t="s">
        <v>539</v>
      </c>
      <c r="BB2" s="25" t="s">
        <v>540</v>
      </c>
      <c r="BC2" s="25" t="s">
        <v>541</v>
      </c>
      <c r="BD2" s="25" t="s">
        <v>545</v>
      </c>
      <c r="BE2" s="25" t="s">
        <v>546</v>
      </c>
      <c r="BF2" s="25" t="s">
        <v>549</v>
      </c>
      <c r="BG2" s="25" t="s">
        <v>550</v>
      </c>
      <c r="BH2" s="25" t="s">
        <v>552</v>
      </c>
      <c r="BI2" s="25" t="s">
        <v>553</v>
      </c>
      <c r="BJ2" s="25" t="s">
        <v>554</v>
      </c>
      <c r="BK2" s="25" t="s">
        <v>555</v>
      </c>
      <c r="BL2" s="25" t="s">
        <v>556</v>
      </c>
      <c r="BM2" s="25" t="s">
        <v>558</v>
      </c>
      <c r="BN2" s="25" t="s">
        <v>559</v>
      </c>
      <c r="BO2" s="25" t="s">
        <v>560</v>
      </c>
      <c r="BP2" s="25" t="s">
        <v>561</v>
      </c>
      <c r="BQ2" s="25" t="s">
        <v>562</v>
      </c>
      <c r="BR2" s="25" t="s">
        <v>563</v>
      </c>
      <c r="BS2" s="25" t="s">
        <v>564</v>
      </c>
      <c r="BT2" s="25" t="s">
        <v>565</v>
      </c>
      <c r="BU2" s="25" t="s">
        <v>566</v>
      </c>
      <c r="BV2" s="25" t="s">
        <v>567</v>
      </c>
      <c r="BW2" s="25" t="s">
        <v>568</v>
      </c>
      <c r="BX2" s="25" t="s">
        <v>569</v>
      </c>
      <c r="BY2" s="25" t="s">
        <v>570</v>
      </c>
      <c r="BZ2" s="25" t="s">
        <v>571</v>
      </c>
      <c r="CA2" s="25" t="s">
        <v>572</v>
      </c>
      <c r="CB2" s="25" t="s">
        <v>573</v>
      </c>
      <c r="CC2" s="25" t="s">
        <v>574</v>
      </c>
      <c r="CD2" s="25" t="s">
        <v>575</v>
      </c>
      <c r="CE2" s="25" t="s">
        <v>576</v>
      </c>
      <c r="CF2" s="25" t="s">
        <v>577</v>
      </c>
      <c r="CG2" s="25" t="s">
        <v>578</v>
      </c>
      <c r="CH2" s="25" t="s">
        <v>580</v>
      </c>
      <c r="CI2" s="25" t="s">
        <v>581</v>
      </c>
      <c r="CJ2" s="25" t="s">
        <v>582</v>
      </c>
      <c r="CK2" s="25" t="s">
        <v>587</v>
      </c>
      <c r="CL2" s="25" t="s">
        <v>583</v>
      </c>
      <c r="CM2" s="25" t="s">
        <v>584</v>
      </c>
      <c r="CN2" s="25" t="s">
        <v>585</v>
      </c>
      <c r="CO2" s="25" t="s">
        <v>588</v>
      </c>
      <c r="CP2" s="25" t="s">
        <v>592</v>
      </c>
      <c r="CQ2" s="25" t="s">
        <v>589</v>
      </c>
      <c r="CR2" s="25" t="s">
        <v>590</v>
      </c>
      <c r="CS2" s="25" t="s">
        <v>593</v>
      </c>
      <c r="CT2" s="25" t="s">
        <v>594</v>
      </c>
      <c r="CU2" s="25" t="s">
        <v>599</v>
      </c>
      <c r="CV2" s="25" t="s">
        <v>598</v>
      </c>
      <c r="CW2" s="25" t="s">
        <v>1370</v>
      </c>
      <c r="CX2" s="25" t="s">
        <v>1366</v>
      </c>
      <c r="CY2" s="25" t="s">
        <v>1367</v>
      </c>
      <c r="CZ2" s="25" t="s">
        <v>1371</v>
      </c>
      <c r="DA2" s="25" t="s">
        <v>1518</v>
      </c>
      <c r="DB2" s="25" t="s">
        <v>1519</v>
      </c>
      <c r="DC2" s="25" t="s">
        <v>1520</v>
      </c>
      <c r="DD2" s="25" t="s">
        <v>1521</v>
      </c>
      <c r="DE2" s="25" t="s">
        <v>1522</v>
      </c>
      <c r="DF2" s="25"/>
      <c r="DG2" s="25"/>
      <c r="DH2" s="25"/>
      <c r="DI2" s="25"/>
      <c r="DJ2" s="25"/>
    </row>
    <row r="3" spans="1:114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34">
        <v>45892</v>
      </c>
      <c r="G3" s="34">
        <v>45893</v>
      </c>
      <c r="H3" s="34">
        <v>45901</v>
      </c>
      <c r="I3" s="34">
        <v>45901</v>
      </c>
      <c r="J3" s="34">
        <v>45901</v>
      </c>
      <c r="K3" s="34">
        <v>45902</v>
      </c>
      <c r="L3" s="34">
        <v>45902</v>
      </c>
      <c r="M3" s="34">
        <v>45902</v>
      </c>
      <c r="N3" s="34">
        <v>45902</v>
      </c>
      <c r="O3" s="34">
        <v>45903</v>
      </c>
      <c r="P3" s="34">
        <v>45903</v>
      </c>
      <c r="Q3" s="34">
        <v>45903</v>
      </c>
      <c r="R3" s="34">
        <v>45903</v>
      </c>
      <c r="S3" s="34">
        <v>45903</v>
      </c>
      <c r="T3" s="34">
        <v>45904</v>
      </c>
      <c r="U3" s="34">
        <v>45904</v>
      </c>
      <c r="V3" s="34">
        <v>45905</v>
      </c>
      <c r="W3" s="34">
        <v>45905</v>
      </c>
      <c r="X3" s="34">
        <v>45905</v>
      </c>
      <c r="Y3" s="34">
        <v>45905</v>
      </c>
      <c r="Z3" s="34">
        <v>45906</v>
      </c>
      <c r="AA3" s="34">
        <v>45906</v>
      </c>
      <c r="AB3" s="34">
        <v>45907</v>
      </c>
      <c r="AC3" s="34">
        <v>45907</v>
      </c>
      <c r="AD3" s="34">
        <v>45907</v>
      </c>
      <c r="AE3" s="34">
        <v>45907</v>
      </c>
      <c r="AF3" s="34">
        <v>45907</v>
      </c>
      <c r="AG3" s="34">
        <v>45908</v>
      </c>
      <c r="AH3" s="34">
        <v>45908</v>
      </c>
      <c r="AI3" s="34">
        <v>45908</v>
      </c>
      <c r="AJ3" s="34">
        <v>45908</v>
      </c>
      <c r="AK3" s="34">
        <v>45908</v>
      </c>
      <c r="AL3" s="34">
        <v>45908</v>
      </c>
      <c r="AM3" s="34">
        <v>45908</v>
      </c>
      <c r="AN3" s="34">
        <v>45909</v>
      </c>
      <c r="AO3" s="34">
        <v>45909</v>
      </c>
      <c r="AP3" s="34">
        <v>45909</v>
      </c>
      <c r="AQ3" s="34">
        <v>45909</v>
      </c>
      <c r="AR3" s="34">
        <v>45909</v>
      </c>
      <c r="AS3" s="34">
        <v>45910</v>
      </c>
      <c r="AT3" s="34">
        <v>45910</v>
      </c>
      <c r="AU3" s="34">
        <v>45910</v>
      </c>
      <c r="AV3" s="34">
        <v>45910</v>
      </c>
      <c r="AW3" s="34">
        <v>45911</v>
      </c>
      <c r="AX3" s="34">
        <v>45910</v>
      </c>
      <c r="AY3" s="34">
        <v>45911</v>
      </c>
      <c r="AZ3" s="34">
        <v>45912</v>
      </c>
      <c r="BA3" s="34">
        <v>45912</v>
      </c>
      <c r="BB3" s="34">
        <v>45912</v>
      </c>
      <c r="BC3" s="34">
        <v>45912</v>
      </c>
      <c r="BD3" s="34">
        <v>45913</v>
      </c>
      <c r="BE3" s="34">
        <v>45913</v>
      </c>
      <c r="BF3" s="34">
        <v>45914</v>
      </c>
      <c r="BG3" s="34">
        <v>45915</v>
      </c>
      <c r="BH3" s="34">
        <v>45915</v>
      </c>
      <c r="BI3" s="34">
        <v>45915</v>
      </c>
      <c r="BJ3" s="34">
        <v>45916</v>
      </c>
      <c r="BK3" s="34">
        <v>45916</v>
      </c>
      <c r="BL3" s="34">
        <v>45916</v>
      </c>
      <c r="BM3" s="34">
        <v>45918</v>
      </c>
      <c r="BN3" s="34">
        <v>45918</v>
      </c>
      <c r="BO3" s="34">
        <v>45918</v>
      </c>
      <c r="BP3" s="34">
        <v>45918</v>
      </c>
      <c r="BQ3" s="34">
        <v>45918</v>
      </c>
      <c r="BR3" s="34">
        <v>45919</v>
      </c>
      <c r="BS3" s="34">
        <v>45919</v>
      </c>
      <c r="BT3" s="34">
        <v>45919</v>
      </c>
      <c r="BU3" s="34">
        <v>45919</v>
      </c>
      <c r="BV3" s="34">
        <v>45919</v>
      </c>
      <c r="BW3" s="34">
        <v>45920</v>
      </c>
      <c r="BX3" s="34">
        <v>45920</v>
      </c>
      <c r="BY3" s="34">
        <v>45920</v>
      </c>
      <c r="BZ3" s="34">
        <v>45920</v>
      </c>
      <c r="CA3" s="34">
        <v>45920</v>
      </c>
      <c r="CB3" s="34">
        <v>45921</v>
      </c>
      <c r="CC3" s="34">
        <v>45921</v>
      </c>
      <c r="CD3" s="34">
        <v>45921</v>
      </c>
      <c r="CE3" s="34">
        <v>45921</v>
      </c>
      <c r="CF3" s="34">
        <v>45922</v>
      </c>
      <c r="CG3" s="34">
        <v>45921</v>
      </c>
      <c r="CH3" s="34">
        <v>45922</v>
      </c>
      <c r="CI3" s="34">
        <v>45923</v>
      </c>
      <c r="CJ3" s="34">
        <v>45923</v>
      </c>
      <c r="CK3" s="34">
        <v>45924</v>
      </c>
      <c r="CL3" s="34">
        <v>45923</v>
      </c>
      <c r="CM3" s="34">
        <v>45923</v>
      </c>
      <c r="CN3" s="34">
        <v>45923</v>
      </c>
      <c r="CO3" s="34">
        <v>45925</v>
      </c>
      <c r="CP3" s="34">
        <v>45925</v>
      </c>
      <c r="CQ3" s="34">
        <v>45925</v>
      </c>
      <c r="CR3" s="34">
        <v>45929</v>
      </c>
      <c r="CS3" s="34">
        <v>45927</v>
      </c>
      <c r="CT3" s="34">
        <v>45927</v>
      </c>
      <c r="CU3" s="34">
        <v>45930</v>
      </c>
      <c r="CV3" s="34">
        <v>45930</v>
      </c>
      <c r="CW3" s="27">
        <v>45965</v>
      </c>
      <c r="CX3" s="27">
        <v>45978</v>
      </c>
      <c r="CY3" s="27">
        <v>45978</v>
      </c>
      <c r="CZ3" s="27">
        <v>45982</v>
      </c>
      <c r="DA3" s="27">
        <v>46019</v>
      </c>
      <c r="DB3" s="27">
        <v>46019</v>
      </c>
      <c r="DC3" s="27">
        <v>46019</v>
      </c>
      <c r="DD3" s="27">
        <v>46020</v>
      </c>
      <c r="DE3" s="27">
        <v>46019</v>
      </c>
      <c r="DF3" s="27"/>
      <c r="DG3" s="27"/>
      <c r="DH3" s="27"/>
      <c r="DI3" s="27"/>
      <c r="DJ3" s="27"/>
    </row>
    <row r="4" spans="1:114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111" t="s">
        <v>1423</v>
      </c>
      <c r="CX4" s="111" t="s">
        <v>1431</v>
      </c>
      <c r="CY4" s="111" t="s">
        <v>1391</v>
      </c>
      <c r="CZ4" s="111" t="s">
        <v>1372</v>
      </c>
      <c r="DA4" s="111"/>
      <c r="DB4" s="111"/>
      <c r="DC4" s="111"/>
      <c r="DD4" s="111"/>
      <c r="DE4" s="111"/>
      <c r="DF4" s="111"/>
      <c r="DG4" s="111"/>
      <c r="DH4" s="111"/>
      <c r="DI4" s="111"/>
      <c r="DJ4" s="111"/>
    </row>
    <row r="5" spans="1:114" x14ac:dyDescent="0.25">
      <c r="A5" s="5">
        <v>1</v>
      </c>
      <c r="B5" s="10">
        <v>5000000005</v>
      </c>
      <c r="C5" s="11" t="s">
        <v>11</v>
      </c>
      <c r="D5" s="8" t="s">
        <v>12</v>
      </c>
      <c r="E5" s="22"/>
      <c r="CU5" s="22">
        <v>120</v>
      </c>
      <c r="DJ5" s="22">
        <v>120</v>
      </c>
    </row>
    <row r="6" spans="1:114" x14ac:dyDescent="0.25">
      <c r="A6" s="5">
        <v>2</v>
      </c>
      <c r="B6" s="10">
        <v>1000006673</v>
      </c>
      <c r="C6" s="11" t="s">
        <v>13</v>
      </c>
      <c r="D6" s="8" t="s">
        <v>12</v>
      </c>
      <c r="E6" s="22"/>
      <c r="CP6" s="22">
        <v>1</v>
      </c>
      <c r="DJ6" s="22">
        <v>1</v>
      </c>
    </row>
    <row r="7" spans="1:114" x14ac:dyDescent="0.25">
      <c r="A7" s="5">
        <v>3</v>
      </c>
      <c r="B7" s="6">
        <v>1000006674</v>
      </c>
      <c r="C7" s="7" t="s">
        <v>14</v>
      </c>
      <c r="D7" s="8" t="s">
        <v>12</v>
      </c>
      <c r="E7" s="22"/>
      <c r="DJ7" s="22">
        <v>0</v>
      </c>
    </row>
    <row r="8" spans="1:114" x14ac:dyDescent="0.25">
      <c r="A8" s="5">
        <v>4</v>
      </c>
      <c r="B8" s="10">
        <v>4000015242</v>
      </c>
      <c r="C8" s="11" t="s">
        <v>15</v>
      </c>
      <c r="D8" s="8" t="s">
        <v>12</v>
      </c>
      <c r="E8" s="22"/>
      <c r="CP8" s="22">
        <v>2</v>
      </c>
      <c r="DJ8" s="22">
        <v>2</v>
      </c>
    </row>
    <row r="9" spans="1:114" x14ac:dyDescent="0.25">
      <c r="A9" s="9">
        <v>5</v>
      </c>
      <c r="B9" s="9">
        <v>4000015243</v>
      </c>
      <c r="C9" s="12" t="s">
        <v>16</v>
      </c>
      <c r="D9" s="9" t="s">
        <v>12</v>
      </c>
      <c r="E9" s="22"/>
      <c r="CP9" s="22">
        <v>5</v>
      </c>
      <c r="DJ9" s="22">
        <v>5</v>
      </c>
    </row>
    <row r="10" spans="1:114" x14ac:dyDescent="0.25">
      <c r="A10" s="9">
        <v>6</v>
      </c>
      <c r="B10" s="9">
        <v>4000015244</v>
      </c>
      <c r="C10" s="12" t="s">
        <v>17</v>
      </c>
      <c r="D10" s="9" t="s">
        <v>12</v>
      </c>
      <c r="E10" s="22"/>
      <c r="DJ10" s="22">
        <v>0</v>
      </c>
    </row>
    <row r="11" spans="1:114" x14ac:dyDescent="0.25">
      <c r="A11" s="9">
        <v>7</v>
      </c>
      <c r="B11" s="9">
        <v>4000015245</v>
      </c>
      <c r="C11" s="12" t="s">
        <v>18</v>
      </c>
      <c r="D11" s="9" t="s">
        <v>12</v>
      </c>
      <c r="E11" s="22"/>
      <c r="CF11" s="22">
        <v>368</v>
      </c>
      <c r="CI11" s="22">
        <v>30</v>
      </c>
      <c r="CJ11" s="22">
        <v>30</v>
      </c>
      <c r="CL11" s="22">
        <v>10</v>
      </c>
      <c r="CP11" s="22">
        <v>1</v>
      </c>
      <c r="DJ11" s="22">
        <v>439</v>
      </c>
    </row>
    <row r="12" spans="1:114" x14ac:dyDescent="0.25">
      <c r="A12" s="9">
        <v>8</v>
      </c>
      <c r="B12" s="9">
        <v>4000000224</v>
      </c>
      <c r="C12" s="12" t="s">
        <v>19</v>
      </c>
      <c r="D12" s="9" t="s">
        <v>12</v>
      </c>
      <c r="E12" s="22"/>
      <c r="DJ12" s="22">
        <v>0</v>
      </c>
    </row>
    <row r="13" spans="1:114" x14ac:dyDescent="0.25">
      <c r="A13" s="9">
        <v>9</v>
      </c>
      <c r="B13" s="9">
        <v>3000002332</v>
      </c>
      <c r="C13" s="12" t="s">
        <v>20</v>
      </c>
      <c r="D13" s="9" t="s">
        <v>12</v>
      </c>
      <c r="E13" s="22"/>
      <c r="AH13"/>
      <c r="CP13" s="22">
        <v>1</v>
      </c>
      <c r="DJ13" s="22">
        <v>1</v>
      </c>
    </row>
    <row r="14" spans="1:114" x14ac:dyDescent="0.25">
      <c r="A14" s="9">
        <v>10</v>
      </c>
      <c r="B14" s="9">
        <v>3000000010</v>
      </c>
      <c r="C14" s="12" t="s">
        <v>21</v>
      </c>
      <c r="D14" s="9" t="s">
        <v>12</v>
      </c>
      <c r="E14" s="22"/>
      <c r="DJ14" s="22">
        <v>0</v>
      </c>
    </row>
    <row r="15" spans="1:114" x14ac:dyDescent="0.25">
      <c r="A15" s="9">
        <v>11</v>
      </c>
      <c r="B15" s="9">
        <v>3000002338</v>
      </c>
      <c r="C15" s="12" t="s">
        <v>22</v>
      </c>
      <c r="D15" s="9" t="s">
        <v>12</v>
      </c>
      <c r="E15" s="22"/>
      <c r="AF15"/>
      <c r="DJ15" s="22">
        <v>0</v>
      </c>
    </row>
    <row r="16" spans="1:114" x14ac:dyDescent="0.25">
      <c r="A16" s="9">
        <v>12</v>
      </c>
      <c r="B16" s="9">
        <v>3000002322</v>
      </c>
      <c r="C16" s="12" t="s">
        <v>23</v>
      </c>
      <c r="D16" s="9" t="s">
        <v>12</v>
      </c>
      <c r="E16" s="22"/>
      <c r="DJ16" s="22">
        <v>0</v>
      </c>
    </row>
    <row r="17" spans="1:114" x14ac:dyDescent="0.25">
      <c r="A17" s="9">
        <v>13</v>
      </c>
      <c r="B17" s="9">
        <v>3000002330</v>
      </c>
      <c r="C17" s="12" t="s">
        <v>24</v>
      </c>
      <c r="D17" s="9" t="s">
        <v>12</v>
      </c>
      <c r="E17" s="22"/>
      <c r="DJ17" s="22">
        <v>0</v>
      </c>
    </row>
    <row r="18" spans="1:114" x14ac:dyDescent="0.25">
      <c r="A18" s="9">
        <v>14</v>
      </c>
      <c r="B18" s="9">
        <v>3000000012</v>
      </c>
      <c r="C18" s="12" t="s">
        <v>25</v>
      </c>
      <c r="D18" s="9" t="s">
        <v>12</v>
      </c>
      <c r="E18" s="22"/>
      <c r="CP18" s="22">
        <v>1</v>
      </c>
      <c r="DJ18" s="22">
        <v>1</v>
      </c>
    </row>
    <row r="19" spans="1:114" x14ac:dyDescent="0.25">
      <c r="A19" s="9">
        <v>15</v>
      </c>
      <c r="B19" s="9">
        <v>3000000701</v>
      </c>
      <c r="C19" s="12" t="s">
        <v>26</v>
      </c>
      <c r="D19" s="9" t="s">
        <v>12</v>
      </c>
      <c r="E19" s="22"/>
      <c r="AY19" s="22">
        <v>887</v>
      </c>
      <c r="DJ19" s="22">
        <v>887</v>
      </c>
    </row>
    <row r="20" spans="1:114" x14ac:dyDescent="0.25">
      <c r="A20" s="9">
        <v>16</v>
      </c>
      <c r="B20" s="9">
        <v>1000006667</v>
      </c>
      <c r="C20" s="12" t="s">
        <v>27</v>
      </c>
      <c r="D20" s="9" t="s">
        <v>12</v>
      </c>
      <c r="E20" s="22"/>
      <c r="AY20" s="22">
        <v>1700</v>
      </c>
      <c r="BC20" s="22">
        <v>7640</v>
      </c>
      <c r="DJ20" s="22">
        <v>9340</v>
      </c>
    </row>
    <row r="21" spans="1:114" x14ac:dyDescent="0.25">
      <c r="A21" s="9">
        <v>17</v>
      </c>
      <c r="B21" s="9">
        <v>3000000061</v>
      </c>
      <c r="C21" s="12" t="s">
        <v>28</v>
      </c>
      <c r="D21" s="9" t="s">
        <v>12</v>
      </c>
      <c r="E21" s="22"/>
      <c r="X21" s="22">
        <v>3000</v>
      </c>
      <c r="BI21" s="22">
        <v>8</v>
      </c>
      <c r="BM21" s="22">
        <v>11900</v>
      </c>
      <c r="BX21" s="22">
        <v>11470</v>
      </c>
      <c r="BY21" s="22">
        <v>6300</v>
      </c>
      <c r="DJ21" s="22">
        <v>32678</v>
      </c>
    </row>
    <row r="22" spans="1:114" x14ac:dyDescent="0.25">
      <c r="A22" s="9">
        <v>18</v>
      </c>
      <c r="B22" s="9">
        <v>3000000064</v>
      </c>
      <c r="C22" s="12" t="s">
        <v>29</v>
      </c>
      <c r="D22" s="9" t="s">
        <v>12</v>
      </c>
      <c r="E22" s="22"/>
      <c r="CX22" s="22">
        <v>2</v>
      </c>
      <c r="DJ22" s="22">
        <v>2</v>
      </c>
    </row>
    <row r="23" spans="1:114" x14ac:dyDescent="0.25">
      <c r="A23" s="9">
        <v>19</v>
      </c>
      <c r="B23" s="9">
        <v>3000000062</v>
      </c>
      <c r="C23" s="12" t="s">
        <v>30</v>
      </c>
      <c r="D23" s="9" t="s">
        <v>12</v>
      </c>
      <c r="E23" s="22"/>
      <c r="BA23" s="22">
        <v>530</v>
      </c>
      <c r="BB23" s="22">
        <v>234</v>
      </c>
      <c r="CX23" s="22">
        <v>4</v>
      </c>
      <c r="DJ23" s="22">
        <v>768</v>
      </c>
    </row>
    <row r="24" spans="1:114" x14ac:dyDescent="0.25">
      <c r="A24" s="9">
        <v>20</v>
      </c>
      <c r="B24" s="9">
        <v>3000000063</v>
      </c>
      <c r="C24" s="12" t="s">
        <v>31</v>
      </c>
      <c r="D24" s="9" t="s">
        <v>12</v>
      </c>
      <c r="E24" s="22"/>
      <c r="AJ24" s="22">
        <v>90</v>
      </c>
      <c r="AK24" s="22">
        <v>90</v>
      </c>
      <c r="AL24" s="22">
        <v>86</v>
      </c>
      <c r="AZ24" s="22">
        <v>360</v>
      </c>
      <c r="BB24" s="22">
        <v>93</v>
      </c>
      <c r="CX24" s="22">
        <v>4</v>
      </c>
      <c r="DJ24" s="22">
        <v>723</v>
      </c>
    </row>
    <row r="25" spans="1:114" x14ac:dyDescent="0.25">
      <c r="A25" s="9">
        <v>21</v>
      </c>
      <c r="B25" s="9">
        <v>3000002688</v>
      </c>
      <c r="C25" s="12" t="s">
        <v>32</v>
      </c>
      <c r="D25" s="9" t="s">
        <v>12</v>
      </c>
      <c r="E25" s="22"/>
      <c r="F25" s="22">
        <v>315</v>
      </c>
      <c r="G25" s="22">
        <v>315</v>
      </c>
      <c r="H25" s="22">
        <v>630</v>
      </c>
      <c r="I25" s="22">
        <v>315</v>
      </c>
      <c r="J25" s="22">
        <v>315</v>
      </c>
      <c r="K25" s="22">
        <v>300</v>
      </c>
      <c r="V25" s="22">
        <v>315</v>
      </c>
      <c r="W25" s="22">
        <v>315</v>
      </c>
      <c r="Y25" s="22">
        <v>315</v>
      </c>
      <c r="Z25" s="22">
        <v>315</v>
      </c>
      <c r="AY25" s="22">
        <v>24</v>
      </c>
      <c r="CX25" s="22">
        <v>132</v>
      </c>
      <c r="CZ25" s="22">
        <v>315</v>
      </c>
      <c r="DA25" s="22">
        <v>360</v>
      </c>
      <c r="DB25" s="22">
        <v>120</v>
      </c>
      <c r="DE25" s="22">
        <v>93</v>
      </c>
      <c r="DJ25" s="22">
        <v>4494</v>
      </c>
    </row>
    <row r="26" spans="1:114" x14ac:dyDescent="0.25">
      <c r="A26" s="9">
        <v>22</v>
      </c>
      <c r="B26" s="9">
        <v>3000002869</v>
      </c>
      <c r="C26" s="12" t="s">
        <v>33</v>
      </c>
      <c r="D26" s="9" t="s">
        <v>12</v>
      </c>
      <c r="E26" s="22"/>
      <c r="AA26" s="22">
        <v>180</v>
      </c>
      <c r="AB26" s="22">
        <v>177</v>
      </c>
      <c r="AC26" s="22">
        <v>183</v>
      </c>
      <c r="AD26" s="22">
        <v>180</v>
      </c>
      <c r="AJ26" s="22">
        <v>180</v>
      </c>
      <c r="AK26" s="22">
        <v>180</v>
      </c>
      <c r="AL26" s="22">
        <v>180</v>
      </c>
      <c r="AM26" s="22">
        <v>180</v>
      </c>
      <c r="AN26" s="22">
        <v>180</v>
      </c>
      <c r="AO26" s="22">
        <v>180</v>
      </c>
      <c r="AP26" s="22">
        <v>195</v>
      </c>
      <c r="AQ26" s="22">
        <v>180</v>
      </c>
      <c r="AR26" s="22">
        <v>180</v>
      </c>
      <c r="AS26" s="22">
        <v>157</v>
      </c>
      <c r="AT26" s="22">
        <v>174</v>
      </c>
      <c r="AU26" s="22">
        <v>174</v>
      </c>
      <c r="AV26" s="22">
        <v>160</v>
      </c>
      <c r="AW26" s="22">
        <v>161</v>
      </c>
      <c r="AX26" s="22">
        <v>180</v>
      </c>
      <c r="AY26" s="22">
        <v>114</v>
      </c>
      <c r="CR26" s="22">
        <v>180</v>
      </c>
      <c r="CT26" s="22">
        <v>150</v>
      </c>
      <c r="DJ26" s="22">
        <v>3805</v>
      </c>
    </row>
    <row r="27" spans="1:114" x14ac:dyDescent="0.25">
      <c r="A27" s="9">
        <v>23</v>
      </c>
      <c r="B27" s="9">
        <v>3000000068</v>
      </c>
      <c r="C27" s="12" t="s">
        <v>34</v>
      </c>
      <c r="D27" s="9" t="s">
        <v>12</v>
      </c>
      <c r="E27" s="22"/>
      <c r="U27" s="22">
        <v>4446</v>
      </c>
      <c r="X27" s="22">
        <v>176</v>
      </c>
      <c r="AA27" s="22">
        <v>6575</v>
      </c>
      <c r="AB27" s="22">
        <v>4242</v>
      </c>
      <c r="AC27" s="22">
        <v>4175</v>
      </c>
      <c r="AG27" s="22">
        <v>39</v>
      </c>
      <c r="AI27" s="22">
        <v>3000</v>
      </c>
      <c r="AY27" s="22">
        <v>24</v>
      </c>
      <c r="BC27" s="22">
        <v>240</v>
      </c>
      <c r="BM27" s="22">
        <v>192</v>
      </c>
      <c r="BX27" s="22">
        <v>192</v>
      </c>
      <c r="BY27" s="22">
        <v>9360</v>
      </c>
      <c r="DC27" s="22">
        <v>40</v>
      </c>
      <c r="DJ27" s="22">
        <v>32701</v>
      </c>
    </row>
    <row r="28" spans="1:114" x14ac:dyDescent="0.25">
      <c r="A28" s="9">
        <v>24</v>
      </c>
      <c r="B28" s="9" t="s">
        <v>35</v>
      </c>
      <c r="C28" s="12" t="s">
        <v>36</v>
      </c>
      <c r="D28" s="9" t="s">
        <v>12</v>
      </c>
      <c r="E28" s="22"/>
    </row>
    <row r="29" spans="1:114" x14ac:dyDescent="0.25">
      <c r="A29" s="9">
        <v>25</v>
      </c>
      <c r="B29" s="9">
        <v>3000001221</v>
      </c>
      <c r="C29" s="12" t="s">
        <v>37</v>
      </c>
      <c r="D29" s="9" t="s">
        <v>12</v>
      </c>
      <c r="E29" s="22"/>
    </row>
    <row r="30" spans="1:114" x14ac:dyDescent="0.25">
      <c r="A30" s="9">
        <v>26</v>
      </c>
      <c r="B30" s="9">
        <v>3000001223</v>
      </c>
      <c r="C30" s="12" t="s">
        <v>38</v>
      </c>
      <c r="D30" s="9" t="s">
        <v>12</v>
      </c>
      <c r="E30" s="22"/>
      <c r="CU30" s="22">
        <v>38</v>
      </c>
    </row>
    <row r="31" spans="1:114" x14ac:dyDescent="0.25">
      <c r="A31" s="9">
        <v>27</v>
      </c>
      <c r="B31" s="9">
        <v>3000008524</v>
      </c>
      <c r="C31" s="12" t="s">
        <v>39</v>
      </c>
      <c r="D31" s="9" t="s">
        <v>12</v>
      </c>
      <c r="E31" s="22"/>
      <c r="DJ31" s="22">
        <v>0</v>
      </c>
    </row>
    <row r="32" spans="1:114" x14ac:dyDescent="0.25">
      <c r="A32" s="9">
        <v>28</v>
      </c>
      <c r="B32" s="9">
        <v>3000000628</v>
      </c>
      <c r="C32" s="12" t="s">
        <v>40</v>
      </c>
      <c r="D32" s="9" t="s">
        <v>12</v>
      </c>
      <c r="E32" s="22"/>
      <c r="DJ32" s="22">
        <v>0</v>
      </c>
    </row>
    <row r="33" spans="1:114" x14ac:dyDescent="0.25">
      <c r="A33" s="9">
        <v>29</v>
      </c>
      <c r="B33" s="9">
        <v>5000000013</v>
      </c>
      <c r="C33" s="12" t="s">
        <v>41</v>
      </c>
      <c r="D33" s="9" t="s">
        <v>12</v>
      </c>
      <c r="E33" s="22"/>
      <c r="DJ33" s="22">
        <v>0</v>
      </c>
    </row>
    <row r="34" spans="1:114" x14ac:dyDescent="0.25">
      <c r="A34" s="9">
        <v>30</v>
      </c>
      <c r="B34" s="9">
        <v>5000000014</v>
      </c>
      <c r="C34" s="12" t="s">
        <v>42</v>
      </c>
      <c r="D34" s="9" t="s">
        <v>12</v>
      </c>
      <c r="E34" s="22"/>
      <c r="DJ34" s="22">
        <v>0</v>
      </c>
    </row>
    <row r="35" spans="1:114" x14ac:dyDescent="0.25">
      <c r="A35" s="9">
        <v>31</v>
      </c>
      <c r="B35" s="9">
        <v>5000000011</v>
      </c>
      <c r="C35" s="12" t="s">
        <v>43</v>
      </c>
      <c r="D35" s="9" t="s">
        <v>12</v>
      </c>
      <c r="E35" s="22"/>
      <c r="DJ35" s="22">
        <v>0</v>
      </c>
    </row>
    <row r="36" spans="1:114" x14ac:dyDescent="0.25">
      <c r="A36" s="9">
        <v>32</v>
      </c>
      <c r="B36" s="9">
        <v>5000000012</v>
      </c>
      <c r="C36" s="12" t="s">
        <v>44</v>
      </c>
      <c r="D36" s="9" t="s">
        <v>12</v>
      </c>
      <c r="E36" s="22"/>
      <c r="DJ36" s="22">
        <v>0</v>
      </c>
    </row>
    <row r="37" spans="1:114" x14ac:dyDescent="0.25">
      <c r="A37" s="9">
        <v>33</v>
      </c>
      <c r="B37" s="9">
        <v>3000002635</v>
      </c>
      <c r="C37" s="12" t="s">
        <v>45</v>
      </c>
      <c r="D37" s="9" t="s">
        <v>12</v>
      </c>
      <c r="E37" s="22"/>
      <c r="DJ37" s="22">
        <v>0</v>
      </c>
    </row>
    <row r="38" spans="1:114" x14ac:dyDescent="0.25">
      <c r="A38" s="9">
        <v>34</v>
      </c>
      <c r="B38" s="9">
        <v>3000000345</v>
      </c>
      <c r="C38" s="12" t="s">
        <v>46</v>
      </c>
      <c r="D38" s="9" t="s">
        <v>12</v>
      </c>
      <c r="E38" s="22"/>
      <c r="DJ38" s="22">
        <v>0</v>
      </c>
    </row>
    <row r="39" spans="1:114" x14ac:dyDescent="0.25">
      <c r="A39" s="9">
        <v>35</v>
      </c>
      <c r="B39" s="9">
        <v>3000000346</v>
      </c>
      <c r="C39" s="12" t="s">
        <v>47</v>
      </c>
      <c r="D39" s="9" t="s">
        <v>12</v>
      </c>
      <c r="E39" s="22"/>
      <c r="DJ39" s="22">
        <v>0</v>
      </c>
    </row>
    <row r="40" spans="1:114" x14ac:dyDescent="0.25">
      <c r="A40" s="9">
        <v>36</v>
      </c>
      <c r="B40" s="9">
        <v>3000000347</v>
      </c>
      <c r="C40" s="12" t="s">
        <v>48</v>
      </c>
      <c r="D40" s="9" t="s">
        <v>12</v>
      </c>
      <c r="E40" s="22"/>
      <c r="DJ40" s="22">
        <v>0</v>
      </c>
    </row>
    <row r="41" spans="1:114" x14ac:dyDescent="0.25">
      <c r="A41" s="9">
        <v>37</v>
      </c>
      <c r="B41" s="9">
        <v>3000000348</v>
      </c>
      <c r="C41" s="12" t="s">
        <v>49</v>
      </c>
      <c r="D41" s="9" t="s">
        <v>12</v>
      </c>
      <c r="E41" s="22"/>
      <c r="DJ41" s="22">
        <v>0</v>
      </c>
    </row>
    <row r="42" spans="1:114" x14ac:dyDescent="0.25">
      <c r="A42" s="9">
        <v>38</v>
      </c>
      <c r="B42" s="9">
        <v>3000000349</v>
      </c>
      <c r="C42" s="12" t="s">
        <v>50</v>
      </c>
      <c r="D42" s="9" t="s">
        <v>12</v>
      </c>
      <c r="E42" s="22"/>
      <c r="DJ42" s="22">
        <v>0</v>
      </c>
    </row>
    <row r="43" spans="1:114" x14ac:dyDescent="0.25">
      <c r="A43" s="9">
        <v>39</v>
      </c>
      <c r="B43" s="9">
        <v>3000004464</v>
      </c>
      <c r="C43" s="12" t="s">
        <v>51</v>
      </c>
      <c r="D43" s="9" t="s">
        <v>12</v>
      </c>
      <c r="E43" s="22"/>
      <c r="DJ43" s="22">
        <v>0</v>
      </c>
    </row>
    <row r="44" spans="1:114" x14ac:dyDescent="0.25">
      <c r="A44" s="9">
        <v>40</v>
      </c>
      <c r="B44" s="9">
        <v>3000000352</v>
      </c>
      <c r="C44" s="12" t="s">
        <v>52</v>
      </c>
      <c r="D44" s="9" t="s">
        <v>12</v>
      </c>
      <c r="E44" s="22"/>
      <c r="DJ44" s="22">
        <v>0</v>
      </c>
    </row>
    <row r="45" spans="1:114" x14ac:dyDescent="0.25">
      <c r="A45" s="9">
        <v>41</v>
      </c>
      <c r="B45" s="9">
        <v>3000000008</v>
      </c>
      <c r="C45" s="12" t="s">
        <v>53</v>
      </c>
      <c r="D45" s="9" t="s">
        <v>12</v>
      </c>
      <c r="E45" s="22"/>
      <c r="DJ45" s="22">
        <v>0</v>
      </c>
    </row>
    <row r="46" spans="1:114" x14ac:dyDescent="0.25">
      <c r="A46" s="9">
        <v>42</v>
      </c>
      <c r="B46" s="9">
        <v>5000000004</v>
      </c>
      <c r="C46" s="12" t="s">
        <v>54</v>
      </c>
      <c r="D46" s="9" t="s">
        <v>12</v>
      </c>
      <c r="E46" s="22"/>
      <c r="DJ46" s="22">
        <v>0</v>
      </c>
    </row>
    <row r="47" spans="1:114" x14ac:dyDescent="0.25">
      <c r="A47" s="9">
        <v>43</v>
      </c>
      <c r="B47" s="9">
        <v>5000000006</v>
      </c>
      <c r="C47" s="12" t="s">
        <v>55</v>
      </c>
      <c r="D47" s="9" t="s">
        <v>12</v>
      </c>
      <c r="E47" s="22"/>
      <c r="DJ47" s="22">
        <v>0</v>
      </c>
    </row>
    <row r="48" spans="1:114" x14ac:dyDescent="0.25">
      <c r="A48" s="9">
        <v>44</v>
      </c>
      <c r="B48" s="9" t="s">
        <v>35</v>
      </c>
      <c r="C48" s="12" t="s">
        <v>56</v>
      </c>
      <c r="D48" s="9" t="s">
        <v>12</v>
      </c>
      <c r="E48" s="22"/>
      <c r="DJ48" s="22">
        <v>0</v>
      </c>
    </row>
    <row r="49" spans="1:114" x14ac:dyDescent="0.25">
      <c r="A49" s="9">
        <v>45</v>
      </c>
      <c r="B49" s="9">
        <v>3000000354</v>
      </c>
      <c r="C49" s="12" t="s">
        <v>57</v>
      </c>
      <c r="D49" s="9" t="s">
        <v>12</v>
      </c>
      <c r="E49" s="22"/>
      <c r="DJ49" s="22">
        <v>0</v>
      </c>
    </row>
    <row r="50" spans="1:114" x14ac:dyDescent="0.25">
      <c r="A50" s="9">
        <v>46</v>
      </c>
      <c r="B50" s="9">
        <v>3000000355</v>
      </c>
      <c r="C50" s="12" t="s">
        <v>58</v>
      </c>
      <c r="D50" s="9" t="s">
        <v>12</v>
      </c>
      <c r="E50" s="22"/>
      <c r="DJ50" s="22">
        <v>0</v>
      </c>
    </row>
    <row r="51" spans="1:114" x14ac:dyDescent="0.25">
      <c r="A51" s="9">
        <v>47</v>
      </c>
      <c r="B51" s="9">
        <v>3000003069</v>
      </c>
      <c r="C51" s="12" t="s">
        <v>59</v>
      </c>
      <c r="D51" s="9" t="s">
        <v>12</v>
      </c>
      <c r="E51" s="22"/>
    </row>
    <row r="52" spans="1:114" x14ac:dyDescent="0.25">
      <c r="A52" s="9">
        <v>48</v>
      </c>
      <c r="B52" s="9">
        <v>3000000356</v>
      </c>
      <c r="C52" s="12" t="s">
        <v>60</v>
      </c>
      <c r="D52" s="9" t="s">
        <v>12</v>
      </c>
      <c r="E52" s="22"/>
      <c r="DJ52" s="22">
        <v>0</v>
      </c>
    </row>
    <row r="53" spans="1:114" x14ac:dyDescent="0.25">
      <c r="A53" s="9">
        <v>49</v>
      </c>
      <c r="B53" s="9">
        <v>3000000353</v>
      </c>
      <c r="C53" s="12" t="s">
        <v>61</v>
      </c>
      <c r="D53" s="9" t="s">
        <v>12</v>
      </c>
      <c r="E53" s="22"/>
      <c r="DJ53" s="22">
        <v>0</v>
      </c>
    </row>
    <row r="54" spans="1:114" x14ac:dyDescent="0.25">
      <c r="A54" s="9">
        <v>50</v>
      </c>
      <c r="B54" s="9">
        <v>3000000437</v>
      </c>
      <c r="C54" s="12" t="s">
        <v>62</v>
      </c>
      <c r="D54" s="9" t="s">
        <v>12</v>
      </c>
      <c r="E54" s="22"/>
      <c r="N54" s="22">
        <v>2000</v>
      </c>
      <c r="S54" s="22">
        <v>15400</v>
      </c>
      <c r="BI54" s="22">
        <v>8</v>
      </c>
      <c r="BY54" s="22">
        <v>3142</v>
      </c>
      <c r="DJ54" s="22">
        <v>20550</v>
      </c>
    </row>
    <row r="55" spans="1:114" x14ac:dyDescent="0.25">
      <c r="A55" s="9">
        <v>51</v>
      </c>
      <c r="B55" s="9">
        <v>1000005010</v>
      </c>
      <c r="C55" s="12" t="s">
        <v>63</v>
      </c>
      <c r="D55" s="9" t="s">
        <v>12</v>
      </c>
      <c r="E55" s="22"/>
      <c r="DJ55" s="22">
        <v>0</v>
      </c>
    </row>
    <row r="56" spans="1:114" x14ac:dyDescent="0.25">
      <c r="A56" s="9">
        <v>52</v>
      </c>
      <c r="B56" s="9">
        <v>1000005004</v>
      </c>
      <c r="C56" s="12" t="s">
        <v>64</v>
      </c>
      <c r="D56" s="9" t="s">
        <v>12</v>
      </c>
      <c r="E56" s="22"/>
      <c r="DJ56" s="22">
        <v>0</v>
      </c>
    </row>
    <row r="57" spans="1:114" x14ac:dyDescent="0.25">
      <c r="A57" s="9">
        <v>53</v>
      </c>
      <c r="B57" s="9">
        <v>1000005006</v>
      </c>
      <c r="C57" s="12" t="s">
        <v>65</v>
      </c>
      <c r="D57" s="9" t="s">
        <v>12</v>
      </c>
      <c r="E57" s="22"/>
      <c r="DJ57" s="22">
        <v>0</v>
      </c>
    </row>
    <row r="58" spans="1:114" x14ac:dyDescent="0.25">
      <c r="A58" s="9">
        <v>54</v>
      </c>
      <c r="B58" s="9">
        <v>1000005005</v>
      </c>
      <c r="C58" s="12" t="s">
        <v>66</v>
      </c>
      <c r="D58" s="9" t="s">
        <v>12</v>
      </c>
      <c r="E58" s="22"/>
      <c r="DJ58" s="22">
        <v>0</v>
      </c>
    </row>
    <row r="59" spans="1:114" x14ac:dyDescent="0.25">
      <c r="A59" s="9">
        <v>55</v>
      </c>
      <c r="B59" s="9">
        <v>1000006424</v>
      </c>
      <c r="C59" s="12" t="s">
        <v>67</v>
      </c>
      <c r="D59" s="9" t="s">
        <v>12</v>
      </c>
      <c r="E59" s="22"/>
      <c r="DJ59" s="22">
        <v>0</v>
      </c>
    </row>
    <row r="60" spans="1:114" x14ac:dyDescent="0.25">
      <c r="A60" s="9">
        <v>56</v>
      </c>
      <c r="B60" s="9">
        <v>1000005009</v>
      </c>
      <c r="C60" s="12" t="s">
        <v>68</v>
      </c>
      <c r="D60" s="9" t="s">
        <v>12</v>
      </c>
      <c r="E60" s="22"/>
      <c r="DJ60" s="22">
        <v>0</v>
      </c>
    </row>
    <row r="61" spans="1:114" x14ac:dyDescent="0.25">
      <c r="A61" s="9">
        <v>57</v>
      </c>
      <c r="B61" s="9">
        <v>1000005008</v>
      </c>
      <c r="C61" s="12" t="s">
        <v>69</v>
      </c>
      <c r="D61" s="9" t="s">
        <v>12</v>
      </c>
      <c r="E61" s="22"/>
      <c r="DJ61" s="22">
        <v>0</v>
      </c>
    </row>
    <row r="62" spans="1:114" x14ac:dyDescent="0.25">
      <c r="A62" s="9">
        <v>58</v>
      </c>
      <c r="B62" s="9">
        <v>1000005007</v>
      </c>
      <c r="C62" s="12" t="s">
        <v>70</v>
      </c>
      <c r="D62" s="9" t="s">
        <v>12</v>
      </c>
      <c r="E62" s="22"/>
      <c r="DJ62" s="22">
        <v>0</v>
      </c>
    </row>
    <row r="63" spans="1:114" x14ac:dyDescent="0.25">
      <c r="A63" s="9">
        <v>59</v>
      </c>
      <c r="B63" s="9">
        <v>1000005003</v>
      </c>
      <c r="C63" s="12" t="s">
        <v>71</v>
      </c>
      <c r="D63" s="9" t="s">
        <v>12</v>
      </c>
      <c r="E63" s="22"/>
      <c r="DJ63" s="22">
        <v>0</v>
      </c>
    </row>
    <row r="64" spans="1:114" x14ac:dyDescent="0.25">
      <c r="A64" s="9">
        <v>60</v>
      </c>
      <c r="B64" s="9">
        <v>1000005001</v>
      </c>
      <c r="C64" s="12" t="s">
        <v>72</v>
      </c>
      <c r="D64" s="9" t="s">
        <v>12</v>
      </c>
      <c r="E64" s="22"/>
      <c r="DJ64" s="22">
        <v>0</v>
      </c>
    </row>
    <row r="65" spans="1:114" x14ac:dyDescent="0.25">
      <c r="A65" s="9">
        <v>61</v>
      </c>
      <c r="B65" s="9">
        <v>1000005002</v>
      </c>
      <c r="C65" s="12" t="s">
        <v>73</v>
      </c>
      <c r="D65" s="9" t="s">
        <v>12</v>
      </c>
      <c r="E65" s="22"/>
      <c r="DJ65" s="22">
        <v>0</v>
      </c>
    </row>
    <row r="66" spans="1:114" x14ac:dyDescent="0.25">
      <c r="A66" s="9">
        <v>62</v>
      </c>
      <c r="B66" s="9">
        <v>1000005000</v>
      </c>
      <c r="C66" s="12" t="s">
        <v>74</v>
      </c>
      <c r="D66" s="9" t="s">
        <v>12</v>
      </c>
      <c r="E66" s="22"/>
      <c r="DJ66" s="22">
        <v>0</v>
      </c>
    </row>
    <row r="67" spans="1:114" x14ac:dyDescent="0.25">
      <c r="A67" s="9">
        <v>63</v>
      </c>
      <c r="B67" s="9">
        <v>3000002340</v>
      </c>
      <c r="C67" s="12" t="s">
        <v>75</v>
      </c>
      <c r="D67" s="9" t="s">
        <v>12</v>
      </c>
      <c r="E67" s="22"/>
      <c r="DC67" s="22">
        <v>12</v>
      </c>
      <c r="DJ67" s="22">
        <v>12</v>
      </c>
    </row>
    <row r="68" spans="1:114" x14ac:dyDescent="0.25">
      <c r="A68" s="9">
        <v>64</v>
      </c>
      <c r="B68" s="9">
        <v>3000001211</v>
      </c>
      <c r="C68" s="12" t="s">
        <v>76</v>
      </c>
      <c r="D68" s="9" t="s">
        <v>12</v>
      </c>
      <c r="E68" s="22"/>
      <c r="X68" s="22">
        <v>32</v>
      </c>
      <c r="AY68" s="22">
        <v>8</v>
      </c>
      <c r="BC68" s="22">
        <v>60</v>
      </c>
      <c r="BM68" s="22">
        <v>48</v>
      </c>
      <c r="BX68" s="22">
        <v>38</v>
      </c>
      <c r="BY68" s="22">
        <v>42</v>
      </c>
      <c r="DJ68" s="22">
        <v>228</v>
      </c>
    </row>
    <row r="69" spans="1:114" x14ac:dyDescent="0.25">
      <c r="A69" s="9">
        <v>65</v>
      </c>
      <c r="B69" s="9">
        <v>3000001212</v>
      </c>
      <c r="C69" s="12" t="s">
        <v>77</v>
      </c>
      <c r="D69" s="9" t="s">
        <v>12</v>
      </c>
      <c r="E69" s="22"/>
      <c r="U69" s="22">
        <v>38</v>
      </c>
      <c r="X69" s="22">
        <v>132</v>
      </c>
      <c r="AA69" s="22">
        <v>76</v>
      </c>
      <c r="AB69" s="22">
        <v>38</v>
      </c>
      <c r="AC69" s="22">
        <v>38</v>
      </c>
      <c r="AG69" s="22">
        <v>38</v>
      </c>
      <c r="AY69" s="22">
        <v>14</v>
      </c>
      <c r="BC69" s="22">
        <v>130</v>
      </c>
      <c r="BM69" s="22">
        <v>104</v>
      </c>
      <c r="BX69" s="22">
        <v>113</v>
      </c>
      <c r="BY69" s="22">
        <v>65</v>
      </c>
      <c r="DJ69" s="22">
        <v>786</v>
      </c>
    </row>
    <row r="70" spans="1:114" x14ac:dyDescent="0.25">
      <c r="A70" s="9">
        <v>66</v>
      </c>
      <c r="B70" s="9">
        <v>3000002341</v>
      </c>
      <c r="C70" s="12" t="s">
        <v>78</v>
      </c>
      <c r="D70" s="9" t="s">
        <v>12</v>
      </c>
      <c r="E70" s="22"/>
      <c r="L70" s="22">
        <v>1050</v>
      </c>
      <c r="U70" s="22">
        <v>50</v>
      </c>
      <c r="BY70" s="22">
        <v>13</v>
      </c>
      <c r="DC70" s="22">
        <v>22</v>
      </c>
      <c r="DJ70" s="22">
        <v>1135</v>
      </c>
    </row>
    <row r="71" spans="1:114" x14ac:dyDescent="0.25">
      <c r="A71" s="9">
        <v>67</v>
      </c>
      <c r="B71" s="9">
        <v>3000001214</v>
      </c>
      <c r="C71" s="12" t="s">
        <v>79</v>
      </c>
      <c r="D71" s="9" t="s">
        <v>12</v>
      </c>
      <c r="E71" s="22"/>
      <c r="U71" s="22">
        <v>1300</v>
      </c>
      <c r="CN71" s="22">
        <v>4</v>
      </c>
      <c r="DJ71" s="22">
        <v>1304</v>
      </c>
    </row>
    <row r="72" spans="1:114" x14ac:dyDescent="0.25">
      <c r="A72" s="9">
        <v>68</v>
      </c>
      <c r="B72" s="9">
        <v>3000001215</v>
      </c>
      <c r="C72" s="12" t="s">
        <v>80</v>
      </c>
      <c r="D72" s="9" t="s">
        <v>12</v>
      </c>
      <c r="E72" s="22"/>
      <c r="O72" s="22">
        <v>1325</v>
      </c>
      <c r="P72" s="22">
        <v>1400</v>
      </c>
      <c r="Q72" s="22">
        <v>1400</v>
      </c>
      <c r="R72" s="22">
        <v>1400</v>
      </c>
      <c r="T72" s="22">
        <v>1400</v>
      </c>
      <c r="AG72" s="22">
        <v>232</v>
      </c>
      <c r="DB72" s="22">
        <v>800</v>
      </c>
      <c r="DD72" s="22">
        <v>1000</v>
      </c>
      <c r="DE72" s="22">
        <v>800</v>
      </c>
      <c r="DJ72" s="22">
        <v>9757</v>
      </c>
    </row>
    <row r="73" spans="1:114" x14ac:dyDescent="0.25">
      <c r="A73" s="9">
        <v>69</v>
      </c>
      <c r="B73" s="9">
        <v>3000001216</v>
      </c>
      <c r="C73" s="12" t="s">
        <v>81</v>
      </c>
      <c r="D73" s="9" t="s">
        <v>12</v>
      </c>
      <c r="E73" s="22"/>
      <c r="DJ73" s="22">
        <v>0</v>
      </c>
    </row>
    <row r="74" spans="1:114" x14ac:dyDescent="0.25">
      <c r="A74" s="9">
        <v>70</v>
      </c>
      <c r="B74" s="9">
        <v>3000001217</v>
      </c>
      <c r="C74" s="12" t="s">
        <v>82</v>
      </c>
      <c r="D74" s="9" t="s">
        <v>12</v>
      </c>
      <c r="E74" s="22"/>
      <c r="DJ74" s="22">
        <v>0</v>
      </c>
    </row>
    <row r="75" spans="1:114" x14ac:dyDescent="0.25">
      <c r="A75" s="9">
        <v>71</v>
      </c>
      <c r="B75" s="9">
        <v>3000000009</v>
      </c>
      <c r="C75" s="12" t="s">
        <v>83</v>
      </c>
      <c r="D75" s="9" t="s">
        <v>12</v>
      </c>
      <c r="E75" s="22"/>
      <c r="DJ75" s="22">
        <v>0</v>
      </c>
    </row>
    <row r="76" spans="1:114" x14ac:dyDescent="0.25">
      <c r="A76" s="9">
        <v>72</v>
      </c>
      <c r="B76" s="9">
        <v>3000000011</v>
      </c>
      <c r="C76" s="12" t="s">
        <v>84</v>
      </c>
      <c r="D76" s="9" t="s">
        <v>12</v>
      </c>
      <c r="E76" s="22"/>
      <c r="DJ76" s="22">
        <v>0</v>
      </c>
    </row>
    <row r="77" spans="1:114" x14ac:dyDescent="0.25">
      <c r="A77" s="9">
        <v>73</v>
      </c>
      <c r="B77" s="9">
        <v>3000000707</v>
      </c>
      <c r="C77" s="12" t="s">
        <v>85</v>
      </c>
      <c r="D77" s="9" t="s">
        <v>12</v>
      </c>
      <c r="E77" s="22"/>
      <c r="DJ77" s="22">
        <v>0</v>
      </c>
    </row>
    <row r="78" spans="1:114" x14ac:dyDescent="0.25">
      <c r="A78" s="9">
        <v>74</v>
      </c>
      <c r="B78" s="9">
        <v>3000000301</v>
      </c>
      <c r="C78" s="12" t="s">
        <v>86</v>
      </c>
      <c r="D78" s="9" t="s">
        <v>12</v>
      </c>
      <c r="E78" s="22"/>
      <c r="DJ78" s="22">
        <v>0</v>
      </c>
    </row>
    <row r="79" spans="1:114" x14ac:dyDescent="0.25">
      <c r="A79" s="9">
        <v>75</v>
      </c>
      <c r="B79" s="9">
        <v>3000000302</v>
      </c>
      <c r="C79" s="12" t="s">
        <v>87</v>
      </c>
      <c r="D79" s="9" t="s">
        <v>12</v>
      </c>
      <c r="E79" s="22"/>
      <c r="CS79" s="22">
        <v>300</v>
      </c>
      <c r="CW79" s="22">
        <v>11</v>
      </c>
      <c r="CX79" s="22">
        <v>2</v>
      </c>
      <c r="DJ79" s="22">
        <v>313</v>
      </c>
    </row>
    <row r="80" spans="1:114" x14ac:dyDescent="0.25">
      <c r="A80" s="9">
        <v>76</v>
      </c>
      <c r="B80" s="9">
        <v>3000000303</v>
      </c>
      <c r="C80" s="12" t="s">
        <v>88</v>
      </c>
      <c r="D80" s="9" t="s">
        <v>12</v>
      </c>
      <c r="E80" s="22"/>
      <c r="AI80" s="22">
        <v>55</v>
      </c>
      <c r="CS80" s="22">
        <v>4</v>
      </c>
      <c r="CW80" s="22">
        <v>3</v>
      </c>
      <c r="CX80" s="22">
        <v>17</v>
      </c>
      <c r="DJ80" s="22">
        <v>79</v>
      </c>
    </row>
    <row r="81" spans="1:114" x14ac:dyDescent="0.25">
      <c r="A81" s="9">
        <v>77</v>
      </c>
      <c r="B81" s="9">
        <v>3000000304</v>
      </c>
      <c r="C81" s="12" t="s">
        <v>89</v>
      </c>
      <c r="D81" s="9" t="s">
        <v>12</v>
      </c>
      <c r="E81" s="22"/>
      <c r="AH81" s="22">
        <v>394</v>
      </c>
      <c r="CU81" s="22">
        <v>54</v>
      </c>
      <c r="CW81" s="22">
        <v>24</v>
      </c>
      <c r="CX81" s="22">
        <v>22</v>
      </c>
      <c r="DJ81" s="22">
        <v>494</v>
      </c>
    </row>
    <row r="82" spans="1:114" x14ac:dyDescent="0.25">
      <c r="A82" s="9">
        <v>78</v>
      </c>
      <c r="B82" s="9">
        <v>3000000305</v>
      </c>
      <c r="C82" s="12" t="s">
        <v>90</v>
      </c>
      <c r="D82" s="9" t="s">
        <v>12</v>
      </c>
      <c r="E82" s="22"/>
      <c r="CU82" s="22">
        <v>41</v>
      </c>
      <c r="CW82" s="22">
        <v>15</v>
      </c>
      <c r="CX82" s="22">
        <v>3</v>
      </c>
      <c r="DJ82" s="22">
        <v>59</v>
      </c>
    </row>
    <row r="83" spans="1:114" x14ac:dyDescent="0.25">
      <c r="A83" s="9">
        <v>79</v>
      </c>
      <c r="B83" s="9">
        <v>3000000306</v>
      </c>
      <c r="C83" s="12" t="s">
        <v>91</v>
      </c>
      <c r="D83" s="9" t="s">
        <v>12</v>
      </c>
      <c r="E83" s="22"/>
      <c r="N83" s="22">
        <v>144</v>
      </c>
      <c r="AH83" s="22">
        <v>2</v>
      </c>
      <c r="CU83" s="22">
        <v>3</v>
      </c>
      <c r="DJ83" s="22">
        <v>149</v>
      </c>
    </row>
    <row r="84" spans="1:114" x14ac:dyDescent="0.25">
      <c r="A84" s="9">
        <v>80</v>
      </c>
      <c r="B84" s="9">
        <v>3000000307</v>
      </c>
      <c r="C84" s="12" t="s">
        <v>92</v>
      </c>
      <c r="D84" s="9" t="s">
        <v>12</v>
      </c>
      <c r="E84" s="22"/>
      <c r="N84" s="22">
        <v>93</v>
      </c>
      <c r="AH84" s="22">
        <v>68</v>
      </c>
      <c r="CS84" s="22">
        <v>958</v>
      </c>
      <c r="CU84" s="22">
        <v>126</v>
      </c>
      <c r="CX84" s="22">
        <v>38</v>
      </c>
      <c r="DJ84" s="22">
        <v>1283</v>
      </c>
    </row>
    <row r="85" spans="1:114" x14ac:dyDescent="0.25">
      <c r="A85" s="9">
        <v>81</v>
      </c>
      <c r="B85" s="9">
        <v>3000000308</v>
      </c>
      <c r="C85" s="12" t="s">
        <v>93</v>
      </c>
      <c r="D85" s="9" t="s">
        <v>12</v>
      </c>
      <c r="E85" s="22"/>
      <c r="N85" s="22">
        <v>38</v>
      </c>
      <c r="AH85" s="22">
        <v>124</v>
      </c>
      <c r="CU85" s="22">
        <v>97</v>
      </c>
      <c r="CX85" s="22">
        <v>29</v>
      </c>
      <c r="DJ85" s="22">
        <v>288</v>
      </c>
    </row>
    <row r="86" spans="1:114" x14ac:dyDescent="0.25">
      <c r="A86" s="9">
        <v>82</v>
      </c>
      <c r="B86" s="9">
        <v>3000003396</v>
      </c>
      <c r="C86" s="12" t="s">
        <v>94</v>
      </c>
      <c r="D86" s="9" t="s">
        <v>12</v>
      </c>
      <c r="E86" s="22"/>
      <c r="AI86" s="22">
        <v>38</v>
      </c>
      <c r="CS86" s="22">
        <v>4</v>
      </c>
      <c r="CY86" s="22">
        <v>3</v>
      </c>
      <c r="DJ86" s="22">
        <v>45</v>
      </c>
    </row>
    <row r="87" spans="1:114" x14ac:dyDescent="0.25">
      <c r="A87" s="9">
        <v>83</v>
      </c>
      <c r="B87" s="9">
        <v>3000000309</v>
      </c>
      <c r="C87" s="12" t="s">
        <v>95</v>
      </c>
      <c r="D87" s="9" t="s">
        <v>12</v>
      </c>
      <c r="E87" s="22"/>
      <c r="L87" s="22">
        <v>771</v>
      </c>
      <c r="M87" s="22">
        <v>1239</v>
      </c>
      <c r="AH87" s="22">
        <v>277</v>
      </c>
      <c r="AI87" s="22">
        <v>148</v>
      </c>
      <c r="CU87" s="22">
        <v>748</v>
      </c>
      <c r="CX87" s="22">
        <v>35</v>
      </c>
      <c r="DJ87" s="22">
        <v>3218</v>
      </c>
    </row>
    <row r="88" spans="1:114" x14ac:dyDescent="0.25">
      <c r="A88" s="9">
        <v>84</v>
      </c>
      <c r="B88" s="9">
        <v>3000000310</v>
      </c>
      <c r="C88" s="12" t="s">
        <v>96</v>
      </c>
      <c r="D88" s="9" t="s">
        <v>12</v>
      </c>
      <c r="E88" s="22"/>
      <c r="AI88" s="22">
        <v>42</v>
      </c>
      <c r="CS88" s="22">
        <v>197</v>
      </c>
      <c r="CY88" s="22">
        <v>1</v>
      </c>
      <c r="DJ88" s="22">
        <v>240</v>
      </c>
    </row>
    <row r="89" spans="1:114" x14ac:dyDescent="0.25">
      <c r="A89" s="9">
        <v>85</v>
      </c>
      <c r="B89" s="9">
        <v>3000008517</v>
      </c>
      <c r="C89" s="12" t="s">
        <v>97</v>
      </c>
      <c r="D89" s="9" t="s">
        <v>12</v>
      </c>
      <c r="E89" s="22"/>
      <c r="DJ89" s="22">
        <v>0</v>
      </c>
    </row>
    <row r="90" spans="1:114" x14ac:dyDescent="0.25">
      <c r="A90" s="9">
        <v>86</v>
      </c>
      <c r="B90" s="9">
        <v>3000008518</v>
      </c>
      <c r="C90" s="12" t="s">
        <v>98</v>
      </c>
      <c r="D90" s="9" t="s">
        <v>12</v>
      </c>
      <c r="E90" s="22"/>
      <c r="DJ90" s="22">
        <v>0</v>
      </c>
    </row>
    <row r="91" spans="1:114" x14ac:dyDescent="0.25">
      <c r="A91" s="9">
        <v>87</v>
      </c>
      <c r="B91" s="9">
        <v>3000004960</v>
      </c>
      <c r="C91" s="12" t="s">
        <v>99</v>
      </c>
      <c r="D91" s="9" t="s">
        <v>12</v>
      </c>
      <c r="E91" s="22"/>
      <c r="DJ91" s="22">
        <v>0</v>
      </c>
    </row>
    <row r="92" spans="1:114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22"/>
      <c r="DJ92" s="22">
        <v>0</v>
      </c>
    </row>
    <row r="93" spans="1:114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22"/>
      <c r="DJ93" s="22">
        <v>0</v>
      </c>
    </row>
    <row r="94" spans="1:114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22"/>
      <c r="DJ94" s="22">
        <v>0</v>
      </c>
    </row>
    <row r="95" spans="1:114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22"/>
      <c r="DJ95" s="22">
        <v>0</v>
      </c>
    </row>
    <row r="96" spans="1:114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22"/>
      <c r="DJ96" s="22">
        <v>0</v>
      </c>
    </row>
    <row r="97" spans="1:114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22"/>
      <c r="DJ97" s="22">
        <v>0</v>
      </c>
    </row>
    <row r="98" spans="1:114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22"/>
      <c r="DJ98" s="22">
        <v>0</v>
      </c>
    </row>
    <row r="99" spans="1:114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22"/>
      <c r="DJ99" s="22">
        <v>0</v>
      </c>
    </row>
    <row r="100" spans="1:114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22"/>
      <c r="DJ100" s="22">
        <v>0</v>
      </c>
    </row>
    <row r="101" spans="1:114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22"/>
      <c r="DJ101" s="22">
        <v>0</v>
      </c>
    </row>
    <row r="102" spans="1:114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22"/>
      <c r="DJ102" s="22">
        <v>0</v>
      </c>
    </row>
    <row r="103" spans="1:114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22"/>
      <c r="DE103" s="22">
        <v>88</v>
      </c>
      <c r="DJ103" s="22">
        <v>88</v>
      </c>
    </row>
    <row r="104" spans="1:114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22"/>
      <c r="DJ104" s="22">
        <v>0</v>
      </c>
    </row>
    <row r="105" spans="1:114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22"/>
      <c r="CU105" s="22">
        <v>21</v>
      </c>
      <c r="DJ105" s="22">
        <v>21</v>
      </c>
    </row>
    <row r="106" spans="1:114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22"/>
      <c r="X106" s="22">
        <v>23000</v>
      </c>
      <c r="AA106" s="22">
        <v>2500</v>
      </c>
      <c r="DJ106" s="22">
        <v>25500</v>
      </c>
    </row>
    <row r="107" spans="1:114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22"/>
      <c r="CU107" s="22">
        <v>26</v>
      </c>
      <c r="DJ107" s="22">
        <v>26</v>
      </c>
    </row>
    <row r="108" spans="1:114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22"/>
      <c r="DJ108" s="22">
        <v>0</v>
      </c>
    </row>
    <row r="109" spans="1:114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22"/>
      <c r="U109" s="22">
        <v>32</v>
      </c>
      <c r="X109" s="22">
        <v>5828</v>
      </c>
      <c r="AA109" s="22">
        <v>64</v>
      </c>
      <c r="AB109" s="22">
        <v>32</v>
      </c>
      <c r="AC109" s="22">
        <v>32</v>
      </c>
      <c r="AD109" s="22">
        <v>5400</v>
      </c>
      <c r="AG109" s="22">
        <v>18832</v>
      </c>
      <c r="AH109" s="22">
        <v>24</v>
      </c>
      <c r="AI109" s="22">
        <v>11524</v>
      </c>
      <c r="AM109" s="22">
        <v>48</v>
      </c>
      <c r="AN109" s="22">
        <v>48</v>
      </c>
      <c r="AO109" s="22">
        <v>48</v>
      </c>
      <c r="AP109" s="22">
        <v>48</v>
      </c>
      <c r="AQ109" s="22">
        <v>32</v>
      </c>
      <c r="AR109" s="22">
        <v>48</v>
      </c>
      <c r="AS109" s="22">
        <v>48</v>
      </c>
      <c r="AT109" s="22">
        <v>24</v>
      </c>
      <c r="AU109" s="22">
        <v>72</v>
      </c>
      <c r="AV109" s="22">
        <v>48</v>
      </c>
      <c r="AW109" s="22">
        <v>48</v>
      </c>
      <c r="AX109" s="22">
        <v>72</v>
      </c>
      <c r="AY109" s="22">
        <v>16</v>
      </c>
      <c r="AZ109" s="22">
        <v>48</v>
      </c>
      <c r="BA109" s="22">
        <v>24</v>
      </c>
      <c r="BB109" s="22">
        <v>32</v>
      </c>
      <c r="BC109" s="22">
        <v>160</v>
      </c>
      <c r="BD109" s="22">
        <v>104</v>
      </c>
      <c r="BE109" s="22">
        <v>132</v>
      </c>
      <c r="BF109" s="22">
        <v>80</v>
      </c>
      <c r="BG109" s="22">
        <v>36</v>
      </c>
      <c r="BH109" s="22">
        <v>112</v>
      </c>
      <c r="BI109" s="22">
        <v>40</v>
      </c>
      <c r="BJ109" s="22">
        <v>164</v>
      </c>
      <c r="BK109" s="22">
        <v>172</v>
      </c>
      <c r="BM109" s="22">
        <v>128</v>
      </c>
      <c r="BX109" s="22">
        <v>128</v>
      </c>
      <c r="BY109" s="22">
        <v>116</v>
      </c>
      <c r="CG109" s="22">
        <v>36</v>
      </c>
      <c r="CT109" s="22">
        <v>96</v>
      </c>
      <c r="CY109" s="22">
        <v>48</v>
      </c>
      <c r="DC109" s="22">
        <v>2140</v>
      </c>
      <c r="DJ109" s="22">
        <v>46164</v>
      </c>
    </row>
    <row r="110" spans="1:114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22"/>
      <c r="DJ110" s="22">
        <v>0</v>
      </c>
    </row>
    <row r="111" spans="1:114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22"/>
      <c r="M111" s="22">
        <v>59</v>
      </c>
      <c r="N111" s="22">
        <v>56</v>
      </c>
      <c r="AI111" s="22">
        <v>5</v>
      </c>
      <c r="CG111" s="22">
        <v>8</v>
      </c>
      <c r="CW111" s="22">
        <v>6</v>
      </c>
      <c r="DJ111" s="22">
        <v>134</v>
      </c>
    </row>
    <row r="112" spans="1:114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22"/>
      <c r="M112" s="22">
        <v>59</v>
      </c>
      <c r="N112" s="22">
        <v>56</v>
      </c>
      <c r="CG112" s="22">
        <v>8</v>
      </c>
      <c r="DJ112" s="22">
        <v>123</v>
      </c>
    </row>
    <row r="113" spans="1:114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22"/>
      <c r="M113" s="22">
        <v>98</v>
      </c>
      <c r="CS113" s="22">
        <v>81</v>
      </c>
      <c r="CW113" s="22">
        <v>6</v>
      </c>
      <c r="CY113" s="22">
        <v>6</v>
      </c>
      <c r="DJ113" s="22">
        <v>191</v>
      </c>
    </row>
    <row r="114" spans="1:114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22"/>
      <c r="CS114" s="22">
        <v>4</v>
      </c>
      <c r="CV114" s="22">
        <v>30</v>
      </c>
      <c r="CW114" s="22">
        <v>107</v>
      </c>
      <c r="DJ114" s="22">
        <v>141</v>
      </c>
    </row>
    <row r="115" spans="1:114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22"/>
      <c r="AH115" s="22">
        <v>283</v>
      </c>
      <c r="CV115" s="22">
        <v>80</v>
      </c>
      <c r="DJ115" s="22">
        <v>363</v>
      </c>
    </row>
    <row r="116" spans="1:114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22"/>
      <c r="AI116" s="22">
        <v>99</v>
      </c>
      <c r="CY116" s="22">
        <v>18</v>
      </c>
      <c r="DJ116" s="22">
        <v>117</v>
      </c>
    </row>
    <row r="117" spans="1:114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22"/>
      <c r="CS117" s="22">
        <v>15</v>
      </c>
      <c r="DJ117" s="22">
        <v>15</v>
      </c>
    </row>
    <row r="118" spans="1:114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22"/>
      <c r="CG118" s="22">
        <v>4</v>
      </c>
      <c r="CW118" s="22">
        <v>5</v>
      </c>
      <c r="CY118" s="22">
        <v>8</v>
      </c>
      <c r="DJ118" s="22">
        <v>17</v>
      </c>
    </row>
    <row r="119" spans="1:114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22"/>
      <c r="M119" s="22">
        <v>222</v>
      </c>
      <c r="N119" s="22">
        <v>380</v>
      </c>
      <c r="AI119" s="22">
        <v>100</v>
      </c>
      <c r="CG119" s="22">
        <v>17</v>
      </c>
      <c r="CS119" s="22">
        <v>95</v>
      </c>
      <c r="CU119" s="22">
        <v>52</v>
      </c>
      <c r="CW119" s="22">
        <v>13</v>
      </c>
      <c r="CY119" s="22">
        <v>20</v>
      </c>
      <c r="DJ119" s="22">
        <v>899</v>
      </c>
    </row>
    <row r="120" spans="1:114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22"/>
      <c r="DJ120" s="22">
        <v>0</v>
      </c>
    </row>
    <row r="121" spans="1:114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22"/>
      <c r="DJ121" s="22">
        <v>0</v>
      </c>
    </row>
    <row r="122" spans="1:114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22"/>
      <c r="DJ122" s="22">
        <v>0</v>
      </c>
    </row>
    <row r="123" spans="1:114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22"/>
      <c r="BI123" s="22">
        <v>2</v>
      </c>
      <c r="BK123" s="22">
        <v>283</v>
      </c>
      <c r="DJ123" s="22">
        <v>285</v>
      </c>
    </row>
    <row r="124" spans="1:114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22"/>
      <c r="AU124" s="22">
        <v>302</v>
      </c>
      <c r="AX124" s="22">
        <v>302</v>
      </c>
      <c r="BD124" s="22">
        <v>600</v>
      </c>
      <c r="BF124" s="22">
        <v>300</v>
      </c>
      <c r="BJ124" s="22">
        <v>550</v>
      </c>
      <c r="BK124" s="22">
        <v>583</v>
      </c>
      <c r="CR124" s="22">
        <v>1730</v>
      </c>
      <c r="DJ124" s="22">
        <v>4367</v>
      </c>
    </row>
    <row r="125" spans="1:114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22"/>
      <c r="AU125" s="22">
        <v>859</v>
      </c>
      <c r="AX125" s="22">
        <v>830</v>
      </c>
      <c r="BD125" s="22">
        <v>584</v>
      </c>
      <c r="BE125" s="22">
        <v>600</v>
      </c>
      <c r="BF125" s="22">
        <v>300</v>
      </c>
      <c r="BJ125" s="22">
        <v>583</v>
      </c>
      <c r="BK125" s="22">
        <v>866</v>
      </c>
      <c r="CR125" s="22">
        <v>600</v>
      </c>
      <c r="CT125" s="22">
        <v>2280</v>
      </c>
      <c r="DJ125" s="22">
        <v>7502</v>
      </c>
    </row>
    <row r="126" spans="1:114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22"/>
      <c r="U126" s="22">
        <v>13</v>
      </c>
      <c r="X126" s="22">
        <v>26</v>
      </c>
      <c r="AA126" s="22">
        <v>25</v>
      </c>
      <c r="AB126" s="22">
        <v>12</v>
      </c>
      <c r="AC126" s="22">
        <v>12</v>
      </c>
      <c r="AG126" s="22">
        <v>13</v>
      </c>
      <c r="AH126" s="22">
        <v>8</v>
      </c>
      <c r="AI126" s="22">
        <v>16</v>
      </c>
      <c r="AM126" s="22">
        <v>40</v>
      </c>
      <c r="AN126" s="22">
        <v>40</v>
      </c>
      <c r="AO126" s="22">
        <v>40</v>
      </c>
      <c r="AP126" s="22">
        <v>40</v>
      </c>
      <c r="AQ126" s="22">
        <v>12</v>
      </c>
      <c r="AR126" s="22">
        <v>40</v>
      </c>
      <c r="AS126" s="22">
        <v>40</v>
      </c>
      <c r="AT126" s="22">
        <v>20</v>
      </c>
      <c r="AU126" s="22">
        <v>52</v>
      </c>
      <c r="AV126" s="22">
        <v>40</v>
      </c>
      <c r="AW126" s="22">
        <v>40</v>
      </c>
      <c r="AX126" s="22">
        <v>52</v>
      </c>
      <c r="AZ126" s="22">
        <v>40</v>
      </c>
      <c r="BA126" s="22">
        <v>20</v>
      </c>
      <c r="BB126" s="22">
        <v>12</v>
      </c>
      <c r="BC126" s="22">
        <v>60</v>
      </c>
      <c r="BD126" s="22">
        <v>64</v>
      </c>
      <c r="BE126" s="22">
        <v>82</v>
      </c>
      <c r="BF126" s="22">
        <v>50</v>
      </c>
      <c r="BG126" s="22">
        <v>30</v>
      </c>
      <c r="BH126" s="22">
        <v>70</v>
      </c>
      <c r="BJ126" s="22">
        <v>86</v>
      </c>
      <c r="BK126" s="22">
        <v>104</v>
      </c>
      <c r="BM126" s="22">
        <v>48</v>
      </c>
      <c r="BX126" s="22">
        <v>48</v>
      </c>
      <c r="BY126" s="22">
        <v>37</v>
      </c>
      <c r="CG126" s="22">
        <v>30</v>
      </c>
      <c r="CR126" s="22">
        <v>64</v>
      </c>
      <c r="CT126" s="22">
        <v>64</v>
      </c>
      <c r="CX126" s="22">
        <v>154</v>
      </c>
      <c r="DC126" s="22">
        <v>14</v>
      </c>
      <c r="DJ126" s="22">
        <v>1658</v>
      </c>
    </row>
    <row r="127" spans="1:114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22"/>
      <c r="U127" s="22">
        <v>13</v>
      </c>
      <c r="X127" s="22">
        <v>49</v>
      </c>
      <c r="AA127" s="22">
        <v>25</v>
      </c>
      <c r="AB127" s="22">
        <v>12</v>
      </c>
      <c r="AC127" s="22">
        <v>13</v>
      </c>
      <c r="AG127" s="22">
        <v>13</v>
      </c>
      <c r="AH127" s="22">
        <v>12</v>
      </c>
      <c r="AI127" s="22">
        <v>4</v>
      </c>
      <c r="AM127" s="22">
        <v>1192</v>
      </c>
      <c r="AN127" s="22">
        <v>1192</v>
      </c>
      <c r="AO127" s="22">
        <v>1192</v>
      </c>
      <c r="AP127" s="22">
        <v>1192</v>
      </c>
      <c r="AQ127" s="22">
        <v>12</v>
      </c>
      <c r="AR127" s="22">
        <v>1192</v>
      </c>
      <c r="AS127" s="22">
        <v>596</v>
      </c>
      <c r="AV127" s="22">
        <v>596</v>
      </c>
      <c r="AW127" s="22">
        <v>596</v>
      </c>
      <c r="AY127" s="22">
        <v>6</v>
      </c>
      <c r="BB127" s="22">
        <v>12</v>
      </c>
      <c r="BC127" s="22">
        <v>60</v>
      </c>
      <c r="BD127" s="22">
        <v>12</v>
      </c>
      <c r="BE127" s="22">
        <v>22</v>
      </c>
      <c r="BF127" s="22">
        <v>10</v>
      </c>
      <c r="BH127" s="22">
        <v>32</v>
      </c>
      <c r="BI127" s="22">
        <v>4</v>
      </c>
      <c r="BJ127" s="22">
        <v>2761</v>
      </c>
      <c r="BK127" s="22">
        <v>2316</v>
      </c>
      <c r="BM127" s="22">
        <v>48</v>
      </c>
      <c r="BO127" s="22">
        <v>500</v>
      </c>
      <c r="BX127" s="22">
        <v>48</v>
      </c>
      <c r="BY127" s="22">
        <v>37</v>
      </c>
      <c r="CG127" s="22">
        <v>500</v>
      </c>
      <c r="CO127" s="22">
        <v>3000</v>
      </c>
      <c r="CQ127" s="22">
        <v>2900</v>
      </c>
      <c r="CX127" s="22">
        <v>87</v>
      </c>
      <c r="DC127" s="22">
        <v>8</v>
      </c>
      <c r="DJ127" s="22">
        <v>20264</v>
      </c>
    </row>
    <row r="128" spans="1:114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22"/>
      <c r="AQ128" s="22">
        <v>721</v>
      </c>
      <c r="AS128" s="22">
        <v>596</v>
      </c>
      <c r="AT128" s="22">
        <v>596</v>
      </c>
      <c r="AU128" s="22">
        <v>596</v>
      </c>
      <c r="AV128" s="22">
        <v>596</v>
      </c>
      <c r="AW128" s="22">
        <v>596</v>
      </c>
      <c r="AX128" s="22">
        <v>596</v>
      </c>
      <c r="AZ128" s="22">
        <v>1192</v>
      </c>
      <c r="BA128" s="22">
        <v>596</v>
      </c>
      <c r="BB128" s="22">
        <v>682</v>
      </c>
      <c r="BD128" s="22">
        <v>744</v>
      </c>
      <c r="BE128" s="22">
        <v>2491</v>
      </c>
      <c r="BF128" s="22">
        <v>712</v>
      </c>
      <c r="BH128" s="22">
        <v>2434</v>
      </c>
      <c r="BI128" s="22">
        <v>2</v>
      </c>
      <c r="CG128" s="22">
        <v>1144</v>
      </c>
      <c r="CJ128" s="22">
        <v>1500</v>
      </c>
      <c r="CK128" s="22">
        <v>1500</v>
      </c>
      <c r="CO128" s="22">
        <v>500</v>
      </c>
      <c r="CQ128" s="22">
        <v>800</v>
      </c>
      <c r="CX128" s="22">
        <v>78</v>
      </c>
      <c r="DC128" s="22">
        <v>4</v>
      </c>
      <c r="DJ128" s="22">
        <v>18676</v>
      </c>
    </row>
    <row r="129" spans="1:114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22"/>
      <c r="CV129" s="22">
        <v>10</v>
      </c>
      <c r="DJ129" s="22">
        <v>10</v>
      </c>
    </row>
    <row r="130" spans="1:114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22"/>
      <c r="BI130" s="22">
        <v>1</v>
      </c>
      <c r="CV130" s="22">
        <v>20</v>
      </c>
      <c r="DJ130" s="22">
        <v>21</v>
      </c>
    </row>
    <row r="131" spans="1:114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22"/>
      <c r="DJ131" s="22">
        <v>0</v>
      </c>
    </row>
    <row r="132" spans="1:114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22"/>
      <c r="BI132" s="22">
        <v>14</v>
      </c>
      <c r="CV132" s="22">
        <v>4</v>
      </c>
      <c r="DJ132" s="22">
        <v>18</v>
      </c>
    </row>
    <row r="133" spans="1:114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22"/>
      <c r="DJ133" s="22">
        <v>0</v>
      </c>
    </row>
    <row r="134" spans="1:114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22"/>
      <c r="DJ134" s="22">
        <v>0</v>
      </c>
    </row>
    <row r="135" spans="1:114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22"/>
      <c r="AE135" s="22">
        <v>1000</v>
      </c>
      <c r="AF135" s="22">
        <v>1000</v>
      </c>
      <c r="BD135" s="22">
        <v>596</v>
      </c>
      <c r="BF135" s="22">
        <v>596</v>
      </c>
      <c r="BG135" s="22">
        <v>894</v>
      </c>
      <c r="BI135" s="22">
        <v>8</v>
      </c>
      <c r="BL135" s="22">
        <v>1800</v>
      </c>
      <c r="BN135" s="22">
        <v>1800</v>
      </c>
      <c r="BO135" s="22">
        <v>500</v>
      </c>
      <c r="BP135" s="22">
        <v>1000</v>
      </c>
      <c r="BQ135" s="22">
        <v>1000</v>
      </c>
      <c r="BR135" s="22">
        <v>1800</v>
      </c>
      <c r="BS135" s="22">
        <v>1000</v>
      </c>
      <c r="BT135" s="22">
        <v>1000</v>
      </c>
      <c r="BU135" s="22">
        <v>1000</v>
      </c>
      <c r="BV135" s="22">
        <v>1000</v>
      </c>
      <c r="BW135" s="22">
        <v>1800</v>
      </c>
      <c r="BZ135" s="22">
        <v>1000</v>
      </c>
      <c r="CA135" s="22">
        <v>1000</v>
      </c>
      <c r="CB135" s="22">
        <v>1000</v>
      </c>
      <c r="CC135" s="22">
        <v>1000</v>
      </c>
      <c r="CD135" s="22">
        <v>1000</v>
      </c>
      <c r="CE135" s="22">
        <v>1050</v>
      </c>
      <c r="CG135" s="22">
        <v>500</v>
      </c>
      <c r="CH135" s="22">
        <v>1000</v>
      </c>
      <c r="CI135" s="22">
        <v>1000</v>
      </c>
      <c r="CJ135" s="22">
        <v>500</v>
      </c>
      <c r="CK135" s="22">
        <v>550</v>
      </c>
      <c r="CL135" s="22">
        <v>1000</v>
      </c>
      <c r="CM135" s="22">
        <v>1000</v>
      </c>
      <c r="CN135" s="22">
        <v>1000</v>
      </c>
      <c r="DJ135" s="22">
        <v>30394</v>
      </c>
    </row>
    <row r="136" spans="1:114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22"/>
      <c r="DJ136" s="22">
        <v>0</v>
      </c>
    </row>
    <row r="137" spans="1:114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22"/>
      <c r="DJ137" s="22">
        <v>0</v>
      </c>
    </row>
    <row r="138" spans="1:114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22"/>
      <c r="DJ138" s="22">
        <v>0</v>
      </c>
    </row>
    <row r="139" spans="1:114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22"/>
      <c r="DJ139" s="22">
        <v>0</v>
      </c>
    </row>
    <row r="140" spans="1:114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22"/>
      <c r="DJ140" s="22">
        <v>0</v>
      </c>
    </row>
    <row r="141" spans="1:114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22"/>
      <c r="CV141" s="22">
        <v>2</v>
      </c>
      <c r="DJ141" s="22">
        <v>2</v>
      </c>
    </row>
    <row r="142" spans="1:114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22"/>
      <c r="DJ142" s="22">
        <v>0</v>
      </c>
    </row>
    <row r="143" spans="1:114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22"/>
      <c r="BM143" s="22">
        <v>10</v>
      </c>
      <c r="BX143" s="22">
        <v>2000</v>
      </c>
      <c r="DC143" s="22">
        <v>17186</v>
      </c>
      <c r="DJ143" s="22">
        <v>19196</v>
      </c>
    </row>
    <row r="144" spans="1:114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22"/>
      <c r="AI144" s="22">
        <v>6</v>
      </c>
      <c r="DJ144" s="22">
        <v>6</v>
      </c>
    </row>
    <row r="145" spans="1:114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22"/>
      <c r="AI145" s="22">
        <v>30</v>
      </c>
      <c r="DJ145" s="22">
        <v>30</v>
      </c>
    </row>
    <row r="146" spans="1:114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22"/>
      <c r="AH146" s="22">
        <v>186</v>
      </c>
      <c r="AI146" s="22">
        <v>667</v>
      </c>
      <c r="CY146" s="22">
        <v>1</v>
      </c>
      <c r="DJ146" s="22">
        <v>854</v>
      </c>
    </row>
    <row r="147" spans="1:114" x14ac:dyDescent="0.25">
      <c r="A147" s="9">
        <v>143</v>
      </c>
      <c r="B147" s="9">
        <v>3000000000</v>
      </c>
      <c r="C147" s="12" t="s">
        <v>157</v>
      </c>
      <c r="D147" s="9" t="s">
        <v>12</v>
      </c>
      <c r="E147" s="22"/>
      <c r="AH147" s="22">
        <v>28</v>
      </c>
      <c r="DJ147" s="22">
        <v>28</v>
      </c>
    </row>
    <row r="148" spans="1:114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22"/>
      <c r="AH148" s="22">
        <v>242</v>
      </c>
      <c r="DJ148" s="22">
        <v>242</v>
      </c>
    </row>
    <row r="149" spans="1:114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22"/>
      <c r="AH149" s="22">
        <v>6</v>
      </c>
      <c r="DJ149" s="22">
        <v>6</v>
      </c>
    </row>
    <row r="150" spans="1:114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22"/>
      <c r="N150" s="22">
        <v>196</v>
      </c>
      <c r="AH150" s="22">
        <v>72</v>
      </c>
      <c r="CS150" s="22">
        <v>181</v>
      </c>
      <c r="DJ150" s="22">
        <v>449</v>
      </c>
    </row>
    <row r="151" spans="1:114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22"/>
      <c r="AI151" s="22">
        <v>2</v>
      </c>
      <c r="DJ151" s="22">
        <v>2</v>
      </c>
    </row>
    <row r="152" spans="1:114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22"/>
      <c r="AH152" s="22">
        <v>639</v>
      </c>
      <c r="CU152" s="22">
        <v>17</v>
      </c>
      <c r="CY152" s="22">
        <v>2</v>
      </c>
      <c r="DJ152" s="22">
        <v>658</v>
      </c>
    </row>
    <row r="153" spans="1:114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22"/>
      <c r="CS153" s="22">
        <v>294</v>
      </c>
      <c r="CU153" s="22">
        <v>50</v>
      </c>
      <c r="CY153" s="22">
        <v>7</v>
      </c>
      <c r="DJ153" s="22">
        <v>351</v>
      </c>
    </row>
    <row r="154" spans="1:114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22"/>
      <c r="DJ154" s="22">
        <v>0</v>
      </c>
    </row>
    <row r="155" spans="1:114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22"/>
      <c r="DJ155" s="22">
        <v>0</v>
      </c>
    </row>
    <row r="156" spans="1:114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22"/>
      <c r="DJ156" s="22">
        <v>0</v>
      </c>
    </row>
    <row r="157" spans="1:114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22"/>
      <c r="DJ157" s="22">
        <v>0</v>
      </c>
    </row>
    <row r="158" spans="1:114" x14ac:dyDescent="0.25">
      <c r="A158" s="9">
        <v>154</v>
      </c>
      <c r="B158" s="9">
        <v>1000006665</v>
      </c>
      <c r="C158" s="12" t="s">
        <v>168</v>
      </c>
      <c r="D158" s="9" t="s">
        <v>12</v>
      </c>
      <c r="E158" s="22"/>
      <c r="DJ158" s="22">
        <v>0</v>
      </c>
    </row>
    <row r="159" spans="1:114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22"/>
      <c r="DJ159" s="22">
        <v>0</v>
      </c>
    </row>
    <row r="160" spans="1:114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22"/>
      <c r="DJ160" s="22">
        <v>0</v>
      </c>
    </row>
    <row r="161" spans="1:114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22"/>
      <c r="DJ161" s="22">
        <v>0</v>
      </c>
    </row>
    <row r="162" spans="1:114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22"/>
      <c r="DJ162" s="22">
        <v>0</v>
      </c>
    </row>
    <row r="163" spans="1:114" x14ac:dyDescent="0.25">
      <c r="A163" s="22">
        <v>159</v>
      </c>
      <c r="B163" s="22">
        <v>1000006662</v>
      </c>
      <c r="C163" t="s">
        <v>173</v>
      </c>
      <c r="D163" s="22" t="s">
        <v>12</v>
      </c>
      <c r="E163" s="22"/>
      <c r="BO163" s="22">
        <v>320</v>
      </c>
      <c r="DJ163" s="22">
        <v>320</v>
      </c>
    </row>
    <row r="164" spans="1:114" x14ac:dyDescent="0.25">
      <c r="A164" s="22">
        <v>160</v>
      </c>
      <c r="B164" s="22">
        <v>3000003029</v>
      </c>
      <c r="C164" t="s">
        <v>211</v>
      </c>
      <c r="D164" s="22" t="s">
        <v>12</v>
      </c>
      <c r="X164" s="22">
        <v>24</v>
      </c>
      <c r="AY164" s="22">
        <v>6</v>
      </c>
      <c r="DJ164" s="22">
        <v>30</v>
      </c>
    </row>
    <row r="165" spans="1:114" x14ac:dyDescent="0.25">
      <c r="A165" s="22">
        <v>161</v>
      </c>
      <c r="B165" s="22">
        <v>3000003029</v>
      </c>
      <c r="C165" t="s">
        <v>297</v>
      </c>
      <c r="D165" s="22" t="s">
        <v>12</v>
      </c>
      <c r="DJ165" s="22">
        <v>0</v>
      </c>
    </row>
    <row r="166" spans="1:114" x14ac:dyDescent="0.25">
      <c r="A166" s="22">
        <v>162</v>
      </c>
      <c r="B166" s="22">
        <v>1000006010</v>
      </c>
      <c r="C166" t="s">
        <v>298</v>
      </c>
      <c r="D166" s="22" t="s">
        <v>12</v>
      </c>
      <c r="DJ166" s="22">
        <v>0</v>
      </c>
    </row>
    <row r="167" spans="1:114" x14ac:dyDescent="0.25">
      <c r="A167" s="22">
        <v>163</v>
      </c>
      <c r="B167" s="22">
        <v>3000001220</v>
      </c>
      <c r="C167" t="s">
        <v>300</v>
      </c>
      <c r="D167" s="22" t="s">
        <v>12</v>
      </c>
      <c r="DJ167" s="22">
        <v>0</v>
      </c>
    </row>
    <row r="168" spans="1:114" x14ac:dyDescent="0.25">
      <c r="A168" s="22">
        <v>164</v>
      </c>
      <c r="B168" s="22">
        <v>3000001221</v>
      </c>
      <c r="C168" t="s">
        <v>302</v>
      </c>
      <c r="D168" s="22" t="s">
        <v>12</v>
      </c>
      <c r="CU168" s="22">
        <v>5</v>
      </c>
      <c r="DJ168" s="22">
        <v>5</v>
      </c>
    </row>
    <row r="169" spans="1:114" x14ac:dyDescent="0.25">
      <c r="A169" s="22">
        <v>165</v>
      </c>
      <c r="B169" s="22">
        <v>3000001223</v>
      </c>
      <c r="C169" t="s">
        <v>304</v>
      </c>
      <c r="D169" s="22" t="s">
        <v>12</v>
      </c>
      <c r="DJ169" s="22">
        <v>0</v>
      </c>
    </row>
    <row r="170" spans="1:114" x14ac:dyDescent="0.25">
      <c r="A170" s="22">
        <v>166</v>
      </c>
      <c r="B170" s="22">
        <v>3000001224</v>
      </c>
      <c r="C170" t="s">
        <v>306</v>
      </c>
      <c r="D170" s="22" t="s">
        <v>12</v>
      </c>
      <c r="CU170" s="22">
        <v>13</v>
      </c>
      <c r="DJ170" s="22">
        <v>13</v>
      </c>
    </row>
    <row r="171" spans="1:114" x14ac:dyDescent="0.25">
      <c r="A171" s="22">
        <v>167</v>
      </c>
      <c r="B171" s="22" t="s">
        <v>35</v>
      </c>
      <c r="C171" t="s">
        <v>446</v>
      </c>
      <c r="D171" s="22" t="s">
        <v>12</v>
      </c>
      <c r="DJ171" s="22">
        <v>0</v>
      </c>
    </row>
    <row r="172" spans="1:114" x14ac:dyDescent="0.25">
      <c r="A172" s="22">
        <v>168</v>
      </c>
      <c r="B172" s="22">
        <v>3000001802</v>
      </c>
      <c r="C172" t="s">
        <v>448</v>
      </c>
      <c r="D172" s="22" t="s">
        <v>12</v>
      </c>
      <c r="DJ172" s="22">
        <v>0</v>
      </c>
    </row>
    <row r="173" spans="1:114" x14ac:dyDescent="0.25">
      <c r="A173" s="22">
        <v>169</v>
      </c>
      <c r="B173" s="22" t="s">
        <v>35</v>
      </c>
      <c r="C173" t="s">
        <v>449</v>
      </c>
      <c r="D173" s="22" t="s">
        <v>12</v>
      </c>
      <c r="DJ173" s="22">
        <v>0</v>
      </c>
    </row>
    <row r="174" spans="1:114" x14ac:dyDescent="0.25">
      <c r="A174" s="22">
        <v>170</v>
      </c>
      <c r="B174" s="22" t="s">
        <v>35</v>
      </c>
      <c r="C174" t="s">
        <v>450</v>
      </c>
      <c r="D174" s="22" t="s">
        <v>12</v>
      </c>
      <c r="DJ174" s="22">
        <v>0</v>
      </c>
    </row>
    <row r="175" spans="1:114" x14ac:dyDescent="0.25">
      <c r="A175" s="22">
        <v>171</v>
      </c>
      <c r="B175" s="22" t="s">
        <v>35</v>
      </c>
      <c r="C175" t="s">
        <v>510</v>
      </c>
      <c r="D175" s="22" t="s">
        <v>12</v>
      </c>
      <c r="DJ175" s="22">
        <v>0</v>
      </c>
    </row>
    <row r="176" spans="1:114" x14ac:dyDescent="0.25">
      <c r="A176" s="22">
        <v>172</v>
      </c>
      <c r="B176" s="22" t="s">
        <v>35</v>
      </c>
      <c r="C176" t="s">
        <v>516</v>
      </c>
      <c r="D176" s="22" t="s">
        <v>12</v>
      </c>
      <c r="DJ176" s="22">
        <v>0</v>
      </c>
    </row>
    <row r="177" spans="1:114" x14ac:dyDescent="0.25">
      <c r="A177" s="22">
        <v>173</v>
      </c>
      <c r="B177" s="22" t="s">
        <v>35</v>
      </c>
      <c r="C177" t="s">
        <v>600</v>
      </c>
      <c r="D177" s="22" t="s">
        <v>12</v>
      </c>
      <c r="CU177" s="22">
        <v>40</v>
      </c>
      <c r="DJ177" s="22">
        <v>40</v>
      </c>
    </row>
    <row r="178" spans="1:114" x14ac:dyDescent="0.25">
      <c r="A178" s="22">
        <v>174</v>
      </c>
      <c r="B178" s="22" t="s">
        <v>35</v>
      </c>
      <c r="C178" t="s">
        <v>601</v>
      </c>
      <c r="D178" s="22" t="s">
        <v>12</v>
      </c>
      <c r="CU178" s="22">
        <v>45</v>
      </c>
      <c r="DJ178" s="22">
        <v>45</v>
      </c>
    </row>
  </sheetData>
  <autoFilter ref="A4:DJ178"/>
  <mergeCells count="3">
    <mergeCell ref="C1:C2"/>
    <mergeCell ref="B1:B2"/>
    <mergeCell ref="A1:A2"/>
  </mergeCells>
  <conditionalFormatting sqref="A1:XFD1">
    <cfRule type="expression" dxfId="389" priority="1" stopIfTrue="1">
      <formula>AND(ROW()&gt;=1,ROW()&lt;=1)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187"/>
  <sheetViews>
    <sheetView workbookViewId="0">
      <pane xSplit="5" topLeftCell="F1" activePane="topRight" state="frozen"/>
      <selection pane="topRight" activeCell="L13" sqref="L13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8" width="9.140625" style="22" customWidth="1"/>
    <col min="9" max="9" width="11.140625" style="22" customWidth="1"/>
    <col min="10" max="10" width="9.140625" style="22" customWidth="1"/>
    <col min="11" max="14" width="11.140625" style="22" customWidth="1"/>
    <col min="15" max="15" width="9.140625" style="22" customWidth="1"/>
  </cols>
  <sheetData>
    <row r="1" spans="1:15" ht="38.25" thickBot="1" x14ac:dyDescent="0.3">
      <c r="A1" s="149" t="s">
        <v>1</v>
      </c>
      <c r="B1" s="149" t="s">
        <v>174</v>
      </c>
      <c r="C1" s="149" t="s">
        <v>175</v>
      </c>
      <c r="D1" s="26"/>
      <c r="E1" s="27" t="s">
        <v>188</v>
      </c>
      <c r="F1" s="26" t="s">
        <v>293</v>
      </c>
      <c r="G1" s="26" t="s">
        <v>293</v>
      </c>
      <c r="H1" s="26" t="s">
        <v>293</v>
      </c>
      <c r="I1" s="26" t="s">
        <v>293</v>
      </c>
      <c r="J1" s="26" t="s">
        <v>293</v>
      </c>
      <c r="K1" s="26" t="s">
        <v>293</v>
      </c>
      <c r="L1" s="26" t="s">
        <v>293</v>
      </c>
      <c r="M1" s="26" t="s">
        <v>293</v>
      </c>
      <c r="N1" s="26" t="s">
        <v>1676</v>
      </c>
      <c r="O1" s="25" t="s">
        <v>177</v>
      </c>
    </row>
    <row r="2" spans="1:15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294</v>
      </c>
      <c r="G2" s="25" t="s">
        <v>422</v>
      </c>
      <c r="H2" s="25" t="s">
        <v>423</v>
      </c>
      <c r="I2" s="25" t="s">
        <v>452</v>
      </c>
      <c r="J2" s="25" t="s">
        <v>437</v>
      </c>
      <c r="K2" s="25" t="s">
        <v>465</v>
      </c>
      <c r="L2" s="25" t="s">
        <v>453</v>
      </c>
      <c r="M2" s="25" t="s">
        <v>466</v>
      </c>
      <c r="N2" s="25" t="s">
        <v>1677</v>
      </c>
      <c r="O2" s="25"/>
    </row>
    <row r="3" spans="1:15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27">
        <v>45886</v>
      </c>
      <c r="G3" s="27">
        <v>45888</v>
      </c>
      <c r="H3" s="27">
        <v>45888</v>
      </c>
      <c r="I3" s="34">
        <v>45888</v>
      </c>
      <c r="J3" s="27">
        <v>45891</v>
      </c>
      <c r="K3" s="34">
        <v>45893</v>
      </c>
      <c r="L3" s="34">
        <v>45894</v>
      </c>
      <c r="M3" s="34">
        <v>45895</v>
      </c>
      <c r="N3" s="34">
        <v>46037</v>
      </c>
      <c r="O3" s="27"/>
    </row>
    <row r="4" spans="1:15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1:15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O5" s="22">
        <v>0</v>
      </c>
    </row>
    <row r="6" spans="1:15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O6" s="22">
        <v>0</v>
      </c>
    </row>
    <row r="7" spans="1:15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O7" s="22">
        <v>0</v>
      </c>
    </row>
    <row r="8" spans="1:15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O8" s="22">
        <v>0</v>
      </c>
    </row>
    <row r="9" spans="1:15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O9" s="22">
        <v>0</v>
      </c>
    </row>
    <row r="10" spans="1:15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O10" s="22">
        <v>0</v>
      </c>
    </row>
    <row r="11" spans="1:15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O11" s="22">
        <v>0</v>
      </c>
    </row>
    <row r="12" spans="1:15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O12" s="22">
        <v>0</v>
      </c>
    </row>
    <row r="13" spans="1:15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O13" s="22">
        <v>0</v>
      </c>
    </row>
    <row r="14" spans="1:15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O14" s="22">
        <v>0</v>
      </c>
    </row>
    <row r="15" spans="1:15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O15" s="22">
        <v>0</v>
      </c>
    </row>
    <row r="16" spans="1:15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O16" s="22">
        <v>0</v>
      </c>
    </row>
    <row r="17" spans="1:15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O17" s="22">
        <v>0</v>
      </c>
    </row>
    <row r="18" spans="1:15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O18" s="22">
        <v>0</v>
      </c>
    </row>
    <row r="19" spans="1:15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H19" s="22">
        <v>1200</v>
      </c>
      <c r="L19" s="22">
        <v>800</v>
      </c>
      <c r="O19" s="22">
        <v>2000</v>
      </c>
    </row>
    <row r="20" spans="1:15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L20" s="22">
        <v>1000</v>
      </c>
      <c r="M20" s="22">
        <v>1000</v>
      </c>
      <c r="O20" s="22">
        <v>2000</v>
      </c>
    </row>
    <row r="21" spans="1:15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O21" s="22">
        <v>0</v>
      </c>
    </row>
    <row r="22" spans="1:15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O22" s="22">
        <v>0</v>
      </c>
    </row>
    <row r="23" spans="1:15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O23" s="22">
        <v>0</v>
      </c>
    </row>
    <row r="24" spans="1:15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O24" s="22">
        <v>0</v>
      </c>
    </row>
    <row r="25" spans="1:15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O25" s="22">
        <v>0</v>
      </c>
    </row>
    <row r="26" spans="1:15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O26" s="22">
        <v>0</v>
      </c>
    </row>
    <row r="27" spans="1:15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O27" s="22">
        <v>0</v>
      </c>
    </row>
    <row r="28" spans="1:15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O28" s="22">
        <v>0</v>
      </c>
    </row>
    <row r="29" spans="1:15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O29" s="22">
        <v>0</v>
      </c>
    </row>
    <row r="30" spans="1:15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O30" s="22">
        <v>0</v>
      </c>
    </row>
    <row r="31" spans="1:15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O31" s="22">
        <v>0</v>
      </c>
    </row>
    <row r="32" spans="1:15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O32" s="22">
        <v>0</v>
      </c>
    </row>
    <row r="33" spans="1:15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O33" s="22">
        <v>0</v>
      </c>
    </row>
    <row r="34" spans="1:15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O34" s="22">
        <v>0</v>
      </c>
    </row>
    <row r="35" spans="1:15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O35" s="22">
        <v>0</v>
      </c>
    </row>
    <row r="36" spans="1:15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O36" s="22">
        <v>0</v>
      </c>
    </row>
    <row r="37" spans="1:15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O37" s="22">
        <v>0</v>
      </c>
    </row>
    <row r="38" spans="1:15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O38" s="22">
        <v>0</v>
      </c>
    </row>
    <row r="39" spans="1:15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O39" s="22">
        <v>0</v>
      </c>
    </row>
    <row r="40" spans="1:15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O40" s="22">
        <v>0</v>
      </c>
    </row>
    <row r="41" spans="1:15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O41" s="22">
        <v>0</v>
      </c>
    </row>
    <row r="42" spans="1:15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O42" s="22">
        <v>0</v>
      </c>
    </row>
    <row r="43" spans="1:15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O43" s="22">
        <v>0</v>
      </c>
    </row>
    <row r="44" spans="1:15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O44" s="22">
        <v>0</v>
      </c>
    </row>
    <row r="45" spans="1:15" x14ac:dyDescent="0.25">
      <c r="A45" s="9">
        <v>41</v>
      </c>
      <c r="B45" s="9">
        <v>3000000008</v>
      </c>
      <c r="C45" s="12" t="s">
        <v>53</v>
      </c>
      <c r="D45" s="9" t="s">
        <v>12</v>
      </c>
      <c r="E45" s="36"/>
      <c r="O45" s="22">
        <v>0</v>
      </c>
    </row>
    <row r="46" spans="1:15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O46" s="22">
        <v>0</v>
      </c>
    </row>
    <row r="47" spans="1:15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O47" s="22">
        <v>0</v>
      </c>
    </row>
    <row r="48" spans="1:15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O48" s="22">
        <v>0</v>
      </c>
    </row>
    <row r="49" spans="1:15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O49" s="22">
        <v>0</v>
      </c>
    </row>
    <row r="50" spans="1:15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O50" s="22">
        <v>0</v>
      </c>
    </row>
    <row r="51" spans="1:15" x14ac:dyDescent="0.25">
      <c r="A51" s="9">
        <v>47</v>
      </c>
      <c r="B51" s="9">
        <v>3000003069</v>
      </c>
      <c r="C51" s="12" t="s">
        <v>295</v>
      </c>
      <c r="D51" s="9" t="s">
        <v>12</v>
      </c>
      <c r="E51" s="36"/>
      <c r="O51" s="22">
        <v>0</v>
      </c>
    </row>
    <row r="52" spans="1:15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O52" s="22">
        <v>0</v>
      </c>
    </row>
    <row r="53" spans="1:15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O53" s="22">
        <v>0</v>
      </c>
    </row>
    <row r="54" spans="1:15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O54" s="22">
        <v>0</v>
      </c>
    </row>
    <row r="55" spans="1:15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O55" s="22">
        <v>0</v>
      </c>
    </row>
    <row r="56" spans="1:15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O56" s="22">
        <v>0</v>
      </c>
    </row>
    <row r="57" spans="1:15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O57" s="22">
        <v>0</v>
      </c>
    </row>
    <row r="58" spans="1:15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O58" s="22">
        <v>0</v>
      </c>
    </row>
    <row r="59" spans="1:15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O59" s="22">
        <v>0</v>
      </c>
    </row>
    <row r="60" spans="1:15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O60" s="22">
        <v>0</v>
      </c>
    </row>
    <row r="61" spans="1:15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O61" s="22">
        <v>0</v>
      </c>
    </row>
    <row r="62" spans="1:15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O62" s="22">
        <v>0</v>
      </c>
    </row>
    <row r="63" spans="1:15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O63" s="22">
        <v>0</v>
      </c>
    </row>
    <row r="64" spans="1:15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O64" s="22">
        <v>0</v>
      </c>
    </row>
    <row r="65" spans="1:15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O65" s="22">
        <v>0</v>
      </c>
    </row>
    <row r="66" spans="1:15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O66" s="22">
        <v>0</v>
      </c>
    </row>
    <row r="67" spans="1:15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O67" s="22">
        <v>0</v>
      </c>
    </row>
    <row r="68" spans="1:15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O68" s="22">
        <v>0</v>
      </c>
    </row>
    <row r="69" spans="1:15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O69" s="22">
        <v>0</v>
      </c>
    </row>
    <row r="70" spans="1:15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O70" s="22">
        <v>0</v>
      </c>
    </row>
    <row r="71" spans="1:15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O71" s="22">
        <v>0</v>
      </c>
    </row>
    <row r="72" spans="1:15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O72" s="22">
        <v>0</v>
      </c>
    </row>
    <row r="73" spans="1:15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O73" s="22">
        <v>0</v>
      </c>
    </row>
    <row r="74" spans="1:15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O74" s="22">
        <v>0</v>
      </c>
    </row>
    <row r="75" spans="1:15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O75" s="22">
        <v>0</v>
      </c>
    </row>
    <row r="76" spans="1:15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O76" s="22">
        <v>0</v>
      </c>
    </row>
    <row r="77" spans="1:15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O77" s="22">
        <v>0</v>
      </c>
    </row>
    <row r="78" spans="1:15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O78" s="22">
        <v>0</v>
      </c>
    </row>
    <row r="79" spans="1:15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I79" s="22">
        <v>500</v>
      </c>
      <c r="O79" s="22">
        <v>500</v>
      </c>
    </row>
    <row r="80" spans="1:15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O80" s="22">
        <v>0</v>
      </c>
    </row>
    <row r="81" spans="1:15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O81" s="22">
        <v>0</v>
      </c>
    </row>
    <row r="82" spans="1:15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F82" s="22">
        <v>450</v>
      </c>
      <c r="G82" s="22">
        <v>450</v>
      </c>
      <c r="H82" s="22">
        <v>300</v>
      </c>
      <c r="O82" s="22">
        <v>1200</v>
      </c>
    </row>
    <row r="83" spans="1:15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O83" s="22">
        <v>0</v>
      </c>
    </row>
    <row r="84" spans="1:15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O84" s="22">
        <v>0</v>
      </c>
    </row>
    <row r="85" spans="1:15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F85" s="22">
        <v>450</v>
      </c>
      <c r="G85" s="22">
        <v>450</v>
      </c>
      <c r="H85" s="22">
        <v>300</v>
      </c>
      <c r="K85" s="22">
        <v>800</v>
      </c>
      <c r="O85" s="22">
        <v>2000</v>
      </c>
    </row>
    <row r="86" spans="1:15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O86" s="22">
        <v>0</v>
      </c>
    </row>
    <row r="87" spans="1:15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I87" s="22">
        <v>900</v>
      </c>
      <c r="J87" s="22">
        <v>225</v>
      </c>
      <c r="K87" s="22">
        <v>450</v>
      </c>
      <c r="L87" s="22">
        <v>450</v>
      </c>
      <c r="M87" s="22">
        <v>475</v>
      </c>
      <c r="O87" s="22">
        <v>2500</v>
      </c>
    </row>
    <row r="88" spans="1:15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O88" s="22">
        <v>0</v>
      </c>
    </row>
    <row r="89" spans="1:15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O89" s="22">
        <v>0</v>
      </c>
    </row>
    <row r="90" spans="1:15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O90" s="22">
        <v>0</v>
      </c>
    </row>
    <row r="91" spans="1:15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O91" s="22">
        <v>0</v>
      </c>
    </row>
    <row r="92" spans="1:15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O92" s="22">
        <v>0</v>
      </c>
    </row>
    <row r="93" spans="1:15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O93" s="22">
        <v>0</v>
      </c>
    </row>
    <row r="94" spans="1:15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O94" s="22">
        <v>0</v>
      </c>
    </row>
    <row r="95" spans="1:15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O95" s="22">
        <v>0</v>
      </c>
    </row>
    <row r="96" spans="1:15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O96" s="22">
        <v>0</v>
      </c>
    </row>
    <row r="97" spans="1:15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O97" s="22">
        <v>0</v>
      </c>
    </row>
    <row r="98" spans="1:15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O98" s="22">
        <v>0</v>
      </c>
    </row>
    <row r="99" spans="1:15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O99" s="22">
        <v>0</v>
      </c>
    </row>
    <row r="100" spans="1:15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O100" s="22">
        <v>0</v>
      </c>
    </row>
    <row r="101" spans="1:15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O101" s="22">
        <v>0</v>
      </c>
    </row>
    <row r="102" spans="1:15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O102" s="22">
        <v>0</v>
      </c>
    </row>
    <row r="103" spans="1:15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O103" s="22">
        <v>0</v>
      </c>
    </row>
    <row r="104" spans="1:15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O104" s="22">
        <v>0</v>
      </c>
    </row>
    <row r="105" spans="1:15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O105" s="22">
        <v>0</v>
      </c>
    </row>
    <row r="106" spans="1:15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O106" s="22">
        <v>0</v>
      </c>
    </row>
    <row r="107" spans="1:15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O107" s="22">
        <v>0</v>
      </c>
    </row>
    <row r="108" spans="1:15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O108" s="22">
        <v>0</v>
      </c>
    </row>
    <row r="109" spans="1:15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O109" s="22">
        <v>0</v>
      </c>
    </row>
    <row r="110" spans="1:15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O110" s="22">
        <v>0</v>
      </c>
    </row>
    <row r="111" spans="1:15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H111" s="22">
        <v>1500</v>
      </c>
      <c r="K111" s="22">
        <v>2500</v>
      </c>
      <c r="L111" s="22">
        <v>1000</v>
      </c>
      <c r="O111" s="22">
        <v>5000</v>
      </c>
    </row>
    <row r="112" spans="1:15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O112" s="22">
        <v>0</v>
      </c>
    </row>
    <row r="113" spans="1:15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J113" s="22">
        <v>300</v>
      </c>
      <c r="O113" s="22">
        <v>300</v>
      </c>
    </row>
    <row r="114" spans="1:15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M114" s="22">
        <v>500</v>
      </c>
      <c r="O114" s="22">
        <v>500</v>
      </c>
    </row>
    <row r="115" spans="1:15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O115" s="22">
        <v>0</v>
      </c>
    </row>
    <row r="116" spans="1:15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M116" s="22">
        <v>500</v>
      </c>
      <c r="O116" s="22">
        <v>500</v>
      </c>
    </row>
    <row r="117" spans="1:15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O117" s="22">
        <v>0</v>
      </c>
    </row>
    <row r="118" spans="1:15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M118" s="22">
        <v>100</v>
      </c>
      <c r="O118" s="22">
        <v>100</v>
      </c>
    </row>
    <row r="119" spans="1:15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F119" s="22">
        <v>375</v>
      </c>
      <c r="G119" s="22">
        <v>375</v>
      </c>
      <c r="H119" s="22">
        <v>750</v>
      </c>
      <c r="I119" s="22">
        <v>750</v>
      </c>
      <c r="J119" s="22">
        <v>250</v>
      </c>
      <c r="O119" s="22">
        <v>2500</v>
      </c>
    </row>
    <row r="120" spans="1:15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O120" s="22">
        <v>0</v>
      </c>
    </row>
    <row r="121" spans="1:15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O121" s="22">
        <v>0</v>
      </c>
    </row>
    <row r="122" spans="1:15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O122" s="22">
        <v>0</v>
      </c>
    </row>
    <row r="123" spans="1:15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O123" s="22">
        <v>0</v>
      </c>
    </row>
    <row r="124" spans="1:15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O124" s="22">
        <v>0</v>
      </c>
    </row>
    <row r="125" spans="1:15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O125" s="22">
        <v>0</v>
      </c>
    </row>
    <row r="126" spans="1:15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O126" s="22">
        <v>0</v>
      </c>
    </row>
    <row r="127" spans="1:15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O127" s="22">
        <v>0</v>
      </c>
    </row>
    <row r="128" spans="1:15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O128" s="22">
        <v>0</v>
      </c>
    </row>
    <row r="129" spans="1:15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O129" s="22">
        <v>0</v>
      </c>
    </row>
    <row r="130" spans="1:15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O130" s="22">
        <v>0</v>
      </c>
    </row>
    <row r="131" spans="1:15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O131" s="22">
        <v>0</v>
      </c>
    </row>
    <row r="132" spans="1:15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O132" s="22">
        <v>0</v>
      </c>
    </row>
    <row r="133" spans="1:15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O133" s="22">
        <v>0</v>
      </c>
    </row>
    <row r="134" spans="1:15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O134" s="22">
        <v>0</v>
      </c>
    </row>
    <row r="135" spans="1:15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O135" s="22">
        <v>0</v>
      </c>
    </row>
    <row r="136" spans="1:15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O136" s="22">
        <v>0</v>
      </c>
    </row>
    <row r="137" spans="1:15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O137" s="22">
        <v>0</v>
      </c>
    </row>
    <row r="138" spans="1:15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O138" s="22">
        <v>0</v>
      </c>
    </row>
    <row r="139" spans="1:15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O139" s="22">
        <v>0</v>
      </c>
    </row>
    <row r="140" spans="1:15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O140" s="22">
        <v>0</v>
      </c>
    </row>
    <row r="141" spans="1:15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O141" s="22">
        <v>0</v>
      </c>
    </row>
    <row r="142" spans="1:15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O142" s="22">
        <v>0</v>
      </c>
    </row>
    <row r="143" spans="1:15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O143" s="22">
        <v>0</v>
      </c>
    </row>
    <row r="144" spans="1:15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J144" s="22">
        <v>100</v>
      </c>
      <c r="O144" s="22">
        <v>100</v>
      </c>
    </row>
    <row r="145" spans="1:15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O145" s="22">
        <v>0</v>
      </c>
    </row>
    <row r="146" spans="1:15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O146" s="22">
        <v>0</v>
      </c>
    </row>
    <row r="147" spans="1:15" x14ac:dyDescent="0.25">
      <c r="A147" s="9">
        <v>143</v>
      </c>
      <c r="B147" s="9">
        <v>3000000000</v>
      </c>
      <c r="C147" s="12" t="s">
        <v>157</v>
      </c>
      <c r="D147" s="9" t="s">
        <v>12</v>
      </c>
      <c r="E147" s="36"/>
      <c r="J147" s="22">
        <v>100</v>
      </c>
      <c r="K147" s="22">
        <v>100</v>
      </c>
      <c r="M147" s="22">
        <v>300</v>
      </c>
      <c r="O147" s="22">
        <v>500</v>
      </c>
    </row>
    <row r="148" spans="1:15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O148" s="22">
        <v>0</v>
      </c>
    </row>
    <row r="149" spans="1:15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O149" s="22">
        <v>0</v>
      </c>
    </row>
    <row r="150" spans="1:15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K150" s="22">
        <v>700</v>
      </c>
      <c r="O150" s="22">
        <v>700</v>
      </c>
    </row>
    <row r="151" spans="1:15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O151" s="22">
        <v>0</v>
      </c>
    </row>
    <row r="152" spans="1:15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M152" s="22">
        <v>500</v>
      </c>
      <c r="O152" s="22">
        <v>500</v>
      </c>
    </row>
    <row r="153" spans="1:15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O153" s="22">
        <v>0</v>
      </c>
    </row>
    <row r="154" spans="1:15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O154" s="22">
        <v>0</v>
      </c>
    </row>
    <row r="155" spans="1:15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O155" s="22">
        <v>0</v>
      </c>
    </row>
    <row r="156" spans="1:15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O156" s="22">
        <v>0</v>
      </c>
    </row>
    <row r="157" spans="1:15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O157" s="22">
        <v>0</v>
      </c>
    </row>
    <row r="158" spans="1:15" x14ac:dyDescent="0.25">
      <c r="A158" s="9">
        <v>154</v>
      </c>
      <c r="B158" s="9">
        <v>1000006665</v>
      </c>
      <c r="C158" s="12" t="s">
        <v>168</v>
      </c>
      <c r="D158" s="9" t="s">
        <v>12</v>
      </c>
      <c r="E158" s="36"/>
      <c r="O158" s="22">
        <v>0</v>
      </c>
    </row>
    <row r="159" spans="1:15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O159" s="22">
        <v>0</v>
      </c>
    </row>
    <row r="160" spans="1:15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O160" s="22">
        <v>0</v>
      </c>
    </row>
    <row r="161" spans="1:15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O161" s="22">
        <v>0</v>
      </c>
    </row>
    <row r="162" spans="1:15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O162" s="22">
        <v>0</v>
      </c>
    </row>
    <row r="163" spans="1:15" x14ac:dyDescent="0.25">
      <c r="A163" s="9">
        <v>159</v>
      </c>
      <c r="B163" s="9">
        <v>1000006662</v>
      </c>
      <c r="C163" s="12" t="s">
        <v>173</v>
      </c>
      <c r="D163" s="9" t="s">
        <v>12</v>
      </c>
      <c r="E163" s="36"/>
      <c r="O163" s="22">
        <v>0</v>
      </c>
    </row>
    <row r="164" spans="1:15" x14ac:dyDescent="0.25">
      <c r="A164" s="22">
        <v>160</v>
      </c>
      <c r="B164" s="22">
        <v>3000003029</v>
      </c>
      <c r="C164" t="s">
        <v>211</v>
      </c>
      <c r="D164" s="22" t="s">
        <v>12</v>
      </c>
      <c r="O164" s="22">
        <v>0</v>
      </c>
    </row>
    <row r="165" spans="1:15" x14ac:dyDescent="0.25">
      <c r="A165" s="22">
        <v>161</v>
      </c>
      <c r="B165" s="22" t="s">
        <v>296</v>
      </c>
      <c r="C165" t="s">
        <v>297</v>
      </c>
      <c r="D165" s="22" t="s">
        <v>12</v>
      </c>
      <c r="O165" s="22">
        <v>0</v>
      </c>
    </row>
    <row r="166" spans="1:15" x14ac:dyDescent="0.25">
      <c r="A166" s="22">
        <v>162</v>
      </c>
      <c r="B166" s="22">
        <v>1000006010</v>
      </c>
      <c r="C166" t="s">
        <v>298</v>
      </c>
      <c r="D166" s="22" t="s">
        <v>12</v>
      </c>
      <c r="O166" s="22">
        <v>0</v>
      </c>
    </row>
    <row r="167" spans="1:15" x14ac:dyDescent="0.25">
      <c r="A167" s="22">
        <v>163</v>
      </c>
      <c r="B167" s="22" t="s">
        <v>299</v>
      </c>
      <c r="C167" t="s">
        <v>300</v>
      </c>
      <c r="D167" s="22" t="s">
        <v>12</v>
      </c>
      <c r="O167" s="22">
        <v>0</v>
      </c>
    </row>
    <row r="168" spans="1:15" x14ac:dyDescent="0.25">
      <c r="A168" s="22">
        <v>164</v>
      </c>
      <c r="B168" s="22" t="s">
        <v>301</v>
      </c>
      <c r="C168" t="s">
        <v>302</v>
      </c>
      <c r="D168" s="22" t="s">
        <v>12</v>
      </c>
      <c r="O168" s="22">
        <v>0</v>
      </c>
    </row>
    <row r="169" spans="1:15" x14ac:dyDescent="0.25">
      <c r="A169" s="22">
        <v>165</v>
      </c>
      <c r="B169" s="22" t="s">
        <v>303</v>
      </c>
      <c r="C169" t="s">
        <v>304</v>
      </c>
      <c r="D169" s="22" t="s">
        <v>12</v>
      </c>
      <c r="O169" s="22">
        <v>0</v>
      </c>
    </row>
    <row r="170" spans="1:15" x14ac:dyDescent="0.25">
      <c r="A170" s="22">
        <v>166</v>
      </c>
      <c r="B170" s="22" t="s">
        <v>305</v>
      </c>
      <c r="C170" t="s">
        <v>306</v>
      </c>
      <c r="D170" s="22" t="s">
        <v>12</v>
      </c>
      <c r="O170" s="22">
        <v>0</v>
      </c>
    </row>
    <row r="171" spans="1:15" x14ac:dyDescent="0.25">
      <c r="A171" s="22">
        <v>167</v>
      </c>
      <c r="B171" s="22" t="s">
        <v>35</v>
      </c>
      <c r="C171" t="s">
        <v>446</v>
      </c>
      <c r="D171" s="22" t="s">
        <v>12</v>
      </c>
      <c r="O171" s="22">
        <v>0</v>
      </c>
    </row>
    <row r="172" spans="1:15" x14ac:dyDescent="0.25">
      <c r="A172" s="22">
        <v>168</v>
      </c>
      <c r="B172" s="22" t="s">
        <v>447</v>
      </c>
      <c r="C172" t="s">
        <v>448</v>
      </c>
      <c r="D172" s="22" t="s">
        <v>12</v>
      </c>
      <c r="O172" s="22">
        <v>0</v>
      </c>
    </row>
    <row r="173" spans="1:15" x14ac:dyDescent="0.25">
      <c r="A173" s="22">
        <v>169</v>
      </c>
      <c r="B173" s="22" t="s">
        <v>35</v>
      </c>
      <c r="C173" t="s">
        <v>449</v>
      </c>
      <c r="D173" s="22" t="s">
        <v>12</v>
      </c>
      <c r="O173" s="22">
        <v>0</v>
      </c>
    </row>
    <row r="174" spans="1:15" x14ac:dyDescent="0.25">
      <c r="A174" s="22">
        <v>170</v>
      </c>
      <c r="B174" s="22" t="s">
        <v>35</v>
      </c>
      <c r="C174" t="s">
        <v>450</v>
      </c>
      <c r="D174" s="22" t="s">
        <v>12</v>
      </c>
      <c r="O174" s="22">
        <v>0</v>
      </c>
    </row>
    <row r="175" spans="1:15" x14ac:dyDescent="0.25">
      <c r="A175" s="22">
        <v>171</v>
      </c>
      <c r="B175" s="22" t="s">
        <v>35</v>
      </c>
      <c r="C175" t="s">
        <v>510</v>
      </c>
      <c r="D175" s="22" t="s">
        <v>12</v>
      </c>
      <c r="O175" s="22">
        <v>0</v>
      </c>
    </row>
    <row r="176" spans="1:15" x14ac:dyDescent="0.25">
      <c r="A176" s="22">
        <v>172</v>
      </c>
      <c r="B176" s="22" t="s">
        <v>35</v>
      </c>
      <c r="C176" t="s">
        <v>516</v>
      </c>
      <c r="D176" s="22" t="s">
        <v>12</v>
      </c>
      <c r="O176" s="22">
        <v>0</v>
      </c>
    </row>
    <row r="177" spans="1:15" x14ac:dyDescent="0.25">
      <c r="A177" s="22">
        <v>173</v>
      </c>
      <c r="B177" s="22" t="s">
        <v>35</v>
      </c>
      <c r="C177" t="s">
        <v>600</v>
      </c>
      <c r="D177" s="22" t="s">
        <v>12</v>
      </c>
      <c r="O177" s="22">
        <v>0</v>
      </c>
    </row>
    <row r="178" spans="1:15" x14ac:dyDescent="0.25">
      <c r="A178" s="22">
        <v>174</v>
      </c>
      <c r="B178" s="22" t="s">
        <v>35</v>
      </c>
      <c r="C178" t="s">
        <v>601</v>
      </c>
      <c r="D178" s="22" t="s">
        <v>12</v>
      </c>
      <c r="O178" s="22">
        <v>0</v>
      </c>
    </row>
    <row r="179" spans="1:15" x14ac:dyDescent="0.25">
      <c r="A179" s="22">
        <v>99</v>
      </c>
      <c r="B179" s="22" t="s">
        <v>35</v>
      </c>
      <c r="C179" t="s">
        <v>1383</v>
      </c>
      <c r="D179" s="22" t="s">
        <v>12</v>
      </c>
      <c r="O179" s="22">
        <v>0</v>
      </c>
    </row>
    <row r="180" spans="1:15" x14ac:dyDescent="0.25">
      <c r="A180" s="22">
        <v>99</v>
      </c>
      <c r="B180" s="22" t="s">
        <v>35</v>
      </c>
      <c r="C180" t="s">
        <v>1557</v>
      </c>
      <c r="D180" s="22" t="s">
        <v>12</v>
      </c>
      <c r="O180" s="22">
        <v>0</v>
      </c>
    </row>
    <row r="181" spans="1:15" x14ac:dyDescent="0.25">
      <c r="A181" s="22">
        <v>101</v>
      </c>
      <c r="B181" s="22">
        <v>3000000008</v>
      </c>
      <c r="C181" t="s">
        <v>1565</v>
      </c>
      <c r="D181" s="22" t="s">
        <v>12</v>
      </c>
      <c r="O181" s="22">
        <v>0</v>
      </c>
    </row>
    <row r="182" spans="1:15" x14ac:dyDescent="0.25">
      <c r="A182" s="22">
        <v>178</v>
      </c>
      <c r="B182" s="22" t="s">
        <v>35</v>
      </c>
      <c r="C182" t="s">
        <v>1662</v>
      </c>
      <c r="D182" s="22" t="s">
        <v>12</v>
      </c>
      <c r="O182" s="22">
        <v>0</v>
      </c>
    </row>
    <row r="183" spans="1:15" x14ac:dyDescent="0.25">
      <c r="A183" s="22">
        <v>80</v>
      </c>
      <c r="B183" s="22" t="s">
        <v>35</v>
      </c>
      <c r="C183" t="s">
        <v>1574</v>
      </c>
      <c r="D183" s="22" t="s">
        <v>12</v>
      </c>
      <c r="O183" s="22">
        <v>0</v>
      </c>
    </row>
    <row r="184" spans="1:15" x14ac:dyDescent="0.25">
      <c r="A184" s="22">
        <v>81</v>
      </c>
      <c r="B184" s="22">
        <v>1000014673</v>
      </c>
      <c r="C184" t="s">
        <v>1575</v>
      </c>
      <c r="D184" s="22" t="s">
        <v>12</v>
      </c>
      <c r="O184" s="22">
        <v>0</v>
      </c>
    </row>
    <row r="185" spans="1:15" x14ac:dyDescent="0.25">
      <c r="A185" s="22">
        <v>181</v>
      </c>
      <c r="B185" s="22">
        <v>4000021502</v>
      </c>
      <c r="C185" t="s">
        <v>1576</v>
      </c>
      <c r="D185" s="22" t="s">
        <v>12</v>
      </c>
      <c r="O185" s="22">
        <v>0</v>
      </c>
    </row>
    <row r="186" spans="1:15" x14ac:dyDescent="0.25">
      <c r="A186" s="22">
        <v>100</v>
      </c>
      <c r="B186" s="22">
        <v>3000002696</v>
      </c>
      <c r="C186" t="s">
        <v>1580</v>
      </c>
      <c r="D186" s="22" t="s">
        <v>12</v>
      </c>
      <c r="O186" s="22">
        <v>0</v>
      </c>
    </row>
    <row r="187" spans="1:15" x14ac:dyDescent="0.25">
      <c r="A187" s="22">
        <v>101</v>
      </c>
      <c r="B187" s="22">
        <v>3000000707</v>
      </c>
      <c r="C187" t="s">
        <v>1618</v>
      </c>
      <c r="D187" s="22" t="s">
        <v>12</v>
      </c>
      <c r="N187" s="22">
        <v>50</v>
      </c>
      <c r="O187" s="22">
        <v>50</v>
      </c>
    </row>
  </sheetData>
  <autoFilter ref="A4:O163"/>
  <mergeCells count="3">
    <mergeCell ref="A1:A2"/>
    <mergeCell ref="B1:B2"/>
    <mergeCell ref="C1:C2"/>
  </mergeCells>
  <conditionalFormatting sqref="A13:XFD13">
    <cfRule type="expression" dxfId="388" priority="1" stopIfTrue="1">
      <formula>AND(ROW()&gt;=13,ROW()&lt;=13)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70"/>
  <sheetViews>
    <sheetView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F31" sqref="F31"/>
    </sheetView>
  </sheetViews>
  <sheetFormatPr defaultRowHeight="15" x14ac:dyDescent="0.25"/>
  <cols>
    <col min="1" max="1" width="14.42578125" style="22" customWidth="1"/>
    <col min="2" max="2" width="13.140625" style="22" bestFit="1" customWidth="1"/>
    <col min="3" max="3" width="48" style="62" bestFit="1" customWidth="1"/>
    <col min="4" max="6" width="9.140625" style="22"/>
    <col min="7" max="7" width="9.85546875" style="22" bestFit="1" customWidth="1"/>
    <col min="8" max="16384" width="9.140625" style="22"/>
  </cols>
  <sheetData>
    <row r="1" spans="1:8" ht="33" customHeight="1" thickBot="1" x14ac:dyDescent="0.3">
      <c r="A1" s="151" t="s">
        <v>207</v>
      </c>
      <c r="B1" s="151"/>
      <c r="C1" s="151"/>
      <c r="D1" s="151"/>
      <c r="E1" s="151"/>
      <c r="F1" s="151"/>
      <c r="G1" s="151"/>
      <c r="H1" s="151"/>
    </row>
    <row r="2" spans="1:8" ht="18.75" customHeight="1" x14ac:dyDescent="0.25">
      <c r="A2" s="152" t="s">
        <v>420</v>
      </c>
      <c r="B2" s="152" t="s">
        <v>419</v>
      </c>
      <c r="C2" s="154" t="s">
        <v>418</v>
      </c>
      <c r="D2" s="156" t="s">
        <v>2</v>
      </c>
      <c r="E2" s="156" t="s">
        <v>476</v>
      </c>
      <c r="F2" s="156" t="s">
        <v>426</v>
      </c>
      <c r="G2" s="156" t="s">
        <v>425</v>
      </c>
      <c r="H2" s="156" t="s">
        <v>424</v>
      </c>
    </row>
    <row r="3" spans="1:8" ht="15.75" thickBot="1" x14ac:dyDescent="0.3">
      <c r="A3" s="153"/>
      <c r="B3" s="153"/>
      <c r="C3" s="155" t="s">
        <v>10</v>
      </c>
      <c r="D3" s="157"/>
      <c r="E3" s="157"/>
      <c r="F3" s="157"/>
      <c r="G3" s="157"/>
      <c r="H3" s="157"/>
    </row>
    <row r="4" spans="1:8" ht="7.5" customHeight="1" x14ac:dyDescent="0.25">
      <c r="A4" s="63"/>
      <c r="B4" s="63"/>
      <c r="C4" s="64"/>
      <c r="D4" s="63"/>
      <c r="E4" s="63" t="s">
        <v>10</v>
      </c>
      <c r="F4" s="63"/>
      <c r="G4" s="63"/>
      <c r="H4" s="63"/>
    </row>
    <row r="5" spans="1:8" x14ac:dyDescent="0.25">
      <c r="A5" s="22">
        <v>1</v>
      </c>
      <c r="B5" s="22" t="s">
        <v>408</v>
      </c>
      <c r="C5" s="62" t="s">
        <v>11</v>
      </c>
      <c r="D5" s="22" t="s">
        <v>12</v>
      </c>
      <c r="E5" s="22" t="str">
        <f>IFERROR(VLOOKUP(B5,'SCAFFOLDING MATERIAL OVERALL'!B7:X172,12,FALSE),"-")</f>
        <v>-</v>
      </c>
      <c r="F5" s="22" t="e">
        <f>INDEX([1]Sheet2!$D:$D,MATCH(B5,[1]Sheet2!$A:$A,0))</f>
        <v>#N/A</v>
      </c>
      <c r="G5" s="22" t="e">
        <f>IF(E5=F5,"SAME")</f>
        <v>#N/A</v>
      </c>
      <c r="H5" s="22" t="e">
        <f>F5-E5</f>
        <v>#N/A</v>
      </c>
    </row>
    <row r="6" spans="1:8" x14ac:dyDescent="0.25">
      <c r="A6" s="22">
        <v>2</v>
      </c>
      <c r="B6" s="22">
        <v>1000006673</v>
      </c>
      <c r="C6" s="62" t="s">
        <v>13</v>
      </c>
      <c r="D6" s="22" t="s">
        <v>12</v>
      </c>
      <c r="E6" s="22">
        <f>IFERROR(VLOOKUP(B6,'SCAFFOLDING MATERIAL OVERALL'!B8:X173,12,FALSE),"-")</f>
        <v>0</v>
      </c>
      <c r="F6" s="22">
        <f>INDEX([1]Sheet2!$D:$D,MATCH(B6,[1]Sheet2!$A:$A,0))</f>
        <v>0</v>
      </c>
      <c r="G6" s="22" t="str">
        <f t="shared" ref="G6:G69" si="0">IF(E6=F6,"SAME")</f>
        <v>SAME</v>
      </c>
      <c r="H6" s="22">
        <f t="shared" ref="H6:H69" si="1">F6-E6</f>
        <v>0</v>
      </c>
    </row>
    <row r="7" spans="1:8" x14ac:dyDescent="0.25">
      <c r="A7" s="22">
        <v>3</v>
      </c>
      <c r="B7" s="22">
        <v>1000006674</v>
      </c>
      <c r="C7" s="62" t="s">
        <v>14</v>
      </c>
      <c r="D7" s="22" t="s">
        <v>12</v>
      </c>
      <c r="E7" s="22">
        <f>IFERROR(VLOOKUP(B7,'SCAFFOLDING MATERIAL OVERALL'!B9:X174,12,FALSE),"-")</f>
        <v>0</v>
      </c>
      <c r="F7" s="22">
        <f>INDEX([1]Sheet2!$D:$D,MATCH(B7,[1]Sheet2!$A:$A,0))</f>
        <v>0</v>
      </c>
      <c r="G7" s="22" t="str">
        <f t="shared" si="0"/>
        <v>SAME</v>
      </c>
      <c r="H7" s="22">
        <f t="shared" si="1"/>
        <v>0</v>
      </c>
    </row>
    <row r="8" spans="1:8" x14ac:dyDescent="0.25">
      <c r="A8" s="22">
        <v>4</v>
      </c>
      <c r="B8" s="22">
        <v>4000015242</v>
      </c>
      <c r="C8" s="62" t="s">
        <v>15</v>
      </c>
      <c r="D8" s="22" t="s">
        <v>12</v>
      </c>
      <c r="E8" s="22">
        <f>IFERROR(VLOOKUP(B8,'SCAFFOLDING MATERIAL OVERALL'!B10:X175,12,FALSE),"-")</f>
        <v>104</v>
      </c>
      <c r="F8" s="22">
        <f>INDEX([1]Sheet2!$D:$D,MATCH(B8,[1]Sheet2!$A:$A,0))</f>
        <v>28</v>
      </c>
      <c r="G8" s="22" t="b">
        <f t="shared" si="0"/>
        <v>0</v>
      </c>
      <c r="H8" s="22">
        <f t="shared" si="1"/>
        <v>-76</v>
      </c>
    </row>
    <row r="9" spans="1:8" x14ac:dyDescent="0.25">
      <c r="A9" s="22">
        <v>5</v>
      </c>
      <c r="B9" s="22">
        <v>4000015243</v>
      </c>
      <c r="C9" s="62" t="s">
        <v>16</v>
      </c>
      <c r="D9" s="22" t="s">
        <v>12</v>
      </c>
      <c r="E9" s="22">
        <f>IFERROR(VLOOKUP(B9,'SCAFFOLDING MATERIAL OVERALL'!B11:X176,12,FALSE),"-")</f>
        <v>171</v>
      </c>
      <c r="F9" s="22">
        <f>INDEX([1]Sheet2!$D:$D,MATCH(B9,[1]Sheet2!$A:$A,0))</f>
        <v>15</v>
      </c>
      <c r="G9" s="22" t="b">
        <f t="shared" si="0"/>
        <v>0</v>
      </c>
      <c r="H9" s="22">
        <f t="shared" si="1"/>
        <v>-156</v>
      </c>
    </row>
    <row r="10" spans="1:8" x14ac:dyDescent="0.25">
      <c r="A10" s="22">
        <v>6</v>
      </c>
      <c r="B10" s="22">
        <v>4000015244</v>
      </c>
      <c r="C10" s="62" t="s">
        <v>17</v>
      </c>
      <c r="D10" s="22" t="s">
        <v>12</v>
      </c>
      <c r="E10" s="22">
        <f>IFERROR(VLOOKUP(B10,'SCAFFOLDING MATERIAL OVERALL'!B12:X177,12,FALSE),"-")</f>
        <v>1</v>
      </c>
      <c r="F10" s="22">
        <f>INDEX([1]Sheet2!$D:$D,MATCH(B10,[1]Sheet2!$A:$A,0))</f>
        <v>10</v>
      </c>
      <c r="G10" s="22" t="b">
        <f t="shared" si="0"/>
        <v>0</v>
      </c>
      <c r="H10" s="22">
        <f t="shared" si="1"/>
        <v>9</v>
      </c>
    </row>
    <row r="11" spans="1:8" x14ac:dyDescent="0.25">
      <c r="A11" s="22">
        <v>7</v>
      </c>
      <c r="B11" s="22">
        <v>4000015245</v>
      </c>
      <c r="C11" s="62" t="s">
        <v>18</v>
      </c>
      <c r="D11" s="22" t="s">
        <v>12</v>
      </c>
      <c r="E11" s="22">
        <f>IFERROR(VLOOKUP(B11,'SCAFFOLDING MATERIAL OVERALL'!B13:X178,12,FALSE),"-")</f>
        <v>128</v>
      </c>
      <c r="F11" s="22">
        <f>INDEX([1]Sheet2!$D:$D,MATCH(B11,[1]Sheet2!$A:$A,0))</f>
        <v>14</v>
      </c>
      <c r="G11" s="22" t="b">
        <f t="shared" si="0"/>
        <v>0</v>
      </c>
      <c r="H11" s="22">
        <f t="shared" si="1"/>
        <v>-114</v>
      </c>
    </row>
    <row r="12" spans="1:8" x14ac:dyDescent="0.25">
      <c r="A12" s="22">
        <v>8</v>
      </c>
      <c r="B12" s="22">
        <v>4000000224</v>
      </c>
      <c r="C12" s="62" t="s">
        <v>19</v>
      </c>
      <c r="D12" s="22" t="s">
        <v>12</v>
      </c>
      <c r="E12" s="22">
        <f>IFERROR(VLOOKUP(B12,'SCAFFOLDING MATERIAL OVERALL'!B14:X179,12,FALSE),"-")</f>
        <v>0</v>
      </c>
      <c r="F12" s="22">
        <f>INDEX([1]Sheet2!$D:$D,MATCH(B12,[1]Sheet2!$A:$A,0))</f>
        <v>0</v>
      </c>
      <c r="G12" s="22" t="str">
        <f t="shared" si="0"/>
        <v>SAME</v>
      </c>
      <c r="H12" s="22">
        <f t="shared" si="1"/>
        <v>0</v>
      </c>
    </row>
    <row r="13" spans="1:8" x14ac:dyDescent="0.25">
      <c r="A13" s="22">
        <v>9</v>
      </c>
      <c r="B13" s="22">
        <v>3000002332</v>
      </c>
      <c r="C13" s="62" t="s">
        <v>20</v>
      </c>
      <c r="D13" s="22" t="s">
        <v>12</v>
      </c>
      <c r="E13" s="22">
        <f>IFERROR(VLOOKUP(B13,'SCAFFOLDING MATERIAL OVERALL'!B15:X180,12,FALSE),"-")</f>
        <v>0</v>
      </c>
      <c r="F13" s="22">
        <f>INDEX([1]Sheet2!$D:$D,MATCH(B13,[1]Sheet2!$A:$A,0))</f>
        <v>0</v>
      </c>
      <c r="G13" s="22" t="str">
        <f t="shared" si="0"/>
        <v>SAME</v>
      </c>
      <c r="H13" s="22">
        <f t="shared" si="1"/>
        <v>0</v>
      </c>
    </row>
    <row r="14" spans="1:8" x14ac:dyDescent="0.25">
      <c r="A14" s="22">
        <v>10</v>
      </c>
      <c r="B14" s="22">
        <v>3000000010</v>
      </c>
      <c r="C14" s="62" t="s">
        <v>21</v>
      </c>
      <c r="D14" s="22" t="s">
        <v>12</v>
      </c>
      <c r="E14" s="22">
        <f>IFERROR(VLOOKUP(B14,'SCAFFOLDING MATERIAL OVERALL'!B16:X180,12,FALSE),"-")</f>
        <v>5</v>
      </c>
      <c r="F14" s="22">
        <f>INDEX([1]Sheet2!$D:$D,MATCH(B14,[1]Sheet2!$A:$A,0))</f>
        <v>15</v>
      </c>
      <c r="G14" s="22" t="b">
        <f t="shared" si="0"/>
        <v>0</v>
      </c>
      <c r="H14" s="22">
        <f t="shared" si="1"/>
        <v>10</v>
      </c>
    </row>
    <row r="15" spans="1:8" x14ac:dyDescent="0.25">
      <c r="A15" s="22">
        <v>11</v>
      </c>
      <c r="B15" s="22">
        <v>3000002338</v>
      </c>
      <c r="C15" s="62" t="s">
        <v>22</v>
      </c>
      <c r="D15" s="22" t="s">
        <v>12</v>
      </c>
      <c r="E15" s="22">
        <f>IFERROR(VLOOKUP(B15,'SCAFFOLDING MATERIAL OVERALL'!B17:X180,12,FALSE),"-")</f>
        <v>0</v>
      </c>
      <c r="F15" s="22" t="e">
        <f>INDEX([1]Sheet2!$D:$D,MATCH(B15,[1]Sheet2!$A:$A,0))</f>
        <v>#N/A</v>
      </c>
      <c r="G15" s="22" t="e">
        <f t="shared" si="0"/>
        <v>#N/A</v>
      </c>
      <c r="H15" s="22" t="e">
        <f t="shared" si="1"/>
        <v>#N/A</v>
      </c>
    </row>
    <row r="16" spans="1:8" x14ac:dyDescent="0.25">
      <c r="A16" s="22">
        <v>12</v>
      </c>
      <c r="B16" s="22">
        <v>3000002322</v>
      </c>
      <c r="C16" s="62" t="s">
        <v>23</v>
      </c>
      <c r="D16" s="22" t="s">
        <v>12</v>
      </c>
      <c r="E16" s="22">
        <f>IFERROR(VLOOKUP(B16,'SCAFFOLDING MATERIAL OVERALL'!B18:X181,12,FALSE),"-")</f>
        <v>0</v>
      </c>
      <c r="F16" s="22">
        <f>INDEX([1]Sheet2!$D:$D,MATCH(B16,[1]Sheet2!$A:$A,0))</f>
        <v>7</v>
      </c>
      <c r="G16" s="22" t="b">
        <f t="shared" si="0"/>
        <v>0</v>
      </c>
      <c r="H16" s="22">
        <f t="shared" si="1"/>
        <v>7</v>
      </c>
    </row>
    <row r="17" spans="1:8" x14ac:dyDescent="0.25">
      <c r="A17" s="22">
        <v>13</v>
      </c>
      <c r="B17" s="22">
        <v>3000002330</v>
      </c>
      <c r="C17" s="62" t="s">
        <v>24</v>
      </c>
      <c r="D17" s="22" t="s">
        <v>12</v>
      </c>
      <c r="E17" s="22">
        <f>IFERROR(VLOOKUP(B17,'SCAFFOLDING MATERIAL OVERALL'!B19:X182,12,FALSE),"-")</f>
        <v>0</v>
      </c>
      <c r="F17" s="22">
        <f>INDEX([1]Sheet2!$D:$D,MATCH(B17,[1]Sheet2!$A:$A,0))</f>
        <v>0</v>
      </c>
      <c r="G17" s="22" t="str">
        <f t="shared" si="0"/>
        <v>SAME</v>
      </c>
      <c r="H17" s="22">
        <f t="shared" si="1"/>
        <v>0</v>
      </c>
    </row>
    <row r="18" spans="1:8" x14ac:dyDescent="0.25">
      <c r="A18" s="22">
        <v>14</v>
      </c>
      <c r="B18" s="22">
        <v>3000000012</v>
      </c>
      <c r="C18" s="62" t="s">
        <v>25</v>
      </c>
      <c r="D18" s="22" t="s">
        <v>12</v>
      </c>
      <c r="E18" s="22">
        <f>IFERROR(VLOOKUP(B18,'SCAFFOLDING MATERIAL OVERALL'!B20:X183,12,FALSE),"-")</f>
        <v>0</v>
      </c>
      <c r="F18" s="22" t="e">
        <f>INDEX([1]Sheet2!$D:$D,MATCH(B18,[1]Sheet2!$A:$A,0))</f>
        <v>#N/A</v>
      </c>
      <c r="G18" s="22" t="e">
        <f t="shared" si="0"/>
        <v>#N/A</v>
      </c>
      <c r="H18" s="22" t="e">
        <f t="shared" si="1"/>
        <v>#N/A</v>
      </c>
    </row>
    <row r="19" spans="1:8" x14ac:dyDescent="0.25">
      <c r="A19" s="22">
        <v>15</v>
      </c>
      <c r="B19" s="22">
        <v>3000000701</v>
      </c>
      <c r="C19" s="62" t="s">
        <v>26</v>
      </c>
      <c r="D19" s="22" t="s">
        <v>12</v>
      </c>
      <c r="E19" s="22">
        <f>IFERROR(VLOOKUP(B19,'SCAFFOLDING MATERIAL OVERALL'!B21:X184,12,FALSE),"-")</f>
        <v>2309</v>
      </c>
      <c r="F19" s="22">
        <f>INDEX([1]Sheet2!$D:$D,MATCH(B19,[1]Sheet2!$A:$A,0))</f>
        <v>729</v>
      </c>
      <c r="G19" s="22" t="b">
        <f t="shared" si="0"/>
        <v>0</v>
      </c>
      <c r="H19" s="22">
        <f t="shared" si="1"/>
        <v>-1580</v>
      </c>
    </row>
    <row r="20" spans="1:8" x14ac:dyDescent="0.25">
      <c r="A20" s="22">
        <v>16</v>
      </c>
      <c r="B20" s="22">
        <v>1000006667</v>
      </c>
      <c r="C20" s="62" t="s">
        <v>27</v>
      </c>
      <c r="D20" s="22" t="s">
        <v>12</v>
      </c>
      <c r="E20" s="22">
        <f>IFERROR(VLOOKUP(B20,'SCAFFOLDING MATERIAL OVERALL'!B22:X185,12,FALSE),"-")</f>
        <v>3690</v>
      </c>
      <c r="F20" s="22">
        <f>INDEX([1]Sheet2!$D:$D,MATCH(B20,[1]Sheet2!$A:$A,0))</f>
        <v>193</v>
      </c>
      <c r="G20" s="22" t="b">
        <f t="shared" si="0"/>
        <v>0</v>
      </c>
      <c r="H20" s="22">
        <f t="shared" si="1"/>
        <v>-3497</v>
      </c>
    </row>
    <row r="21" spans="1:8" x14ac:dyDescent="0.25">
      <c r="A21" s="22">
        <v>17</v>
      </c>
      <c r="B21" s="22">
        <v>3000000061</v>
      </c>
      <c r="C21" s="62" t="s">
        <v>28</v>
      </c>
      <c r="D21" s="22" t="s">
        <v>12</v>
      </c>
      <c r="E21" s="22">
        <f>IFERROR(VLOOKUP(B21,'SCAFFOLDING MATERIAL OVERALL'!B23:X186,12,FALSE),"-")</f>
        <v>13340</v>
      </c>
      <c r="F21" s="22">
        <f>INDEX([1]Sheet2!$D:$D,MATCH(B21,[1]Sheet2!$A:$A,0))</f>
        <v>150</v>
      </c>
      <c r="G21" s="22" t="b">
        <f t="shared" si="0"/>
        <v>0</v>
      </c>
      <c r="H21" s="22">
        <f t="shared" si="1"/>
        <v>-13190</v>
      </c>
    </row>
    <row r="22" spans="1:8" x14ac:dyDescent="0.25">
      <c r="A22" s="22">
        <v>18</v>
      </c>
      <c r="B22" s="22">
        <v>3000000064</v>
      </c>
      <c r="C22" s="62" t="s">
        <v>29</v>
      </c>
      <c r="D22" s="22" t="s">
        <v>12</v>
      </c>
      <c r="E22" s="22">
        <f>IFERROR(VLOOKUP(B22,'SCAFFOLDING MATERIAL OVERALL'!B24:X187,12,FALSE),"-")</f>
        <v>0</v>
      </c>
      <c r="F22" s="22">
        <f>INDEX([1]Sheet2!$D:$D,MATCH(B22,[1]Sheet2!$A:$A,0))</f>
        <v>0</v>
      </c>
      <c r="G22" s="22" t="str">
        <f t="shared" si="0"/>
        <v>SAME</v>
      </c>
      <c r="H22" s="22">
        <f t="shared" si="1"/>
        <v>0</v>
      </c>
    </row>
    <row r="23" spans="1:8" x14ac:dyDescent="0.25">
      <c r="A23" s="22">
        <v>19</v>
      </c>
      <c r="B23" s="22">
        <v>3000000062</v>
      </c>
      <c r="C23" s="62" t="s">
        <v>30</v>
      </c>
      <c r="D23" s="22" t="s">
        <v>12</v>
      </c>
      <c r="E23" s="22">
        <f>IFERROR(VLOOKUP(B23,'SCAFFOLDING MATERIAL OVERALL'!B25:X188,12,FALSE),"-")</f>
        <v>55</v>
      </c>
      <c r="F23" s="22">
        <f>INDEX([1]Sheet2!$D:$D,MATCH(B23,[1]Sheet2!$A:$A,0))</f>
        <v>0</v>
      </c>
      <c r="G23" s="22" t="b">
        <f t="shared" si="0"/>
        <v>0</v>
      </c>
      <c r="H23" s="22">
        <f t="shared" si="1"/>
        <v>-55</v>
      </c>
    </row>
    <row r="24" spans="1:8" x14ac:dyDescent="0.25">
      <c r="A24" s="22">
        <v>20</v>
      </c>
      <c r="B24" s="22">
        <v>3000000063</v>
      </c>
      <c r="C24" s="62" t="s">
        <v>31</v>
      </c>
      <c r="D24" s="22" t="s">
        <v>12</v>
      </c>
      <c r="E24" s="22">
        <f>IFERROR(VLOOKUP(B24,'SCAFFOLDING MATERIAL OVERALL'!B26:X189,12,FALSE),"-")</f>
        <v>49</v>
      </c>
      <c r="F24" s="22">
        <f>INDEX([1]Sheet2!$D:$D,MATCH(B24,[1]Sheet2!$A:$A,0))</f>
        <v>0</v>
      </c>
      <c r="G24" s="22" t="b">
        <f t="shared" si="0"/>
        <v>0</v>
      </c>
      <c r="H24" s="22">
        <f t="shared" si="1"/>
        <v>-49</v>
      </c>
    </row>
    <row r="25" spans="1:8" x14ac:dyDescent="0.25">
      <c r="A25" s="22">
        <v>21</v>
      </c>
      <c r="B25" s="22">
        <v>3000002688</v>
      </c>
      <c r="C25" s="62" t="s">
        <v>32</v>
      </c>
      <c r="D25" s="22" t="s">
        <v>12</v>
      </c>
      <c r="E25" s="22">
        <f>IFERROR(VLOOKUP(B25,'SCAFFOLDING MATERIAL OVERALL'!B27:X189,12,FALSE),"-")</f>
        <v>144</v>
      </c>
      <c r="F25" s="22">
        <f>INDEX([1]Sheet2!$D:$D,MATCH(B25,[1]Sheet2!$A:$A,0))</f>
        <v>0</v>
      </c>
      <c r="G25" s="22" t="b">
        <f t="shared" si="0"/>
        <v>0</v>
      </c>
      <c r="H25" s="22">
        <f t="shared" si="1"/>
        <v>-144</v>
      </c>
    </row>
    <row r="26" spans="1:8" x14ac:dyDescent="0.25">
      <c r="A26" s="22">
        <v>22</v>
      </c>
      <c r="B26" s="22">
        <v>3000002869</v>
      </c>
      <c r="C26" s="62" t="s">
        <v>33</v>
      </c>
      <c r="D26" s="22" t="s">
        <v>12</v>
      </c>
      <c r="E26" s="22">
        <f>IFERROR(VLOOKUP(B26,'SCAFFOLDING MATERIAL OVERALL'!B28:X190,12,FALSE),"-")</f>
        <v>4</v>
      </c>
      <c r="F26" s="22">
        <f>INDEX([1]Sheet2!$D:$D,MATCH(B26,[1]Sheet2!$A:$A,0))</f>
        <v>0</v>
      </c>
      <c r="G26" s="22" t="b">
        <f t="shared" si="0"/>
        <v>0</v>
      </c>
      <c r="H26" s="22">
        <f t="shared" si="1"/>
        <v>-4</v>
      </c>
    </row>
    <row r="27" spans="1:8" x14ac:dyDescent="0.25">
      <c r="A27" s="22">
        <v>23</v>
      </c>
      <c r="B27" s="22">
        <v>3000000068</v>
      </c>
      <c r="C27" s="62" t="s">
        <v>34</v>
      </c>
      <c r="D27" s="22" t="s">
        <v>12</v>
      </c>
      <c r="E27" s="22">
        <f>IFERROR(VLOOKUP(B27,'SCAFFOLDING MATERIAL OVERALL'!B29:X191,12,FALSE),"-")</f>
        <v>31128</v>
      </c>
      <c r="F27" s="22">
        <f>INDEX([1]Sheet2!$D:$D,MATCH(B27,[1]Sheet2!$A:$A,0))</f>
        <v>2474</v>
      </c>
      <c r="G27" s="22" t="b">
        <f t="shared" si="0"/>
        <v>0</v>
      </c>
      <c r="H27" s="22">
        <f t="shared" si="1"/>
        <v>-28654</v>
      </c>
    </row>
    <row r="28" spans="1:8" x14ac:dyDescent="0.25">
      <c r="A28" s="22">
        <v>24</v>
      </c>
      <c r="B28" s="22" t="s">
        <v>35</v>
      </c>
      <c r="C28" s="62" t="s">
        <v>36</v>
      </c>
      <c r="D28" s="22" t="s">
        <v>12</v>
      </c>
      <c r="E28" s="22">
        <f>IFERROR(VLOOKUP(B28,'SCAFFOLDING MATERIAL OVERALL'!B30:X192,12,FALSE),"-")</f>
        <v>0</v>
      </c>
      <c r="F28" s="22" t="e">
        <f>INDEX([1]Sheet2!$D:$D,MATCH(B28,[1]Sheet2!$A:$A,0))</f>
        <v>#N/A</v>
      </c>
      <c r="G28" s="22" t="e">
        <f t="shared" si="0"/>
        <v>#N/A</v>
      </c>
      <c r="H28" s="22" t="e">
        <f t="shared" si="1"/>
        <v>#N/A</v>
      </c>
    </row>
    <row r="29" spans="1:8" x14ac:dyDescent="0.25">
      <c r="A29" s="22">
        <v>25</v>
      </c>
      <c r="B29" s="22">
        <v>3000001221</v>
      </c>
      <c r="C29" s="62" t="s">
        <v>37</v>
      </c>
      <c r="D29" s="22" t="s">
        <v>12</v>
      </c>
      <c r="E29" s="22">
        <f>IFERROR(VLOOKUP(B29,'SCAFFOLDING MATERIAL OVERALL'!B31:X193,12,FALSE),"-")</f>
        <v>0</v>
      </c>
      <c r="F29" s="22">
        <f>INDEX([1]Sheet2!$D:$D,MATCH(B29,[1]Sheet2!$A:$A,0))</f>
        <v>0</v>
      </c>
      <c r="G29" s="22" t="str">
        <f t="shared" si="0"/>
        <v>SAME</v>
      </c>
      <c r="H29" s="22">
        <f t="shared" si="1"/>
        <v>0</v>
      </c>
    </row>
    <row r="30" spans="1:8" x14ac:dyDescent="0.25">
      <c r="A30" s="22">
        <v>26</v>
      </c>
      <c r="B30" s="22">
        <v>3000001223</v>
      </c>
      <c r="C30" s="62" t="s">
        <v>38</v>
      </c>
      <c r="D30" s="22" t="s">
        <v>12</v>
      </c>
      <c r="E30" s="22">
        <f>IFERROR(VLOOKUP(B30,'SCAFFOLDING MATERIAL OVERALL'!B32:X194,12,FALSE),"-")</f>
        <v>0</v>
      </c>
      <c r="F30" s="22">
        <f>INDEX([1]Sheet2!$D:$D,MATCH(B30,[1]Sheet2!$A:$A,0))</f>
        <v>0</v>
      </c>
      <c r="G30" s="22" t="str">
        <f t="shared" si="0"/>
        <v>SAME</v>
      </c>
      <c r="H30" s="22">
        <f t="shared" si="1"/>
        <v>0</v>
      </c>
    </row>
    <row r="31" spans="1:8" x14ac:dyDescent="0.25">
      <c r="A31" s="22">
        <v>27</v>
      </c>
      <c r="B31" s="22">
        <v>3000008524</v>
      </c>
      <c r="C31" s="62" t="s">
        <v>39</v>
      </c>
      <c r="D31" s="22" t="s">
        <v>12</v>
      </c>
      <c r="E31" s="22">
        <f>IFERROR(VLOOKUP(B31,'SCAFFOLDING MATERIAL OVERALL'!B33:X195,12,FALSE),"-")</f>
        <v>0</v>
      </c>
      <c r="F31" s="22">
        <f>INDEX([1]Sheet2!$D:$D,MATCH(B31,[1]Sheet2!$A:$A,0))</f>
        <v>0</v>
      </c>
      <c r="G31" s="22" t="str">
        <f t="shared" si="0"/>
        <v>SAME</v>
      </c>
      <c r="H31" s="22">
        <f t="shared" si="1"/>
        <v>0</v>
      </c>
    </row>
    <row r="32" spans="1:8" x14ac:dyDescent="0.25">
      <c r="A32" s="22">
        <v>28</v>
      </c>
      <c r="B32" s="22">
        <v>3000000628</v>
      </c>
      <c r="C32" s="62" t="s">
        <v>40</v>
      </c>
      <c r="D32" s="22" t="s">
        <v>12</v>
      </c>
      <c r="E32" s="22">
        <f>IFERROR(VLOOKUP(B32,'SCAFFOLDING MATERIAL OVERALL'!B34:X196,12,FALSE),"-")</f>
        <v>16</v>
      </c>
      <c r="F32" s="22">
        <f>INDEX([1]Sheet2!$D:$D,MATCH(B32,[1]Sheet2!$A:$A,0))</f>
        <v>0</v>
      </c>
      <c r="G32" s="22" t="b">
        <f t="shared" si="0"/>
        <v>0</v>
      </c>
      <c r="H32" s="22">
        <f t="shared" si="1"/>
        <v>-16</v>
      </c>
    </row>
    <row r="33" spans="1:8" x14ac:dyDescent="0.25">
      <c r="A33" s="22">
        <v>29</v>
      </c>
      <c r="B33" s="22">
        <v>5000000013</v>
      </c>
      <c r="C33" s="62" t="s">
        <v>41</v>
      </c>
      <c r="D33" s="22" t="s">
        <v>12</v>
      </c>
      <c r="E33" s="22">
        <f>IFERROR(VLOOKUP(B33,'SCAFFOLDING MATERIAL OVERALL'!B35:X197,12,FALSE),"-")</f>
        <v>0</v>
      </c>
      <c r="F33" s="22" t="e">
        <f>INDEX([1]Sheet2!$D:$D,MATCH(B33,[1]Sheet2!$A:$A,0))</f>
        <v>#N/A</v>
      </c>
      <c r="G33" s="22" t="e">
        <f t="shared" si="0"/>
        <v>#N/A</v>
      </c>
      <c r="H33" s="22" t="e">
        <f t="shared" si="1"/>
        <v>#N/A</v>
      </c>
    </row>
    <row r="34" spans="1:8" x14ac:dyDescent="0.25">
      <c r="A34" s="22">
        <v>30</v>
      </c>
      <c r="B34" s="22">
        <v>5000000014</v>
      </c>
      <c r="C34" s="62" t="s">
        <v>42</v>
      </c>
      <c r="D34" s="22" t="s">
        <v>12</v>
      </c>
      <c r="E34" s="22">
        <f>IFERROR(VLOOKUP(B34,'SCAFFOLDING MATERIAL OVERALL'!B36:X198,12,FALSE),"-")</f>
        <v>0</v>
      </c>
      <c r="F34" s="22" t="e">
        <f>INDEX([1]Sheet2!$D:$D,MATCH(B34,[1]Sheet2!$A:$A,0))</f>
        <v>#N/A</v>
      </c>
      <c r="G34" s="22" t="e">
        <f t="shared" si="0"/>
        <v>#N/A</v>
      </c>
      <c r="H34" s="22" t="e">
        <f t="shared" si="1"/>
        <v>#N/A</v>
      </c>
    </row>
    <row r="35" spans="1:8" x14ac:dyDescent="0.25">
      <c r="A35" s="22">
        <v>31</v>
      </c>
      <c r="B35" s="22">
        <v>5000000011</v>
      </c>
      <c r="C35" s="62" t="s">
        <v>43</v>
      </c>
      <c r="D35" s="22" t="s">
        <v>12</v>
      </c>
      <c r="E35" s="22">
        <f>IFERROR(VLOOKUP(B35,'SCAFFOLDING MATERIAL OVERALL'!B37:X199,12,FALSE),"-")</f>
        <v>0</v>
      </c>
      <c r="F35" s="22" t="e">
        <f>INDEX([1]Sheet2!$D:$D,MATCH(B35,[1]Sheet2!$A:$A,0))</f>
        <v>#N/A</v>
      </c>
      <c r="G35" s="22" t="e">
        <f t="shared" si="0"/>
        <v>#N/A</v>
      </c>
      <c r="H35" s="22" t="e">
        <f t="shared" si="1"/>
        <v>#N/A</v>
      </c>
    </row>
    <row r="36" spans="1:8" x14ac:dyDescent="0.25">
      <c r="A36" s="22">
        <v>32</v>
      </c>
      <c r="B36" s="22">
        <v>5000000012</v>
      </c>
      <c r="C36" s="62" t="s">
        <v>44</v>
      </c>
      <c r="D36" s="22" t="s">
        <v>12</v>
      </c>
      <c r="E36" s="22">
        <f>IFERROR(VLOOKUP(B36,'SCAFFOLDING MATERIAL OVERALL'!B38:X200,12,FALSE),"-")</f>
        <v>0</v>
      </c>
      <c r="F36" s="22" t="e">
        <f>INDEX([1]Sheet2!$D:$D,MATCH(B36,[1]Sheet2!$A:$A,0))</f>
        <v>#N/A</v>
      </c>
      <c r="G36" s="22" t="e">
        <f t="shared" si="0"/>
        <v>#N/A</v>
      </c>
      <c r="H36" s="22" t="e">
        <f t="shared" si="1"/>
        <v>#N/A</v>
      </c>
    </row>
    <row r="37" spans="1:8" x14ac:dyDescent="0.25">
      <c r="A37" s="22">
        <v>33</v>
      </c>
      <c r="B37" s="22">
        <v>3000002635</v>
      </c>
      <c r="C37" s="62" t="s">
        <v>45</v>
      </c>
      <c r="D37" s="22" t="s">
        <v>12</v>
      </c>
      <c r="E37" s="22">
        <f>IFERROR(VLOOKUP(B37,'SCAFFOLDING MATERIAL OVERALL'!B39:X201,12,FALSE),"-")</f>
        <v>0</v>
      </c>
      <c r="F37" s="22">
        <f>INDEX([1]Sheet2!$D:$D,MATCH(B37,[1]Sheet2!$A:$A,0))</f>
        <v>0</v>
      </c>
      <c r="G37" s="22" t="str">
        <f t="shared" si="0"/>
        <v>SAME</v>
      </c>
      <c r="H37" s="22">
        <f t="shared" si="1"/>
        <v>0</v>
      </c>
    </row>
    <row r="38" spans="1:8" x14ac:dyDescent="0.25">
      <c r="A38" s="22">
        <v>34</v>
      </c>
      <c r="B38" s="22">
        <v>3000000345</v>
      </c>
      <c r="C38" s="62" t="s">
        <v>46</v>
      </c>
      <c r="D38" s="22" t="s">
        <v>12</v>
      </c>
      <c r="E38" s="22">
        <f>IFERROR(VLOOKUP(B38,'SCAFFOLDING MATERIAL OVERALL'!B40:X202,12,FALSE),"-")</f>
        <v>0</v>
      </c>
      <c r="F38" s="22">
        <f>INDEX([1]Sheet2!$D:$D,MATCH(B38,[1]Sheet2!$A:$A,0))</f>
        <v>600</v>
      </c>
      <c r="G38" s="22" t="b">
        <f t="shared" si="0"/>
        <v>0</v>
      </c>
      <c r="H38" s="22">
        <f t="shared" si="1"/>
        <v>600</v>
      </c>
    </row>
    <row r="39" spans="1:8" x14ac:dyDescent="0.25">
      <c r="A39" s="22">
        <v>35</v>
      </c>
      <c r="B39" s="22">
        <v>3000000346</v>
      </c>
      <c r="C39" s="62" t="s">
        <v>47</v>
      </c>
      <c r="D39" s="22" t="s">
        <v>12</v>
      </c>
      <c r="E39" s="22">
        <f>IFERROR(VLOOKUP(B39,'SCAFFOLDING MATERIAL OVERALL'!B41:X203,12,FALSE),"-")</f>
        <v>0</v>
      </c>
      <c r="F39" s="22">
        <f>INDEX([1]Sheet2!$D:$D,MATCH(B39,[1]Sheet2!$A:$A,0))</f>
        <v>0</v>
      </c>
      <c r="G39" s="22" t="str">
        <f t="shared" si="0"/>
        <v>SAME</v>
      </c>
      <c r="H39" s="22">
        <f t="shared" si="1"/>
        <v>0</v>
      </c>
    </row>
    <row r="40" spans="1:8" x14ac:dyDescent="0.25">
      <c r="A40" s="22">
        <v>36</v>
      </c>
      <c r="B40" s="22">
        <v>3000000347</v>
      </c>
      <c r="C40" s="62" t="s">
        <v>48</v>
      </c>
      <c r="D40" s="22" t="s">
        <v>12</v>
      </c>
      <c r="E40" s="22">
        <f>IFERROR(VLOOKUP(B40,'SCAFFOLDING MATERIAL OVERALL'!B42:X204,12,FALSE),"-")</f>
        <v>0</v>
      </c>
      <c r="F40" s="22">
        <f>INDEX([1]Sheet2!$D:$D,MATCH(B40,[1]Sheet2!$A:$A,0))</f>
        <v>325</v>
      </c>
      <c r="G40" s="22" t="b">
        <f t="shared" si="0"/>
        <v>0</v>
      </c>
      <c r="H40" s="22">
        <f t="shared" si="1"/>
        <v>325</v>
      </c>
    </row>
    <row r="41" spans="1:8" x14ac:dyDescent="0.25">
      <c r="A41" s="22">
        <v>37</v>
      </c>
      <c r="B41" s="22">
        <v>3000000348</v>
      </c>
      <c r="C41" s="62" t="s">
        <v>49</v>
      </c>
      <c r="D41" s="22" t="s">
        <v>12</v>
      </c>
      <c r="E41" s="22">
        <f>IFERROR(VLOOKUP(B41,'SCAFFOLDING MATERIAL OVERALL'!B43:X205,12,FALSE),"-")</f>
        <v>0</v>
      </c>
      <c r="F41" s="22">
        <f>INDEX([1]Sheet2!$D:$D,MATCH(B41,[1]Sheet2!$A:$A,0))</f>
        <v>0</v>
      </c>
      <c r="G41" s="22" t="str">
        <f t="shared" si="0"/>
        <v>SAME</v>
      </c>
      <c r="H41" s="22">
        <f t="shared" si="1"/>
        <v>0</v>
      </c>
    </row>
    <row r="42" spans="1:8" x14ac:dyDescent="0.25">
      <c r="A42" s="22">
        <v>38</v>
      </c>
      <c r="B42" s="22">
        <v>3000000349</v>
      </c>
      <c r="C42" s="62" t="s">
        <v>50</v>
      </c>
      <c r="D42" s="22" t="s">
        <v>12</v>
      </c>
      <c r="E42" s="22">
        <f>IFERROR(VLOOKUP(B42,'SCAFFOLDING MATERIAL OVERALL'!B44:X206,12,FALSE),"-")</f>
        <v>0</v>
      </c>
      <c r="F42" s="22">
        <f>INDEX([1]Sheet2!$D:$D,MATCH(B42,[1]Sheet2!$A:$A,0))</f>
        <v>0</v>
      </c>
      <c r="G42" s="22" t="str">
        <f t="shared" si="0"/>
        <v>SAME</v>
      </c>
      <c r="H42" s="22">
        <f t="shared" si="1"/>
        <v>0</v>
      </c>
    </row>
    <row r="43" spans="1:8" x14ac:dyDescent="0.25">
      <c r="A43" s="22">
        <v>39</v>
      </c>
      <c r="B43" s="22">
        <v>3000004464</v>
      </c>
      <c r="C43" s="62" t="s">
        <v>51</v>
      </c>
      <c r="D43" s="22" t="s">
        <v>12</v>
      </c>
      <c r="E43" s="22">
        <f>IFERROR(VLOOKUP(B43,'SCAFFOLDING MATERIAL OVERALL'!B45:X207,12,FALSE),"-")</f>
        <v>0</v>
      </c>
      <c r="F43" s="22">
        <f>INDEX([1]Sheet2!$D:$D,MATCH(B43,[1]Sheet2!$A:$A,0))</f>
        <v>0</v>
      </c>
      <c r="G43" s="22" t="str">
        <f t="shared" si="0"/>
        <v>SAME</v>
      </c>
      <c r="H43" s="22">
        <f t="shared" si="1"/>
        <v>0</v>
      </c>
    </row>
    <row r="44" spans="1:8" x14ac:dyDescent="0.25">
      <c r="A44" s="22">
        <v>40</v>
      </c>
      <c r="B44" s="22">
        <v>3000000352</v>
      </c>
      <c r="C44" s="62" t="s">
        <v>52</v>
      </c>
      <c r="D44" s="22" t="s">
        <v>12</v>
      </c>
      <c r="E44" s="22">
        <f>IFERROR(VLOOKUP(B44,'SCAFFOLDING MATERIAL OVERALL'!B46:X208,12,FALSE),"-")</f>
        <v>0</v>
      </c>
      <c r="F44" s="22">
        <f>INDEX([1]Sheet2!$D:$D,MATCH(B44,[1]Sheet2!$A:$A,0))</f>
        <v>0</v>
      </c>
      <c r="G44" s="22" t="str">
        <f t="shared" si="0"/>
        <v>SAME</v>
      </c>
      <c r="H44" s="22">
        <f t="shared" si="1"/>
        <v>0</v>
      </c>
    </row>
    <row r="45" spans="1:8" x14ac:dyDescent="0.25">
      <c r="A45" s="22">
        <v>41</v>
      </c>
      <c r="B45" s="22">
        <v>5000000007</v>
      </c>
      <c r="C45" s="62" t="s">
        <v>53</v>
      </c>
      <c r="D45" s="22" t="s">
        <v>12</v>
      </c>
      <c r="E45" s="22">
        <f>IFERROR(VLOOKUP(B45,'SCAFFOLDING MATERIAL OVERALL'!B47:X209,12,FALSE),"-")</f>
        <v>0</v>
      </c>
      <c r="F45" s="22">
        <f>INDEX([1]Sheet2!$D:$D,MATCH(B45,[1]Sheet2!$A:$A,0))</f>
        <v>0</v>
      </c>
      <c r="G45" s="22" t="str">
        <f t="shared" si="0"/>
        <v>SAME</v>
      </c>
      <c r="H45" s="22">
        <f t="shared" si="1"/>
        <v>0</v>
      </c>
    </row>
    <row r="46" spans="1:8" x14ac:dyDescent="0.25">
      <c r="A46" s="22">
        <v>42</v>
      </c>
      <c r="B46" s="22">
        <v>5000000004</v>
      </c>
      <c r="C46" s="62" t="s">
        <v>54</v>
      </c>
      <c r="D46" s="22" t="s">
        <v>12</v>
      </c>
      <c r="E46" s="22">
        <f>IFERROR(VLOOKUP(B46,'SCAFFOLDING MATERIAL OVERALL'!B48:X210,12,FALSE),"-")</f>
        <v>0</v>
      </c>
      <c r="F46" s="22">
        <f>INDEX([1]Sheet2!$D:$D,MATCH(B46,[1]Sheet2!$A:$A,0))</f>
        <v>0</v>
      </c>
      <c r="G46" s="22" t="str">
        <f t="shared" si="0"/>
        <v>SAME</v>
      </c>
      <c r="H46" s="22">
        <f t="shared" si="1"/>
        <v>0</v>
      </c>
    </row>
    <row r="47" spans="1:8" x14ac:dyDescent="0.25">
      <c r="A47" s="22">
        <v>43</v>
      </c>
      <c r="B47" s="22">
        <v>5000000006</v>
      </c>
      <c r="C47" s="62" t="s">
        <v>55</v>
      </c>
      <c r="D47" s="22" t="s">
        <v>12</v>
      </c>
      <c r="E47" s="22">
        <f>IFERROR(VLOOKUP(B47,'SCAFFOLDING MATERIAL OVERALL'!B49:X211,12,FALSE),"-")</f>
        <v>0</v>
      </c>
      <c r="F47" s="22">
        <f>INDEX([1]Sheet2!$D:$D,MATCH(B47,[1]Sheet2!$A:$A,0))</f>
        <v>0</v>
      </c>
      <c r="G47" s="22" t="str">
        <f t="shared" si="0"/>
        <v>SAME</v>
      </c>
      <c r="H47" s="22">
        <f t="shared" si="1"/>
        <v>0</v>
      </c>
    </row>
    <row r="48" spans="1:8" x14ac:dyDescent="0.25">
      <c r="A48" s="22">
        <v>44</v>
      </c>
      <c r="B48" s="22" t="s">
        <v>35</v>
      </c>
      <c r="C48" s="62" t="s">
        <v>56</v>
      </c>
      <c r="D48" s="22" t="s">
        <v>12</v>
      </c>
      <c r="E48" s="22">
        <f>IFERROR(VLOOKUP(B48,'SCAFFOLDING MATERIAL OVERALL'!B50:X212,12,FALSE),"-")</f>
        <v>0</v>
      </c>
      <c r="F48" s="22" t="e">
        <f>INDEX([1]Sheet2!$D:$D,MATCH(B48,[1]Sheet2!$A:$A,0))</f>
        <v>#N/A</v>
      </c>
      <c r="G48" s="22" t="e">
        <f t="shared" si="0"/>
        <v>#N/A</v>
      </c>
      <c r="H48" s="22" t="e">
        <f t="shared" si="1"/>
        <v>#N/A</v>
      </c>
    </row>
    <row r="49" spans="1:8" x14ac:dyDescent="0.25">
      <c r="A49" s="22">
        <v>45</v>
      </c>
      <c r="B49" s="22">
        <v>3000000354</v>
      </c>
      <c r="C49" s="62" t="s">
        <v>57</v>
      </c>
      <c r="D49" s="22" t="s">
        <v>12</v>
      </c>
      <c r="E49" s="22">
        <f>IFERROR(VLOOKUP(B49,'SCAFFOLDING MATERIAL OVERALL'!B51:X213,12,FALSE),"-")</f>
        <v>0</v>
      </c>
      <c r="F49" s="22">
        <f>INDEX([1]Sheet2!$D:$D,MATCH(B49,[1]Sheet2!$A:$A,0))</f>
        <v>0</v>
      </c>
      <c r="G49" s="22" t="str">
        <f t="shared" si="0"/>
        <v>SAME</v>
      </c>
      <c r="H49" s="22">
        <f t="shared" si="1"/>
        <v>0</v>
      </c>
    </row>
    <row r="50" spans="1:8" x14ac:dyDescent="0.25">
      <c r="A50" s="22">
        <v>46</v>
      </c>
      <c r="B50" s="22">
        <v>3000000355</v>
      </c>
      <c r="C50" s="62" t="s">
        <v>58</v>
      </c>
      <c r="D50" s="22" t="s">
        <v>12</v>
      </c>
      <c r="E50" s="22">
        <f>IFERROR(VLOOKUP(B50,'SCAFFOLDING MATERIAL OVERALL'!B52:X214,12,FALSE),"-")</f>
        <v>0</v>
      </c>
      <c r="F50" s="22">
        <f>INDEX([1]Sheet2!$D:$D,MATCH(B50,[1]Sheet2!$A:$A,0))</f>
        <v>0</v>
      </c>
      <c r="G50" s="22" t="str">
        <f t="shared" si="0"/>
        <v>SAME</v>
      </c>
      <c r="H50" s="22">
        <f t="shared" si="1"/>
        <v>0</v>
      </c>
    </row>
    <row r="51" spans="1:8" x14ac:dyDescent="0.25">
      <c r="A51" s="22">
        <v>47</v>
      </c>
      <c r="B51" s="22">
        <v>3000000060</v>
      </c>
      <c r="C51" s="62" t="s">
        <v>295</v>
      </c>
      <c r="D51" s="22" t="s">
        <v>12</v>
      </c>
      <c r="E51" s="22">
        <f>IFERROR(VLOOKUP(B51,'SCAFFOLDING MATERIAL OVERALL'!B53:X215,12,FALSE),"-")</f>
        <v>0</v>
      </c>
      <c r="F51" s="22">
        <f>INDEX([1]Sheet2!$D:$D,MATCH(B51,[1]Sheet2!$A:$A,0))</f>
        <v>0</v>
      </c>
      <c r="G51" s="22" t="str">
        <f t="shared" si="0"/>
        <v>SAME</v>
      </c>
      <c r="H51" s="22">
        <f t="shared" si="1"/>
        <v>0</v>
      </c>
    </row>
    <row r="52" spans="1:8" x14ac:dyDescent="0.25">
      <c r="A52" s="22">
        <v>48</v>
      </c>
      <c r="B52" s="22">
        <v>3000000356</v>
      </c>
      <c r="C52" s="62" t="s">
        <v>60</v>
      </c>
      <c r="D52" s="22" t="s">
        <v>12</v>
      </c>
      <c r="E52" s="22">
        <f>IFERROR(VLOOKUP(B52,'SCAFFOLDING MATERIAL OVERALL'!B54:X216,12,FALSE),"-")</f>
        <v>0</v>
      </c>
      <c r="F52" s="22">
        <f>INDEX([1]Sheet2!$D:$D,MATCH(B52,[1]Sheet2!$A:$A,0))</f>
        <v>0</v>
      </c>
      <c r="G52" s="22" t="str">
        <f t="shared" si="0"/>
        <v>SAME</v>
      </c>
      <c r="H52" s="22">
        <f t="shared" si="1"/>
        <v>0</v>
      </c>
    </row>
    <row r="53" spans="1:8" x14ac:dyDescent="0.25">
      <c r="A53" s="22">
        <v>49</v>
      </c>
      <c r="B53" s="22">
        <v>3000000353</v>
      </c>
      <c r="C53" s="62" t="s">
        <v>61</v>
      </c>
      <c r="D53" s="22" t="s">
        <v>12</v>
      </c>
      <c r="E53" s="22">
        <f>IFERROR(VLOOKUP(B53,'SCAFFOLDING MATERIAL OVERALL'!B55:X217,12,FALSE),"-")</f>
        <v>0</v>
      </c>
      <c r="F53" s="22">
        <f>INDEX([1]Sheet2!$D:$D,MATCH(B53,[1]Sheet2!$A:$A,0))</f>
        <v>0</v>
      </c>
      <c r="G53" s="22" t="str">
        <f t="shared" si="0"/>
        <v>SAME</v>
      </c>
      <c r="H53" s="22">
        <f t="shared" si="1"/>
        <v>0</v>
      </c>
    </row>
    <row r="54" spans="1:8" x14ac:dyDescent="0.25">
      <c r="A54" s="22">
        <v>50</v>
      </c>
      <c r="B54" s="22">
        <v>3000000437</v>
      </c>
      <c r="C54" s="62" t="s">
        <v>62</v>
      </c>
      <c r="D54" s="22" t="s">
        <v>12</v>
      </c>
      <c r="E54" s="22">
        <f>IFERROR(VLOOKUP(B54,'SCAFFOLDING MATERIAL OVERALL'!B56:X218,12,FALSE),"-")</f>
        <v>9946</v>
      </c>
      <c r="F54" s="22">
        <f>INDEX([1]Sheet2!$D:$D,MATCH(B54,[1]Sheet2!$A:$A,0))</f>
        <v>420</v>
      </c>
      <c r="G54" s="22" t="b">
        <f t="shared" si="0"/>
        <v>0</v>
      </c>
      <c r="H54" s="22">
        <f t="shared" si="1"/>
        <v>-9526</v>
      </c>
    </row>
    <row r="55" spans="1:8" x14ac:dyDescent="0.25">
      <c r="A55" s="22">
        <v>51</v>
      </c>
      <c r="B55" s="22">
        <v>1000005010</v>
      </c>
      <c r="C55" s="62" t="s">
        <v>63</v>
      </c>
      <c r="D55" s="22" t="s">
        <v>12</v>
      </c>
      <c r="E55" s="22">
        <f>IFERROR(VLOOKUP(B55,'SCAFFOLDING MATERIAL OVERALL'!B57:X219,12,FALSE),"-")</f>
        <v>0</v>
      </c>
      <c r="F55" s="22">
        <f>INDEX([1]Sheet2!$D:$D,MATCH(B55,[1]Sheet2!$A:$A,0))</f>
        <v>0</v>
      </c>
      <c r="G55" s="22" t="str">
        <f t="shared" si="0"/>
        <v>SAME</v>
      </c>
      <c r="H55" s="22">
        <f t="shared" si="1"/>
        <v>0</v>
      </c>
    </row>
    <row r="56" spans="1:8" x14ac:dyDescent="0.25">
      <c r="A56" s="22">
        <v>52</v>
      </c>
      <c r="B56" s="22">
        <v>1000005004</v>
      </c>
      <c r="C56" s="62" t="s">
        <v>64</v>
      </c>
      <c r="D56" s="22" t="s">
        <v>12</v>
      </c>
      <c r="E56" s="22">
        <f>IFERROR(VLOOKUP(B56,'SCAFFOLDING MATERIAL OVERALL'!B58:X220,12,FALSE),"-")</f>
        <v>0</v>
      </c>
      <c r="F56" s="22">
        <f>INDEX([1]Sheet2!$D:$D,MATCH(B56,[1]Sheet2!$A:$A,0))</f>
        <v>0</v>
      </c>
      <c r="G56" s="22" t="str">
        <f t="shared" si="0"/>
        <v>SAME</v>
      </c>
      <c r="H56" s="22">
        <f t="shared" si="1"/>
        <v>0</v>
      </c>
    </row>
    <row r="57" spans="1:8" x14ac:dyDescent="0.25">
      <c r="A57" s="22">
        <v>53</v>
      </c>
      <c r="B57" s="22">
        <v>1000005006</v>
      </c>
      <c r="C57" s="62" t="s">
        <v>65</v>
      </c>
      <c r="D57" s="22" t="s">
        <v>12</v>
      </c>
      <c r="E57" s="22">
        <f>IFERROR(VLOOKUP(B57,'SCAFFOLDING MATERIAL OVERALL'!B59:X221,12,FALSE),"-")</f>
        <v>0</v>
      </c>
      <c r="F57" s="22">
        <f>INDEX([1]Sheet2!$D:$D,MATCH(B57,[1]Sheet2!$A:$A,0))</f>
        <v>0</v>
      </c>
      <c r="G57" s="22" t="str">
        <f t="shared" si="0"/>
        <v>SAME</v>
      </c>
      <c r="H57" s="22">
        <f t="shared" si="1"/>
        <v>0</v>
      </c>
    </row>
    <row r="58" spans="1:8" x14ac:dyDescent="0.25">
      <c r="A58" s="22">
        <v>54</v>
      </c>
      <c r="B58" s="22">
        <v>1000005005</v>
      </c>
      <c r="C58" s="62" t="s">
        <v>66</v>
      </c>
      <c r="D58" s="22" t="s">
        <v>12</v>
      </c>
      <c r="E58" s="22">
        <f>IFERROR(VLOOKUP(B58,'SCAFFOLDING MATERIAL OVERALL'!B60:X222,12,FALSE),"-")</f>
        <v>0</v>
      </c>
      <c r="F58" s="22">
        <f>INDEX([1]Sheet2!$D:$D,MATCH(B58,[1]Sheet2!$A:$A,0))</f>
        <v>0</v>
      </c>
      <c r="G58" s="22" t="str">
        <f t="shared" si="0"/>
        <v>SAME</v>
      </c>
      <c r="H58" s="22">
        <f t="shared" si="1"/>
        <v>0</v>
      </c>
    </row>
    <row r="59" spans="1:8" x14ac:dyDescent="0.25">
      <c r="A59" s="22">
        <v>55</v>
      </c>
      <c r="B59" s="22">
        <v>1000006424</v>
      </c>
      <c r="C59" s="62" t="s">
        <v>67</v>
      </c>
      <c r="D59" s="22" t="s">
        <v>12</v>
      </c>
      <c r="E59" s="22">
        <f>IFERROR(VLOOKUP(B59,'SCAFFOLDING MATERIAL OVERALL'!B61:X223,12,FALSE),"-")</f>
        <v>0</v>
      </c>
      <c r="F59" s="22">
        <f>INDEX([1]Sheet2!$D:$D,MATCH(B59,[1]Sheet2!$A:$A,0))</f>
        <v>0</v>
      </c>
      <c r="G59" s="22" t="str">
        <f t="shared" si="0"/>
        <v>SAME</v>
      </c>
      <c r="H59" s="22">
        <f t="shared" si="1"/>
        <v>0</v>
      </c>
    </row>
    <row r="60" spans="1:8" x14ac:dyDescent="0.25">
      <c r="A60" s="22">
        <v>56</v>
      </c>
      <c r="B60" s="22">
        <v>1000005009</v>
      </c>
      <c r="C60" s="62" t="s">
        <v>68</v>
      </c>
      <c r="D60" s="22" t="s">
        <v>12</v>
      </c>
      <c r="E60" s="22">
        <f>IFERROR(VLOOKUP(B60,'SCAFFOLDING MATERIAL OVERALL'!B62:X224,12,FALSE),"-")</f>
        <v>0</v>
      </c>
      <c r="F60" s="22">
        <f>INDEX([1]Sheet2!$D:$D,MATCH(B60,[1]Sheet2!$A:$A,0))</f>
        <v>0</v>
      </c>
      <c r="G60" s="22" t="str">
        <f t="shared" si="0"/>
        <v>SAME</v>
      </c>
      <c r="H60" s="22">
        <f t="shared" si="1"/>
        <v>0</v>
      </c>
    </row>
    <row r="61" spans="1:8" x14ac:dyDescent="0.25">
      <c r="A61" s="22">
        <v>57</v>
      </c>
      <c r="B61" s="22">
        <v>1000005008</v>
      </c>
      <c r="C61" s="62" t="s">
        <v>69</v>
      </c>
      <c r="D61" s="22" t="s">
        <v>12</v>
      </c>
      <c r="E61" s="22">
        <f>IFERROR(VLOOKUP(B61,'SCAFFOLDING MATERIAL OVERALL'!B63:X225,12,FALSE),"-")</f>
        <v>0</v>
      </c>
      <c r="F61" s="22">
        <f>INDEX([1]Sheet2!$D:$D,MATCH(B61,[1]Sheet2!$A:$A,0))</f>
        <v>0</v>
      </c>
      <c r="G61" s="22" t="str">
        <f t="shared" si="0"/>
        <v>SAME</v>
      </c>
      <c r="H61" s="22">
        <f t="shared" si="1"/>
        <v>0</v>
      </c>
    </row>
    <row r="62" spans="1:8" x14ac:dyDescent="0.25">
      <c r="A62" s="22">
        <v>58</v>
      </c>
      <c r="B62" s="22">
        <v>1000005007</v>
      </c>
      <c r="C62" s="62" t="s">
        <v>70</v>
      </c>
      <c r="D62" s="22" t="s">
        <v>12</v>
      </c>
      <c r="E62" s="22">
        <f>IFERROR(VLOOKUP(B62,'SCAFFOLDING MATERIAL OVERALL'!B64:X226,12,FALSE),"-")</f>
        <v>0</v>
      </c>
      <c r="F62" s="22" t="e">
        <f>INDEX([1]Sheet2!$D:$D,MATCH(B62,[1]Sheet2!$A:$A,0))</f>
        <v>#N/A</v>
      </c>
      <c r="G62" s="22" t="e">
        <f t="shared" si="0"/>
        <v>#N/A</v>
      </c>
      <c r="H62" s="22" t="e">
        <f t="shared" si="1"/>
        <v>#N/A</v>
      </c>
    </row>
    <row r="63" spans="1:8" x14ac:dyDescent="0.25">
      <c r="A63" s="22">
        <v>59</v>
      </c>
      <c r="B63" s="22">
        <v>1000005003</v>
      </c>
      <c r="C63" s="62" t="s">
        <v>71</v>
      </c>
      <c r="D63" s="22" t="s">
        <v>12</v>
      </c>
      <c r="E63" s="22">
        <f>IFERROR(VLOOKUP(B63,'SCAFFOLDING MATERIAL OVERALL'!B65:X227,12,FALSE),"-")</f>
        <v>0</v>
      </c>
      <c r="F63" s="22">
        <f>INDEX([1]Sheet2!$D:$D,MATCH(B63,[1]Sheet2!$A:$A,0))</f>
        <v>0</v>
      </c>
      <c r="G63" s="22" t="str">
        <f t="shared" si="0"/>
        <v>SAME</v>
      </c>
      <c r="H63" s="22">
        <f t="shared" si="1"/>
        <v>0</v>
      </c>
    </row>
    <row r="64" spans="1:8" x14ac:dyDescent="0.25">
      <c r="A64" s="22">
        <v>60</v>
      </c>
      <c r="B64" s="22">
        <v>1000005001</v>
      </c>
      <c r="C64" s="62" t="s">
        <v>72</v>
      </c>
      <c r="D64" s="22" t="s">
        <v>12</v>
      </c>
      <c r="E64" s="22">
        <f>IFERROR(VLOOKUP(B64,'SCAFFOLDING MATERIAL OVERALL'!B66:X228,12,FALSE),"-")</f>
        <v>0</v>
      </c>
      <c r="F64" s="22">
        <f>INDEX([1]Sheet2!$D:$D,MATCH(B64,[1]Sheet2!$A:$A,0))</f>
        <v>0</v>
      </c>
      <c r="G64" s="22" t="str">
        <f t="shared" si="0"/>
        <v>SAME</v>
      </c>
      <c r="H64" s="22">
        <f t="shared" si="1"/>
        <v>0</v>
      </c>
    </row>
    <row r="65" spans="1:9" x14ac:dyDescent="0.25">
      <c r="A65" s="22">
        <v>61</v>
      </c>
      <c r="B65" s="22">
        <v>1000005002</v>
      </c>
      <c r="C65" s="62" t="s">
        <v>73</v>
      </c>
      <c r="D65" s="22" t="s">
        <v>12</v>
      </c>
      <c r="E65" s="22">
        <f>IFERROR(VLOOKUP(B65,'SCAFFOLDING MATERIAL OVERALL'!B67:X229,12,FALSE),"-")</f>
        <v>0</v>
      </c>
      <c r="F65" s="22">
        <f>INDEX([1]Sheet2!$D:$D,MATCH(B65,[1]Sheet2!$A:$A,0))</f>
        <v>0</v>
      </c>
      <c r="G65" s="22" t="str">
        <f t="shared" si="0"/>
        <v>SAME</v>
      </c>
      <c r="H65" s="22">
        <f t="shared" si="1"/>
        <v>0</v>
      </c>
    </row>
    <row r="66" spans="1:9" x14ac:dyDescent="0.25">
      <c r="A66" s="22">
        <v>62</v>
      </c>
      <c r="B66" s="22">
        <v>1000005000</v>
      </c>
      <c r="C66" s="62" t="s">
        <v>74</v>
      </c>
      <c r="D66" s="22" t="s">
        <v>12</v>
      </c>
      <c r="E66" s="22">
        <f>IFERROR(VLOOKUP(B66,'SCAFFOLDING MATERIAL OVERALL'!B68:X230,12,FALSE),"-")</f>
        <v>0</v>
      </c>
      <c r="F66" s="22">
        <f>INDEX([1]Sheet2!$D:$D,MATCH(B66,[1]Sheet2!$A:$A,0))</f>
        <v>0</v>
      </c>
      <c r="G66" s="22" t="str">
        <f t="shared" si="0"/>
        <v>SAME</v>
      </c>
      <c r="H66" s="22">
        <f t="shared" si="1"/>
        <v>0</v>
      </c>
    </row>
    <row r="67" spans="1:9" x14ac:dyDescent="0.25">
      <c r="A67" s="22">
        <v>63</v>
      </c>
      <c r="B67" s="22">
        <v>3000002340</v>
      </c>
      <c r="C67" s="62" t="s">
        <v>75</v>
      </c>
      <c r="D67" s="22" t="s">
        <v>12</v>
      </c>
      <c r="E67" s="22">
        <f>IFERROR(VLOOKUP(B67,'SCAFFOLDING MATERIAL OVERALL'!B69:X231,12,FALSE),"-")</f>
        <v>2450</v>
      </c>
      <c r="F67" s="22">
        <f>INDEX([1]Sheet2!$D:$D,MATCH(B67,[1]Sheet2!$A:$A,0))</f>
        <v>178</v>
      </c>
      <c r="G67" s="22" t="b">
        <f t="shared" si="0"/>
        <v>0</v>
      </c>
      <c r="H67" s="22">
        <f t="shared" si="1"/>
        <v>-2272</v>
      </c>
    </row>
    <row r="68" spans="1:9" x14ac:dyDescent="0.25">
      <c r="A68" s="22">
        <v>64</v>
      </c>
      <c r="B68" s="22">
        <v>3000001211</v>
      </c>
      <c r="C68" s="62" t="s">
        <v>76</v>
      </c>
      <c r="D68" s="22" t="s">
        <v>12</v>
      </c>
      <c r="E68" s="22">
        <f>IFERROR(VLOOKUP(B68,'SCAFFOLDING MATERIAL OVERALL'!B70:X232,12,FALSE),"-")</f>
        <v>42</v>
      </c>
      <c r="F68" s="22">
        <f>INDEX([1]Sheet2!$D:$D,MATCH(B68,[1]Sheet2!$A:$A,0))</f>
        <v>0</v>
      </c>
      <c r="G68" s="22" t="b">
        <f t="shared" si="0"/>
        <v>0</v>
      </c>
      <c r="H68" s="22">
        <f t="shared" si="1"/>
        <v>-42</v>
      </c>
    </row>
    <row r="69" spans="1:9" x14ac:dyDescent="0.25">
      <c r="A69" s="22">
        <v>65</v>
      </c>
      <c r="B69" s="22">
        <v>3000001212</v>
      </c>
      <c r="C69" s="62" t="s">
        <v>77</v>
      </c>
      <c r="D69" s="22" t="s">
        <v>12</v>
      </c>
      <c r="E69" s="22">
        <f>IFERROR(VLOOKUP(B69,'SCAFFOLDING MATERIAL OVERALL'!B71:X233,12,FALSE),"-")</f>
        <v>1879</v>
      </c>
      <c r="F69" s="22">
        <f>INDEX([1]Sheet2!$D:$D,MATCH(B69,[1]Sheet2!$A:$A,0))</f>
        <v>132</v>
      </c>
      <c r="G69" s="22" t="b">
        <f t="shared" si="0"/>
        <v>0</v>
      </c>
      <c r="H69" s="22">
        <f t="shared" si="1"/>
        <v>-1747</v>
      </c>
    </row>
    <row r="70" spans="1:9" x14ac:dyDescent="0.25">
      <c r="A70" s="22">
        <v>66</v>
      </c>
      <c r="B70" s="22">
        <v>3000002341</v>
      </c>
      <c r="C70" s="62" t="s">
        <v>78</v>
      </c>
      <c r="D70" s="22" t="s">
        <v>12</v>
      </c>
      <c r="E70" s="22">
        <f>IFERROR(VLOOKUP(B70,'SCAFFOLDING MATERIAL OVERALL'!B72:X234,12,FALSE),"-")</f>
        <v>4866</v>
      </c>
      <c r="F70" s="22">
        <f>INDEX([1]Sheet2!$D:$D,MATCH(B70,[1]Sheet2!$A:$A,0))</f>
        <v>0</v>
      </c>
      <c r="G70" s="22" t="b">
        <f t="shared" ref="G70:G133" si="2">IF(E70=F70,"SAME")</f>
        <v>0</v>
      </c>
      <c r="H70" s="22">
        <f t="shared" ref="H70:H133" si="3">F70-E70</f>
        <v>-4866</v>
      </c>
    </row>
    <row r="71" spans="1:9" x14ac:dyDescent="0.25">
      <c r="A71" s="22">
        <v>67</v>
      </c>
      <c r="B71" s="22">
        <v>3000001214</v>
      </c>
      <c r="C71" s="62" t="s">
        <v>79</v>
      </c>
      <c r="D71" s="22" t="s">
        <v>12</v>
      </c>
      <c r="E71" s="22">
        <f>IFERROR(VLOOKUP(B71,'SCAFFOLDING MATERIAL OVERALL'!B73:X235,12,FALSE),"-")</f>
        <v>1100</v>
      </c>
      <c r="F71" s="22">
        <f>INDEX([1]Sheet2!$D:$D,MATCH(B71,[1]Sheet2!$A:$A,0))</f>
        <v>100</v>
      </c>
      <c r="G71" s="22" t="b">
        <f t="shared" si="2"/>
        <v>0</v>
      </c>
      <c r="H71" s="22">
        <f t="shared" si="3"/>
        <v>-1000</v>
      </c>
    </row>
    <row r="72" spans="1:9" x14ac:dyDescent="0.25">
      <c r="A72" s="22">
        <v>68</v>
      </c>
      <c r="B72" s="22">
        <v>3000001215</v>
      </c>
      <c r="C72" s="62" t="s">
        <v>80</v>
      </c>
      <c r="D72" s="22" t="s">
        <v>12</v>
      </c>
      <c r="E72" s="22">
        <f>IFERROR(VLOOKUP(B72,'SCAFFOLDING MATERIAL OVERALL'!B74:X236,12,FALSE),"-")</f>
        <v>4690</v>
      </c>
      <c r="F72" s="22">
        <f>INDEX([1]Sheet2!$D:$D,MATCH(B72,[1]Sheet2!$A:$A,0))</f>
        <v>675</v>
      </c>
      <c r="G72" s="22" t="b">
        <f t="shared" si="2"/>
        <v>0</v>
      </c>
      <c r="H72" s="22">
        <f t="shared" si="3"/>
        <v>-4015</v>
      </c>
    </row>
    <row r="73" spans="1:9" x14ac:dyDescent="0.25">
      <c r="A73" s="22">
        <v>69</v>
      </c>
      <c r="B73" s="22">
        <v>3000001216</v>
      </c>
      <c r="C73" s="62" t="s">
        <v>81</v>
      </c>
      <c r="D73" s="22" t="s">
        <v>12</v>
      </c>
      <c r="E73" s="22">
        <f>IFERROR(VLOOKUP(B73,'SCAFFOLDING MATERIAL OVERALL'!B75:X237,12,FALSE),"-")</f>
        <v>0</v>
      </c>
      <c r="F73" s="22">
        <f>INDEX([1]Sheet2!$D:$D,MATCH(B73,[1]Sheet2!$A:$A,0))</f>
        <v>0</v>
      </c>
      <c r="G73" s="22" t="str">
        <f t="shared" si="2"/>
        <v>SAME</v>
      </c>
      <c r="H73" s="22">
        <f t="shared" si="3"/>
        <v>0</v>
      </c>
    </row>
    <row r="74" spans="1:9" x14ac:dyDescent="0.25">
      <c r="A74" s="22">
        <v>70</v>
      </c>
      <c r="B74" s="22">
        <v>3000001217</v>
      </c>
      <c r="C74" s="62" t="s">
        <v>82</v>
      </c>
      <c r="D74" s="22" t="s">
        <v>12</v>
      </c>
      <c r="E74" s="22">
        <f>IFERROR(VLOOKUP(B74,'SCAFFOLDING MATERIAL OVERALL'!B76:X238,12,FALSE),"-")</f>
        <v>0</v>
      </c>
      <c r="F74" s="22">
        <f>INDEX([1]Sheet2!$D:$D,MATCH(B74,[1]Sheet2!$A:$A,0))</f>
        <v>0</v>
      </c>
      <c r="G74" s="22" t="str">
        <f t="shared" si="2"/>
        <v>SAME</v>
      </c>
      <c r="H74" s="22">
        <f t="shared" si="3"/>
        <v>0</v>
      </c>
    </row>
    <row r="75" spans="1:9" x14ac:dyDescent="0.25">
      <c r="A75" s="22">
        <v>71</v>
      </c>
      <c r="B75" s="22">
        <v>3000000009</v>
      </c>
      <c r="C75" s="62" t="s">
        <v>407</v>
      </c>
      <c r="D75" s="22" t="s">
        <v>12</v>
      </c>
      <c r="E75" s="22">
        <f>IFERROR(VLOOKUP(B75,'SCAFFOLDING MATERIAL OVERALL'!B77:X239,12,FALSE),"-")</f>
        <v>0</v>
      </c>
      <c r="F75" s="22">
        <f>INDEX([1]Sheet2!$D:$D,MATCH(B75,[1]Sheet2!$A:$A,0))</f>
        <v>200</v>
      </c>
      <c r="G75" s="22" t="b">
        <f t="shared" si="2"/>
        <v>0</v>
      </c>
      <c r="H75" s="22">
        <f t="shared" si="3"/>
        <v>200</v>
      </c>
    </row>
    <row r="76" spans="1:9" x14ac:dyDescent="0.25">
      <c r="A76" s="22">
        <v>72</v>
      </c>
      <c r="B76" s="22">
        <v>3000000011</v>
      </c>
      <c r="C76" s="62" t="s">
        <v>84</v>
      </c>
      <c r="D76" s="22" t="s">
        <v>12</v>
      </c>
      <c r="E76" s="22">
        <f>IFERROR(VLOOKUP(B76,'SCAFFOLDING MATERIAL OVERALL'!B78:X240,12,FALSE),"-")</f>
        <v>0</v>
      </c>
      <c r="F76" s="22">
        <f>INDEX([1]Sheet2!$D:$D,MATCH(B76,[1]Sheet2!$A:$A,0))</f>
        <v>0</v>
      </c>
      <c r="G76" s="22" t="str">
        <f t="shared" si="2"/>
        <v>SAME</v>
      </c>
      <c r="H76" s="22">
        <f t="shared" si="3"/>
        <v>0</v>
      </c>
    </row>
    <row r="77" spans="1:9" x14ac:dyDescent="0.25">
      <c r="A77" s="22">
        <v>73</v>
      </c>
      <c r="B77" s="22">
        <v>3000000707</v>
      </c>
      <c r="C77" s="62" t="s">
        <v>85</v>
      </c>
      <c r="D77" s="22" t="s">
        <v>12</v>
      </c>
      <c r="E77" s="22">
        <f>IFERROR(VLOOKUP(B77,'SCAFFOLDING MATERIAL OVERALL'!B79:X241,12,FALSE),"-")</f>
        <v>0</v>
      </c>
      <c r="F77" s="22">
        <f>INDEX([1]Sheet2!$D:$D,MATCH(B77,[1]Sheet2!$A:$A,0))</f>
        <v>0</v>
      </c>
      <c r="G77" s="22" t="str">
        <f t="shared" si="2"/>
        <v>SAME</v>
      </c>
      <c r="H77" s="22">
        <f t="shared" si="3"/>
        <v>0</v>
      </c>
    </row>
    <row r="78" spans="1:9" x14ac:dyDescent="0.25">
      <c r="A78" s="22">
        <v>74</v>
      </c>
      <c r="B78" s="22">
        <v>3000000301</v>
      </c>
      <c r="C78" s="62" t="s">
        <v>86</v>
      </c>
      <c r="D78" s="22" t="s">
        <v>12</v>
      </c>
      <c r="E78" s="22">
        <f>IFERROR(VLOOKUP(B78,'SCAFFOLDING MATERIAL OVERALL'!B80:X242,12,FALSE),"-")</f>
        <v>0</v>
      </c>
      <c r="F78" s="22">
        <f>INDEX([1]Sheet2!$D:$D,MATCH(B78,[1]Sheet2!$A:$A,0))</f>
        <v>0</v>
      </c>
      <c r="G78" s="22" t="str">
        <f t="shared" si="2"/>
        <v>SAME</v>
      </c>
      <c r="H78" s="22">
        <f t="shared" si="3"/>
        <v>0</v>
      </c>
    </row>
    <row r="79" spans="1:9" x14ac:dyDescent="0.25">
      <c r="A79" s="22">
        <v>75</v>
      </c>
      <c r="B79" s="22">
        <v>3000000302</v>
      </c>
      <c r="C79" s="62" t="s">
        <v>87</v>
      </c>
      <c r="D79" s="22" t="s">
        <v>12</v>
      </c>
      <c r="E79" s="22">
        <f>IFERROR(VLOOKUP(B79,'SCAFFOLDING MATERIAL OVERALL'!B81:X243,12,FALSE),"-")</f>
        <v>0</v>
      </c>
      <c r="F79" s="22">
        <f>INDEX([1]Sheet2!$D:$D,MATCH(B79,[1]Sheet2!$A:$A,0))</f>
        <v>0</v>
      </c>
      <c r="G79" s="22" t="str">
        <f t="shared" si="2"/>
        <v>SAME</v>
      </c>
      <c r="H79" s="22">
        <f t="shared" si="3"/>
        <v>0</v>
      </c>
      <c r="I79" s="22">
        <v>500</v>
      </c>
    </row>
    <row r="80" spans="1:9" x14ac:dyDescent="0.25">
      <c r="A80" s="22">
        <v>76</v>
      </c>
      <c r="B80" s="22">
        <v>3000000303</v>
      </c>
      <c r="C80" s="62" t="s">
        <v>88</v>
      </c>
      <c r="D80" s="22" t="s">
        <v>12</v>
      </c>
      <c r="E80" s="22">
        <f>IFERROR(VLOOKUP(B80,'SCAFFOLDING MATERIAL OVERALL'!B82:X244,12,FALSE),"-")</f>
        <v>0</v>
      </c>
      <c r="F80" s="22">
        <f>INDEX([1]Sheet2!$D:$D,MATCH(B80,[1]Sheet2!$A:$A,0))</f>
        <v>150</v>
      </c>
      <c r="G80" s="22" t="b">
        <f t="shared" si="2"/>
        <v>0</v>
      </c>
      <c r="H80" s="22">
        <f t="shared" si="3"/>
        <v>150</v>
      </c>
    </row>
    <row r="81" spans="1:9" x14ac:dyDescent="0.25">
      <c r="A81" s="22">
        <v>77</v>
      </c>
      <c r="B81" s="22">
        <v>3000000304</v>
      </c>
      <c r="C81" s="62" t="s">
        <v>89</v>
      </c>
      <c r="D81" s="22" t="s">
        <v>12</v>
      </c>
      <c r="E81" s="22">
        <f>IFERROR(VLOOKUP(B81,'SCAFFOLDING MATERIAL OVERALL'!B83:X245,12,FALSE),"-")</f>
        <v>0</v>
      </c>
      <c r="F81" s="22">
        <f>INDEX([1]Sheet2!$D:$D,MATCH(B81,[1]Sheet2!$A:$A,0))</f>
        <v>176</v>
      </c>
      <c r="G81" s="22" t="b">
        <f t="shared" si="2"/>
        <v>0</v>
      </c>
      <c r="H81" s="22">
        <f t="shared" si="3"/>
        <v>176</v>
      </c>
    </row>
    <row r="82" spans="1:9" x14ac:dyDescent="0.25">
      <c r="A82" s="22">
        <v>78</v>
      </c>
      <c r="B82" s="22">
        <v>3000000305</v>
      </c>
      <c r="C82" s="62" t="s">
        <v>90</v>
      </c>
      <c r="D82" s="22" t="s">
        <v>12</v>
      </c>
      <c r="E82" s="22">
        <f>IFERROR(VLOOKUP(B82,'SCAFFOLDING MATERIAL OVERALL'!B84:X246,12,FALSE),"-")</f>
        <v>0</v>
      </c>
      <c r="F82" s="22">
        <f>INDEX([1]Sheet2!$D:$D,MATCH(B82,[1]Sheet2!$A:$A,0))</f>
        <v>0</v>
      </c>
      <c r="G82" s="22" t="str">
        <f t="shared" si="2"/>
        <v>SAME</v>
      </c>
      <c r="H82" s="22">
        <f t="shared" si="3"/>
        <v>0</v>
      </c>
    </row>
    <row r="83" spans="1:9" x14ac:dyDescent="0.25">
      <c r="A83" s="22">
        <v>79</v>
      </c>
      <c r="B83" s="22">
        <v>3000000306</v>
      </c>
      <c r="C83" s="62" t="s">
        <v>91</v>
      </c>
      <c r="D83" s="22" t="s">
        <v>12</v>
      </c>
      <c r="E83" s="22">
        <f>IFERROR(VLOOKUP(B83,'SCAFFOLDING MATERIAL OVERALL'!B85:X247,12,FALSE),"-")</f>
        <v>0</v>
      </c>
      <c r="F83" s="22">
        <f>INDEX([1]Sheet2!$D:$D,MATCH(B83,[1]Sheet2!$A:$A,0))</f>
        <v>78</v>
      </c>
      <c r="G83" s="22" t="b">
        <f t="shared" si="2"/>
        <v>0</v>
      </c>
      <c r="H83" s="22">
        <f t="shared" si="3"/>
        <v>78</v>
      </c>
    </row>
    <row r="84" spans="1:9" x14ac:dyDescent="0.25">
      <c r="A84" s="22">
        <v>80</v>
      </c>
      <c r="B84" s="22">
        <v>3000000307</v>
      </c>
      <c r="C84" s="62" t="s">
        <v>92</v>
      </c>
      <c r="D84" s="22" t="s">
        <v>12</v>
      </c>
      <c r="E84" s="22">
        <f>IFERROR(VLOOKUP(B84,'SCAFFOLDING MATERIAL OVERALL'!B86:X248,12,FALSE),"-")</f>
        <v>0</v>
      </c>
      <c r="F84" s="22">
        <f>INDEX([1]Sheet2!$D:$D,MATCH(B84,[1]Sheet2!$A:$A,0))</f>
        <v>0</v>
      </c>
      <c r="G84" s="22" t="str">
        <f t="shared" si="2"/>
        <v>SAME</v>
      </c>
      <c r="H84" s="22">
        <f t="shared" si="3"/>
        <v>0</v>
      </c>
    </row>
    <row r="85" spans="1:9" x14ac:dyDescent="0.25">
      <c r="A85" s="22">
        <v>81</v>
      </c>
      <c r="B85" s="22">
        <v>3000000308</v>
      </c>
      <c r="C85" s="62" t="s">
        <v>93</v>
      </c>
      <c r="D85" s="22" t="s">
        <v>12</v>
      </c>
      <c r="E85" s="22">
        <f>IFERROR(VLOOKUP(B85,'SCAFFOLDING MATERIAL OVERALL'!B87:X249,12,FALSE),"-")</f>
        <v>0</v>
      </c>
      <c r="F85" s="22">
        <f>INDEX([1]Sheet2!$D:$D,MATCH(B85,[1]Sheet2!$A:$A,0))</f>
        <v>0</v>
      </c>
      <c r="G85" s="22" t="str">
        <f t="shared" si="2"/>
        <v>SAME</v>
      </c>
      <c r="H85" s="22">
        <f t="shared" si="3"/>
        <v>0</v>
      </c>
    </row>
    <row r="86" spans="1:9" x14ac:dyDescent="0.25">
      <c r="A86" s="22">
        <v>82</v>
      </c>
      <c r="B86" s="22">
        <v>3000003396</v>
      </c>
      <c r="C86" s="62" t="s">
        <v>94</v>
      </c>
      <c r="D86" s="22" t="s">
        <v>12</v>
      </c>
      <c r="E86" s="22">
        <f>IFERROR(VLOOKUP(B86,'SCAFFOLDING MATERIAL OVERALL'!B88:X250,12,FALSE),"-")</f>
        <v>0</v>
      </c>
      <c r="F86" s="22">
        <f>INDEX([1]Sheet2!$D:$D,MATCH(B86,[1]Sheet2!$A:$A,0))</f>
        <v>0</v>
      </c>
      <c r="G86" s="22" t="str">
        <f t="shared" si="2"/>
        <v>SAME</v>
      </c>
      <c r="H86" s="22">
        <f t="shared" si="3"/>
        <v>0</v>
      </c>
    </row>
    <row r="87" spans="1:9" x14ac:dyDescent="0.25">
      <c r="A87" s="22">
        <v>83</v>
      </c>
      <c r="B87" s="22">
        <v>3000000309</v>
      </c>
      <c r="C87" s="62" t="s">
        <v>95</v>
      </c>
      <c r="D87" s="22" t="s">
        <v>12</v>
      </c>
      <c r="E87" s="22">
        <f>IFERROR(VLOOKUP(B87,'SCAFFOLDING MATERIAL OVERALL'!B89:X251,12,FALSE),"-")</f>
        <v>0</v>
      </c>
      <c r="F87" s="22">
        <f>INDEX([1]Sheet2!$D:$D,MATCH(B87,[1]Sheet2!$A:$A,0))</f>
        <v>295</v>
      </c>
      <c r="G87" s="22" t="b">
        <f t="shared" si="2"/>
        <v>0</v>
      </c>
      <c r="H87" s="22">
        <f t="shared" si="3"/>
        <v>295</v>
      </c>
      <c r="I87" s="22">
        <v>900</v>
      </c>
    </row>
    <row r="88" spans="1:9" x14ac:dyDescent="0.25">
      <c r="A88" s="22">
        <v>84</v>
      </c>
      <c r="B88" s="22">
        <v>3000000310</v>
      </c>
      <c r="C88" s="62" t="s">
        <v>96</v>
      </c>
      <c r="D88" s="22" t="s">
        <v>12</v>
      </c>
      <c r="E88" s="22">
        <f>IFERROR(VLOOKUP(B88,'SCAFFOLDING MATERIAL OVERALL'!B90:X252,12,FALSE),"-")</f>
        <v>0</v>
      </c>
      <c r="F88" s="22">
        <v>90</v>
      </c>
      <c r="G88" s="22" t="b">
        <f t="shared" si="2"/>
        <v>0</v>
      </c>
      <c r="H88" s="22">
        <f t="shared" si="3"/>
        <v>90</v>
      </c>
    </row>
    <row r="89" spans="1:9" x14ac:dyDescent="0.25">
      <c r="A89" s="22">
        <v>85</v>
      </c>
      <c r="B89" s="22">
        <v>3000008517</v>
      </c>
      <c r="C89" s="62" t="s">
        <v>97</v>
      </c>
      <c r="D89" s="22" t="s">
        <v>12</v>
      </c>
      <c r="E89" s="22">
        <f>IFERROR(VLOOKUP(B89,'SCAFFOLDING MATERIAL OVERALL'!B91:X253,12,FALSE),"-")</f>
        <v>0</v>
      </c>
      <c r="F89" s="22">
        <f>INDEX([1]Sheet2!$D:$D,MATCH(B89,[1]Sheet2!$A:$A,0))</f>
        <v>0</v>
      </c>
      <c r="G89" s="22" t="str">
        <f t="shared" si="2"/>
        <v>SAME</v>
      </c>
      <c r="H89" s="22">
        <f t="shared" si="3"/>
        <v>0</v>
      </c>
    </row>
    <row r="90" spans="1:9" x14ac:dyDescent="0.25">
      <c r="A90" s="22">
        <v>86</v>
      </c>
      <c r="B90" s="22">
        <v>3000008518</v>
      </c>
      <c r="C90" s="62" t="s">
        <v>98</v>
      </c>
      <c r="D90" s="22" t="s">
        <v>12</v>
      </c>
      <c r="E90" s="22">
        <f>IFERROR(VLOOKUP(B90,'SCAFFOLDING MATERIAL OVERALL'!B92:X254,12,FALSE),"-")</f>
        <v>0</v>
      </c>
      <c r="F90" s="22">
        <f>INDEX([1]Sheet2!$D:$D,MATCH(B90,[1]Sheet2!$A:$A,0))</f>
        <v>0</v>
      </c>
      <c r="G90" s="22" t="str">
        <f t="shared" si="2"/>
        <v>SAME</v>
      </c>
      <c r="H90" s="22">
        <f t="shared" si="3"/>
        <v>0</v>
      </c>
    </row>
    <row r="91" spans="1:9" x14ac:dyDescent="0.25">
      <c r="A91" s="22">
        <v>87</v>
      </c>
      <c r="B91" s="22">
        <v>3000004960</v>
      </c>
      <c r="C91" s="62" t="s">
        <v>99</v>
      </c>
      <c r="D91" s="22" t="s">
        <v>12</v>
      </c>
      <c r="E91" s="22">
        <f>IFERROR(VLOOKUP(B91,'SCAFFOLDING MATERIAL OVERALL'!B93:X255,12,FALSE),"-")</f>
        <v>0</v>
      </c>
      <c r="F91" s="22">
        <f>INDEX([1]Sheet2!$D:$D,MATCH(B91,[1]Sheet2!$A:$A,0))</f>
        <v>2</v>
      </c>
      <c r="G91" s="22" t="b">
        <f t="shared" si="2"/>
        <v>0</v>
      </c>
      <c r="H91" s="22">
        <f t="shared" si="3"/>
        <v>2</v>
      </c>
    </row>
    <row r="92" spans="1:9" x14ac:dyDescent="0.25">
      <c r="A92" s="22">
        <v>88</v>
      </c>
      <c r="B92" s="22">
        <v>3000008519</v>
      </c>
      <c r="C92" s="62" t="s">
        <v>100</v>
      </c>
      <c r="D92" s="22" t="s">
        <v>12</v>
      </c>
      <c r="E92" s="22">
        <f>IFERROR(VLOOKUP(B92,'SCAFFOLDING MATERIAL OVERALL'!B94:X256,12,FALSE),"-")</f>
        <v>0</v>
      </c>
      <c r="F92" s="22">
        <f>INDEX([1]Sheet2!$D:$D,MATCH(B92,[1]Sheet2!$A:$A,0))</f>
        <v>0</v>
      </c>
      <c r="G92" s="22" t="str">
        <f t="shared" si="2"/>
        <v>SAME</v>
      </c>
      <c r="H92" s="22">
        <f t="shared" si="3"/>
        <v>0</v>
      </c>
    </row>
    <row r="93" spans="1:9" x14ac:dyDescent="0.25">
      <c r="A93" s="22">
        <v>89</v>
      </c>
      <c r="B93" s="22">
        <v>3000008514</v>
      </c>
      <c r="C93" s="62" t="s">
        <v>101</v>
      </c>
      <c r="D93" s="22" t="s">
        <v>12</v>
      </c>
      <c r="E93" s="22">
        <f>IFERROR(VLOOKUP(B93,'SCAFFOLDING MATERIAL OVERALL'!B95:X257,12,FALSE),"-")</f>
        <v>0</v>
      </c>
      <c r="F93" s="22">
        <f>INDEX([1]Sheet2!$D:$D,MATCH(B93,[1]Sheet2!$A:$A,0))</f>
        <v>250</v>
      </c>
      <c r="G93" s="22" t="b">
        <f t="shared" si="2"/>
        <v>0</v>
      </c>
      <c r="H93" s="22">
        <f t="shared" si="3"/>
        <v>250</v>
      </c>
    </row>
    <row r="94" spans="1:9" x14ac:dyDescent="0.25">
      <c r="A94" s="22">
        <v>90</v>
      </c>
      <c r="B94" s="22">
        <v>3000008515</v>
      </c>
      <c r="C94" s="62" t="s">
        <v>102</v>
      </c>
      <c r="D94" s="22" t="s">
        <v>12</v>
      </c>
      <c r="E94" s="22">
        <f>IFERROR(VLOOKUP(B94,'SCAFFOLDING MATERIAL OVERALL'!B96:X258,12,FALSE),"-")</f>
        <v>0</v>
      </c>
      <c r="F94" s="22">
        <f>INDEX([1]Sheet2!$D:$D,MATCH(B94,[1]Sheet2!$A:$A,0))</f>
        <v>0</v>
      </c>
      <c r="G94" s="22" t="str">
        <f t="shared" si="2"/>
        <v>SAME</v>
      </c>
      <c r="H94" s="22">
        <f t="shared" si="3"/>
        <v>0</v>
      </c>
    </row>
    <row r="95" spans="1:9" x14ac:dyDescent="0.25">
      <c r="A95" s="22">
        <v>91</v>
      </c>
      <c r="B95" s="22">
        <v>3000008521</v>
      </c>
      <c r="C95" s="62" t="s">
        <v>103</v>
      </c>
      <c r="D95" s="22" t="s">
        <v>12</v>
      </c>
      <c r="E95" s="22">
        <f>IFERROR(VLOOKUP(B95,'SCAFFOLDING MATERIAL OVERALL'!B97:X259,12,FALSE),"-")</f>
        <v>0</v>
      </c>
      <c r="F95" s="22">
        <f>INDEX([1]Sheet2!$D:$D,MATCH(B95,[1]Sheet2!$A:$A,0))</f>
        <v>0</v>
      </c>
      <c r="G95" s="22" t="str">
        <f t="shared" si="2"/>
        <v>SAME</v>
      </c>
      <c r="H95" s="22">
        <f t="shared" si="3"/>
        <v>0</v>
      </c>
    </row>
    <row r="96" spans="1:9" x14ac:dyDescent="0.25">
      <c r="A96" s="22">
        <v>92</v>
      </c>
      <c r="B96" s="22">
        <v>5000000019</v>
      </c>
      <c r="C96" s="62" t="s">
        <v>104</v>
      </c>
      <c r="D96" s="22" t="s">
        <v>12</v>
      </c>
      <c r="E96" s="22">
        <f>IFERROR(VLOOKUP(B96,'SCAFFOLDING MATERIAL OVERALL'!B98:X260,12,FALSE),"-")</f>
        <v>0</v>
      </c>
      <c r="F96" s="22" t="e">
        <f>INDEX([1]Sheet2!$D:$D,MATCH(B96,[1]Sheet2!$A:$A,0))</f>
        <v>#N/A</v>
      </c>
      <c r="G96" s="22" t="e">
        <f t="shared" si="2"/>
        <v>#N/A</v>
      </c>
      <c r="H96" s="22" t="e">
        <f t="shared" si="3"/>
        <v>#N/A</v>
      </c>
    </row>
    <row r="97" spans="1:8" x14ac:dyDescent="0.25">
      <c r="A97" s="22">
        <v>93</v>
      </c>
      <c r="B97" s="22">
        <v>5000000018</v>
      </c>
      <c r="C97" s="62" t="s">
        <v>105</v>
      </c>
      <c r="D97" s="22" t="s">
        <v>12</v>
      </c>
      <c r="E97" s="22">
        <f>IFERROR(VLOOKUP(B97,'SCAFFOLDING MATERIAL OVERALL'!B99:X261,12,FALSE),"-")</f>
        <v>0</v>
      </c>
      <c r="F97" s="22" t="e">
        <f>INDEX([1]Sheet2!$D:$D,MATCH(B97,[1]Sheet2!$A:$A,0))</f>
        <v>#N/A</v>
      </c>
      <c r="G97" s="22" t="e">
        <f t="shared" si="2"/>
        <v>#N/A</v>
      </c>
      <c r="H97" s="22" t="e">
        <f t="shared" si="3"/>
        <v>#N/A</v>
      </c>
    </row>
    <row r="98" spans="1:8" x14ac:dyDescent="0.25">
      <c r="A98" s="22">
        <v>94</v>
      </c>
      <c r="B98" s="22">
        <v>3000004956</v>
      </c>
      <c r="C98" s="62" t="s">
        <v>106</v>
      </c>
      <c r="D98" s="22" t="s">
        <v>12</v>
      </c>
      <c r="E98" s="22">
        <f>IFERROR(VLOOKUP(B98,'SCAFFOLDING MATERIAL OVERALL'!B100:X262,12,FALSE),"-")</f>
        <v>0</v>
      </c>
      <c r="F98" s="22">
        <f>INDEX([1]Sheet2!$D:$D,MATCH(B98,[1]Sheet2!$A:$A,0))</f>
        <v>120</v>
      </c>
      <c r="G98" s="22" t="b">
        <f t="shared" si="2"/>
        <v>0</v>
      </c>
      <c r="H98" s="22">
        <f t="shared" si="3"/>
        <v>120</v>
      </c>
    </row>
    <row r="99" spans="1:8" x14ac:dyDescent="0.25">
      <c r="A99" s="22">
        <v>95</v>
      </c>
      <c r="B99" s="22">
        <v>3000004954</v>
      </c>
      <c r="C99" s="62" t="s">
        <v>107</v>
      </c>
      <c r="D99" s="22" t="s">
        <v>12</v>
      </c>
      <c r="E99" s="22">
        <f>IFERROR(VLOOKUP(B99,'SCAFFOLDING MATERIAL OVERALL'!B101:X263,12,FALSE),"-")</f>
        <v>0</v>
      </c>
      <c r="F99" s="22">
        <f>INDEX([1]Sheet2!$D:$D,MATCH(B99,[1]Sheet2!$A:$A,0))</f>
        <v>10</v>
      </c>
      <c r="G99" s="22" t="b">
        <f t="shared" si="2"/>
        <v>0</v>
      </c>
      <c r="H99" s="22">
        <f t="shared" si="3"/>
        <v>10</v>
      </c>
    </row>
    <row r="100" spans="1:8" x14ac:dyDescent="0.25">
      <c r="A100" s="22">
        <v>96</v>
      </c>
      <c r="B100" s="22">
        <v>3000005013</v>
      </c>
      <c r="C100" s="62" t="s">
        <v>108</v>
      </c>
      <c r="D100" s="22" t="s">
        <v>12</v>
      </c>
      <c r="E100" s="22">
        <f>IFERROR(VLOOKUP(B100,'SCAFFOLDING MATERIAL OVERALL'!B102:X264,12,FALSE),"-")</f>
        <v>0</v>
      </c>
      <c r="F100" s="22" t="e">
        <f>INDEX([1]Sheet2!$D:$D,MATCH(B100,[1]Sheet2!$A:$A,0))</f>
        <v>#N/A</v>
      </c>
      <c r="G100" s="22" t="e">
        <f t="shared" si="2"/>
        <v>#N/A</v>
      </c>
      <c r="H100" s="22" t="e">
        <f t="shared" si="3"/>
        <v>#N/A</v>
      </c>
    </row>
    <row r="101" spans="1:8" x14ac:dyDescent="0.25">
      <c r="A101" s="22">
        <v>97</v>
      </c>
      <c r="B101" s="22">
        <v>3000004953</v>
      </c>
      <c r="C101" s="62" t="s">
        <v>109</v>
      </c>
      <c r="D101" s="22" t="s">
        <v>12</v>
      </c>
      <c r="E101" s="22">
        <f>IFERROR(VLOOKUP(B101,'SCAFFOLDING MATERIAL OVERALL'!B103:X265,12,FALSE),"-")</f>
        <v>0</v>
      </c>
      <c r="F101" s="22">
        <f>INDEX([1]Sheet2!$D:$D,MATCH(B101,[1]Sheet2!$A:$A,0))</f>
        <v>0</v>
      </c>
      <c r="G101" s="22" t="str">
        <f t="shared" si="2"/>
        <v>SAME</v>
      </c>
      <c r="H101" s="22">
        <f t="shared" si="3"/>
        <v>0</v>
      </c>
    </row>
    <row r="102" spans="1:8" x14ac:dyDescent="0.25">
      <c r="A102" s="22">
        <v>98</v>
      </c>
      <c r="B102" s="22">
        <v>5000000017</v>
      </c>
      <c r="C102" s="62" t="s">
        <v>110</v>
      </c>
      <c r="D102" s="22" t="s">
        <v>12</v>
      </c>
      <c r="E102" s="22">
        <f>IFERROR(VLOOKUP(B102,'SCAFFOLDING MATERIAL OVERALL'!B104:X266,12,FALSE),"-")</f>
        <v>0</v>
      </c>
      <c r="F102" s="22" t="e">
        <f>INDEX([1]Sheet2!$D:$D,MATCH(B102,[1]Sheet2!$A:$A,0))</f>
        <v>#N/A</v>
      </c>
      <c r="G102" s="22" t="e">
        <f t="shared" si="2"/>
        <v>#N/A</v>
      </c>
      <c r="H102" s="22" t="e">
        <f t="shared" si="3"/>
        <v>#N/A</v>
      </c>
    </row>
    <row r="103" spans="1:8" x14ac:dyDescent="0.25">
      <c r="A103" s="22">
        <v>99</v>
      </c>
      <c r="B103" s="22">
        <v>3000008526</v>
      </c>
      <c r="C103" s="62" t="s">
        <v>111</v>
      </c>
      <c r="D103" s="22" t="s">
        <v>12</v>
      </c>
      <c r="E103" s="22">
        <f>IFERROR(VLOOKUP(B103,'SCAFFOLDING MATERIAL OVERALL'!B105:X267,12,FALSE),"-")</f>
        <v>0</v>
      </c>
      <c r="F103" s="22">
        <v>75</v>
      </c>
      <c r="G103" s="22" t="b">
        <f t="shared" si="2"/>
        <v>0</v>
      </c>
      <c r="H103" s="22">
        <f t="shared" si="3"/>
        <v>75</v>
      </c>
    </row>
    <row r="104" spans="1:8" x14ac:dyDescent="0.25">
      <c r="A104" s="22">
        <v>100</v>
      </c>
      <c r="B104" s="22">
        <v>3000008516</v>
      </c>
      <c r="C104" s="62" t="s">
        <v>112</v>
      </c>
      <c r="D104" s="22" t="s">
        <v>12</v>
      </c>
      <c r="E104" s="22">
        <f>IFERROR(VLOOKUP(B104,'SCAFFOLDING MATERIAL OVERALL'!B106:X268,12,FALSE),"-")</f>
        <v>0</v>
      </c>
      <c r="F104" s="22">
        <f>INDEX([1]Sheet2!$D:$D,MATCH(B104,[1]Sheet2!$A:$A,0))</f>
        <v>0</v>
      </c>
      <c r="G104" s="22" t="str">
        <f t="shared" si="2"/>
        <v>SAME</v>
      </c>
      <c r="H104" s="22">
        <f t="shared" si="3"/>
        <v>0</v>
      </c>
    </row>
    <row r="105" spans="1:8" x14ac:dyDescent="0.25">
      <c r="A105" s="22">
        <v>101</v>
      </c>
      <c r="B105" s="22">
        <v>3000002333</v>
      </c>
      <c r="C105" s="62" t="s">
        <v>113</v>
      </c>
      <c r="D105" s="22" t="s">
        <v>12</v>
      </c>
      <c r="E105" s="22">
        <f>IFERROR(VLOOKUP(B105,'SCAFFOLDING MATERIAL OVERALL'!B107:X269,12,FALSE),"-")</f>
        <v>0</v>
      </c>
      <c r="F105" s="22">
        <f>INDEX([1]Sheet2!$D:$D,MATCH(B105,[1]Sheet2!$A:$A,0))</f>
        <v>0</v>
      </c>
      <c r="G105" s="22" t="str">
        <f t="shared" si="2"/>
        <v>SAME</v>
      </c>
      <c r="H105" s="22">
        <f t="shared" si="3"/>
        <v>0</v>
      </c>
    </row>
    <row r="106" spans="1:8" x14ac:dyDescent="0.25">
      <c r="A106" s="22">
        <v>102</v>
      </c>
      <c r="B106" s="22">
        <v>3000000840</v>
      </c>
      <c r="C106" s="62" t="s">
        <v>114</v>
      </c>
      <c r="D106" s="22" t="s">
        <v>12</v>
      </c>
      <c r="E106" s="22">
        <f>IFERROR(VLOOKUP(B106,'SCAFFOLDING MATERIAL OVERALL'!B108:X270,12,FALSE),"-")</f>
        <v>30980</v>
      </c>
      <c r="F106" s="22">
        <f>INDEX([1]Sheet2!$D:$D,MATCH(B106,[1]Sheet2!$A:$A,0))</f>
        <v>2800</v>
      </c>
      <c r="G106" s="22" t="b">
        <f t="shared" si="2"/>
        <v>0</v>
      </c>
      <c r="H106" s="22">
        <f t="shared" si="3"/>
        <v>-28180</v>
      </c>
    </row>
    <row r="107" spans="1:8" x14ac:dyDescent="0.25">
      <c r="A107" s="22">
        <v>103</v>
      </c>
      <c r="B107" s="22">
        <v>3000001222</v>
      </c>
      <c r="C107" s="62" t="s">
        <v>115</v>
      </c>
      <c r="D107" s="22" t="s">
        <v>12</v>
      </c>
      <c r="E107" s="22">
        <f>IFERROR(VLOOKUP(B107,'SCAFFOLDING MATERIAL OVERALL'!B109:X271,12,FALSE),"-")</f>
        <v>0</v>
      </c>
      <c r="F107" s="22">
        <f>INDEX([1]Sheet2!$D:$D,MATCH(B107,[1]Sheet2!$A:$A,0))</f>
        <v>0</v>
      </c>
      <c r="G107" s="22" t="str">
        <f t="shared" si="2"/>
        <v>SAME</v>
      </c>
      <c r="H107" s="22">
        <f t="shared" si="3"/>
        <v>0</v>
      </c>
    </row>
    <row r="108" spans="1:8" x14ac:dyDescent="0.25">
      <c r="A108" s="22">
        <v>104</v>
      </c>
      <c r="B108" s="22">
        <v>5000000008</v>
      </c>
      <c r="C108" s="62" t="s">
        <v>116</v>
      </c>
      <c r="D108" s="22" t="s">
        <v>12</v>
      </c>
      <c r="E108" s="22">
        <f>IFERROR(VLOOKUP(B108,'SCAFFOLDING MATERIAL OVERALL'!B110:X272,12,FALSE),"-")</f>
        <v>0</v>
      </c>
      <c r="F108" s="22">
        <f>INDEX([1]Sheet2!$D:$D,MATCH(B108,[1]Sheet2!$A:$A,0))</f>
        <v>0</v>
      </c>
      <c r="G108" s="22" t="str">
        <f t="shared" si="2"/>
        <v>SAME</v>
      </c>
      <c r="H108" s="22">
        <f t="shared" si="3"/>
        <v>0</v>
      </c>
    </row>
    <row r="109" spans="1:8" x14ac:dyDescent="0.25">
      <c r="A109" s="22">
        <v>105</v>
      </c>
      <c r="B109" s="22">
        <v>3000000849</v>
      </c>
      <c r="C109" s="62" t="s">
        <v>117</v>
      </c>
      <c r="D109" s="22" t="s">
        <v>12</v>
      </c>
      <c r="E109" s="22">
        <f>IFERROR(VLOOKUP(B109,'SCAFFOLDING MATERIAL OVERALL'!B111:X273,12,FALSE),"-")</f>
        <v>112186</v>
      </c>
      <c r="F109" s="22">
        <f>INDEX([1]Sheet2!$D:$D,MATCH(B109,[1]Sheet2!$A:$A,0))</f>
        <v>5396</v>
      </c>
      <c r="G109" s="22" t="b">
        <f t="shared" si="2"/>
        <v>0</v>
      </c>
      <c r="H109" s="22">
        <f t="shared" si="3"/>
        <v>-106790</v>
      </c>
    </row>
    <row r="110" spans="1:8" x14ac:dyDescent="0.25">
      <c r="A110" s="22">
        <v>106</v>
      </c>
      <c r="B110" s="22">
        <v>1000006668</v>
      </c>
      <c r="C110" s="62" t="s">
        <v>118</v>
      </c>
      <c r="D110" s="22" t="s">
        <v>12</v>
      </c>
      <c r="E110" s="22">
        <f>IFERROR(VLOOKUP(B110,'SCAFFOLDING MATERIAL OVERALL'!B112:X274,12,FALSE),"-")</f>
        <v>0</v>
      </c>
      <c r="F110" s="22">
        <f>INDEX([1]Sheet2!$D:$D,MATCH(B110,[1]Sheet2!$A:$A,0))</f>
        <v>0</v>
      </c>
      <c r="G110" s="22" t="str">
        <f t="shared" si="2"/>
        <v>SAME</v>
      </c>
      <c r="H110" s="22">
        <f t="shared" si="3"/>
        <v>0</v>
      </c>
    </row>
    <row r="111" spans="1:8" x14ac:dyDescent="0.25">
      <c r="A111" s="22">
        <v>107</v>
      </c>
      <c r="B111" s="22">
        <v>3000001196</v>
      </c>
      <c r="C111" s="62" t="s">
        <v>119</v>
      </c>
      <c r="D111" s="22" t="s">
        <v>12</v>
      </c>
      <c r="E111" s="22">
        <f>IFERROR(VLOOKUP(B111,'SCAFFOLDING MATERIAL OVERALL'!B113:X275,12,FALSE),"-")</f>
        <v>0</v>
      </c>
      <c r="F111" s="22">
        <f>INDEX([1]Sheet2!$D:$D,MATCH(B111,[1]Sheet2!$A:$A,0))</f>
        <v>132</v>
      </c>
      <c r="G111" s="22" t="b">
        <f t="shared" si="2"/>
        <v>0</v>
      </c>
      <c r="H111" s="22">
        <f t="shared" si="3"/>
        <v>132</v>
      </c>
    </row>
    <row r="112" spans="1:8" x14ac:dyDescent="0.25">
      <c r="A112" s="22">
        <v>108</v>
      </c>
      <c r="B112" s="22" t="s">
        <v>406</v>
      </c>
      <c r="C112" s="62" t="s">
        <v>121</v>
      </c>
      <c r="D112" s="22" t="s">
        <v>12</v>
      </c>
      <c r="E112" s="22" t="str">
        <f>IFERROR(VLOOKUP(B112,'SCAFFOLDING MATERIAL OVERALL'!B114:X276,12,FALSE),"-")</f>
        <v>-</v>
      </c>
      <c r="F112" s="22" t="e">
        <f>INDEX([1]Sheet2!$D:$D,MATCH(B112,[1]Sheet2!$A:$A,0))</f>
        <v>#N/A</v>
      </c>
      <c r="G112" s="22" t="e">
        <f t="shared" si="2"/>
        <v>#N/A</v>
      </c>
      <c r="H112" s="22" t="e">
        <f t="shared" si="3"/>
        <v>#N/A</v>
      </c>
    </row>
    <row r="113" spans="1:9" x14ac:dyDescent="0.25">
      <c r="A113" s="22">
        <v>109</v>
      </c>
      <c r="B113" s="22">
        <v>3000000316</v>
      </c>
      <c r="C113" s="62" t="s">
        <v>122</v>
      </c>
      <c r="D113" s="22" t="s">
        <v>12</v>
      </c>
      <c r="E113" s="22">
        <f>IFERROR(VLOOKUP(B113,'SCAFFOLDING MATERIAL OVERALL'!B115:X277,12,FALSE),"-")</f>
        <v>0</v>
      </c>
      <c r="F113" s="22">
        <f>INDEX([1]Sheet2!$D:$D,MATCH(B113,[1]Sheet2!$A:$A,0))</f>
        <v>0</v>
      </c>
      <c r="G113" s="22" t="str">
        <f t="shared" si="2"/>
        <v>SAME</v>
      </c>
      <c r="H113" s="22">
        <f t="shared" si="3"/>
        <v>0</v>
      </c>
    </row>
    <row r="114" spans="1:9" x14ac:dyDescent="0.25">
      <c r="A114" s="22">
        <v>110</v>
      </c>
      <c r="B114" s="22">
        <v>3000000312</v>
      </c>
      <c r="C114" s="62" t="s">
        <v>123</v>
      </c>
      <c r="D114" s="22" t="s">
        <v>12</v>
      </c>
      <c r="E114" s="22">
        <f>IFERROR(VLOOKUP(B114,'SCAFFOLDING MATERIAL OVERALL'!B116:X278,12,FALSE),"-")</f>
        <v>0</v>
      </c>
      <c r="F114" s="22">
        <f>INDEX([1]Sheet2!$D:$D,MATCH(B114,[1]Sheet2!$A:$A,0))</f>
        <v>0</v>
      </c>
      <c r="G114" s="22" t="str">
        <f t="shared" si="2"/>
        <v>SAME</v>
      </c>
      <c r="H114" s="22">
        <f t="shared" si="3"/>
        <v>0</v>
      </c>
    </row>
    <row r="115" spans="1:9" x14ac:dyDescent="0.25">
      <c r="A115" s="22">
        <v>111</v>
      </c>
      <c r="B115" s="22">
        <v>3000000313</v>
      </c>
      <c r="C115" s="62" t="s">
        <v>124</v>
      </c>
      <c r="D115" s="22" t="s">
        <v>12</v>
      </c>
      <c r="E115" s="22">
        <f>IFERROR(VLOOKUP(B115,'SCAFFOLDING MATERIAL OVERALL'!B117:X279,12,FALSE),"-")</f>
        <v>0</v>
      </c>
      <c r="F115" s="22">
        <f>INDEX([1]Sheet2!$D:$D,MATCH(B115,[1]Sheet2!$A:$A,0))</f>
        <v>0</v>
      </c>
      <c r="G115" s="22" t="str">
        <f t="shared" si="2"/>
        <v>SAME</v>
      </c>
      <c r="H115" s="22">
        <f t="shared" si="3"/>
        <v>0</v>
      </c>
    </row>
    <row r="116" spans="1:9" x14ac:dyDescent="0.25">
      <c r="A116" s="22">
        <v>112</v>
      </c>
      <c r="B116" s="22">
        <v>3000000314</v>
      </c>
      <c r="C116" s="62" t="s">
        <v>125</v>
      </c>
      <c r="D116" s="22" t="s">
        <v>12</v>
      </c>
      <c r="E116" s="22">
        <f>IFERROR(VLOOKUP(B116,'SCAFFOLDING MATERIAL OVERALL'!B118:X280,12,FALSE),"-")</f>
        <v>0</v>
      </c>
      <c r="F116" s="22">
        <f>INDEX([1]Sheet2!$D:$D,MATCH(B116,[1]Sheet2!$A:$A,0))</f>
        <v>45</v>
      </c>
      <c r="G116" s="22" t="b">
        <f t="shared" si="2"/>
        <v>0</v>
      </c>
      <c r="H116" s="22">
        <f t="shared" si="3"/>
        <v>45</v>
      </c>
    </row>
    <row r="117" spans="1:9" x14ac:dyDescent="0.25">
      <c r="A117" s="22">
        <v>113</v>
      </c>
      <c r="B117" s="22">
        <v>3000000315</v>
      </c>
      <c r="C117" s="62" t="s">
        <v>126</v>
      </c>
      <c r="D117" s="22" t="s">
        <v>12</v>
      </c>
      <c r="E117" s="22">
        <f>IFERROR(VLOOKUP(B117,'SCAFFOLDING MATERIAL OVERALL'!B119:X281,12,FALSE),"-")</f>
        <v>0</v>
      </c>
      <c r="F117" s="22">
        <f>INDEX([1]Sheet2!$D:$D,MATCH(B117,[1]Sheet2!$A:$A,0))</f>
        <v>0</v>
      </c>
      <c r="G117" s="22" t="str">
        <f t="shared" si="2"/>
        <v>SAME</v>
      </c>
      <c r="H117" s="22">
        <f t="shared" si="3"/>
        <v>0</v>
      </c>
    </row>
    <row r="118" spans="1:9" x14ac:dyDescent="0.25">
      <c r="A118" s="22">
        <v>114</v>
      </c>
      <c r="B118" s="22">
        <v>3000000317</v>
      </c>
      <c r="C118" s="62" t="s">
        <v>127</v>
      </c>
      <c r="D118" s="22" t="s">
        <v>12</v>
      </c>
      <c r="E118" s="22">
        <f>IFERROR(VLOOKUP(B118,'SCAFFOLDING MATERIAL OVERALL'!B120:X282,12,FALSE),"-")</f>
        <v>0</v>
      </c>
      <c r="F118" s="22">
        <f>INDEX([1]Sheet2!$D:$D,MATCH(B118,[1]Sheet2!$A:$A,0))</f>
        <v>0</v>
      </c>
      <c r="G118" s="22" t="str">
        <f t="shared" si="2"/>
        <v>SAME</v>
      </c>
      <c r="H118" s="22">
        <f t="shared" si="3"/>
        <v>0</v>
      </c>
    </row>
    <row r="119" spans="1:9" x14ac:dyDescent="0.25">
      <c r="A119" s="22">
        <v>115</v>
      </c>
      <c r="B119" s="22">
        <v>3000000318</v>
      </c>
      <c r="C119" s="62" t="s">
        <v>128</v>
      </c>
      <c r="D119" s="22" t="s">
        <v>12</v>
      </c>
      <c r="E119" s="22">
        <f>IFERROR(VLOOKUP(B119,'SCAFFOLDING MATERIAL OVERALL'!B121:X283,12,FALSE),"-")</f>
        <v>0</v>
      </c>
      <c r="F119" s="22">
        <f>INDEX([1]Sheet2!$D:$D,MATCH(B119,[1]Sheet2!$A:$A,0))</f>
        <v>224</v>
      </c>
      <c r="G119" s="22" t="b">
        <f t="shared" si="2"/>
        <v>0</v>
      </c>
      <c r="H119" s="22">
        <f t="shared" si="3"/>
        <v>224</v>
      </c>
      <c r="I119" s="22">
        <v>750</v>
      </c>
    </row>
    <row r="120" spans="1:9" x14ac:dyDescent="0.25">
      <c r="A120" s="22">
        <v>116</v>
      </c>
      <c r="B120" s="22">
        <v>5000000010</v>
      </c>
      <c r="C120" s="62" t="s">
        <v>129</v>
      </c>
      <c r="D120" s="22" t="s">
        <v>12</v>
      </c>
      <c r="E120" s="22">
        <f>IFERROR(VLOOKUP(B120,'SCAFFOLDING MATERIAL OVERALL'!B122:X284,12,FALSE),"-")</f>
        <v>0</v>
      </c>
      <c r="F120" s="22" t="e">
        <f>INDEX([1]Sheet2!$D:$D,MATCH(B120,[1]Sheet2!$A:$A,0))</f>
        <v>#N/A</v>
      </c>
      <c r="G120" s="22" t="e">
        <f t="shared" si="2"/>
        <v>#N/A</v>
      </c>
      <c r="H120" s="22" t="e">
        <f t="shared" si="3"/>
        <v>#N/A</v>
      </c>
    </row>
    <row r="121" spans="1:9" x14ac:dyDescent="0.25">
      <c r="A121" s="22">
        <v>117</v>
      </c>
      <c r="B121" s="22">
        <v>5000000016</v>
      </c>
      <c r="C121" s="62" t="s">
        <v>130</v>
      </c>
      <c r="D121" s="22" t="s">
        <v>12</v>
      </c>
      <c r="E121" s="22">
        <f>IFERROR(VLOOKUP(B121,'SCAFFOLDING MATERIAL OVERALL'!B123:X285,12,FALSE),"-")</f>
        <v>0</v>
      </c>
      <c r="F121" s="22" t="e">
        <f>INDEX([1]Sheet2!$D:$D,MATCH(B121,[1]Sheet2!$A:$A,0))</f>
        <v>#N/A</v>
      </c>
      <c r="G121" s="22" t="e">
        <f t="shared" si="2"/>
        <v>#N/A</v>
      </c>
      <c r="H121" s="22" t="e">
        <f t="shared" si="3"/>
        <v>#N/A</v>
      </c>
    </row>
    <row r="122" spans="1:9" x14ac:dyDescent="0.25">
      <c r="A122" s="22">
        <v>118</v>
      </c>
      <c r="B122" s="22">
        <v>5000000015</v>
      </c>
      <c r="C122" s="62" t="s">
        <v>131</v>
      </c>
      <c r="D122" s="22" t="s">
        <v>12</v>
      </c>
      <c r="E122" s="22">
        <f>IFERROR(VLOOKUP(B122,'SCAFFOLDING MATERIAL OVERALL'!B124:X286,12,FALSE),"-")</f>
        <v>0</v>
      </c>
      <c r="F122" s="22" t="e">
        <f>INDEX([1]Sheet2!$D:$D,MATCH(B122,[1]Sheet2!$A:$A,0))</f>
        <v>#N/A</v>
      </c>
      <c r="G122" s="22" t="e">
        <f t="shared" si="2"/>
        <v>#N/A</v>
      </c>
      <c r="H122" s="22" t="e">
        <f t="shared" si="3"/>
        <v>#N/A</v>
      </c>
    </row>
    <row r="123" spans="1:9" x14ac:dyDescent="0.25">
      <c r="A123" s="22">
        <v>119</v>
      </c>
      <c r="B123" s="22">
        <v>3000002701</v>
      </c>
      <c r="C123" s="62" t="s">
        <v>132</v>
      </c>
      <c r="D123" s="22" t="s">
        <v>12</v>
      </c>
      <c r="E123" s="22">
        <f>IFERROR(VLOOKUP(B123,'SCAFFOLDING MATERIAL OVERALL'!B125:X287,12,FALSE),"-")</f>
        <v>2603</v>
      </c>
      <c r="F123" s="22">
        <f>INDEX([1]Sheet2!$D:$D,MATCH(B123,[1]Sheet2!$A:$A,0))</f>
        <v>258</v>
      </c>
      <c r="G123" s="22" t="b">
        <f t="shared" si="2"/>
        <v>0</v>
      </c>
      <c r="H123" s="22">
        <f t="shared" si="3"/>
        <v>-2345</v>
      </c>
    </row>
    <row r="124" spans="1:9" x14ac:dyDescent="0.25">
      <c r="A124" s="22">
        <v>120</v>
      </c>
      <c r="B124" s="22">
        <v>3000002771</v>
      </c>
      <c r="C124" s="62" t="s">
        <v>133</v>
      </c>
      <c r="D124" s="22" t="s">
        <v>12</v>
      </c>
      <c r="E124" s="22">
        <f>IFERROR(VLOOKUP(B124,'SCAFFOLDING MATERIAL OVERALL'!B126:X288,12,FALSE),"-")</f>
        <v>650</v>
      </c>
      <c r="F124" s="22">
        <f>INDEX([1]Sheet2!$D:$D,MATCH(B124,[1]Sheet2!$A:$A,0))</f>
        <v>0</v>
      </c>
      <c r="G124" s="22" t="b">
        <f t="shared" si="2"/>
        <v>0</v>
      </c>
      <c r="H124" s="22">
        <f t="shared" si="3"/>
        <v>-650</v>
      </c>
    </row>
    <row r="125" spans="1:9" x14ac:dyDescent="0.25">
      <c r="A125" s="22">
        <v>121</v>
      </c>
      <c r="B125" s="22">
        <v>3000002777</v>
      </c>
      <c r="C125" s="62" t="s">
        <v>134</v>
      </c>
      <c r="D125" s="22" t="s">
        <v>12</v>
      </c>
      <c r="E125" s="22">
        <f>IFERROR(VLOOKUP(B125,'SCAFFOLDING MATERIAL OVERALL'!B127:X289,12,FALSE),"-")</f>
        <v>2202</v>
      </c>
      <c r="F125" s="22">
        <f>INDEX([1]Sheet2!$D:$D,MATCH(B125,[1]Sheet2!$A:$A,0))</f>
        <v>95</v>
      </c>
      <c r="G125" s="22" t="b">
        <f t="shared" si="2"/>
        <v>0</v>
      </c>
      <c r="H125" s="22">
        <f t="shared" si="3"/>
        <v>-2107</v>
      </c>
    </row>
    <row r="126" spans="1:9" x14ac:dyDescent="0.25">
      <c r="A126" s="22">
        <v>122</v>
      </c>
      <c r="B126" s="22">
        <v>3000002700</v>
      </c>
      <c r="C126" s="62" t="s">
        <v>135</v>
      </c>
      <c r="D126" s="22" t="s">
        <v>12</v>
      </c>
      <c r="E126" s="22">
        <f>IFERROR(VLOOKUP(B126,'SCAFFOLDING MATERIAL OVERALL'!B128:X290,12,FALSE),"-")</f>
        <v>10921</v>
      </c>
      <c r="F126" s="22">
        <f>INDEX([1]Sheet2!$D:$D,MATCH(B126,[1]Sheet2!$A:$A,0))</f>
        <v>521</v>
      </c>
      <c r="G126" s="22" t="b">
        <f t="shared" si="2"/>
        <v>0</v>
      </c>
      <c r="H126" s="22">
        <f t="shared" si="3"/>
        <v>-10400</v>
      </c>
    </row>
    <row r="127" spans="1:9" x14ac:dyDescent="0.25">
      <c r="A127" s="22">
        <v>123</v>
      </c>
      <c r="B127" s="22">
        <v>3000002699</v>
      </c>
      <c r="C127" s="62" t="s">
        <v>136</v>
      </c>
      <c r="D127" s="22" t="s">
        <v>12</v>
      </c>
      <c r="E127" s="22">
        <f>IFERROR(VLOOKUP(B127,'SCAFFOLDING MATERIAL OVERALL'!B129:X291,12,FALSE),"-")</f>
        <v>12776</v>
      </c>
      <c r="F127" s="22">
        <f>INDEX([1]Sheet2!$D:$D,MATCH(B127,[1]Sheet2!$A:$A,0))</f>
        <v>432</v>
      </c>
      <c r="G127" s="22" t="b">
        <f t="shared" si="2"/>
        <v>0</v>
      </c>
      <c r="H127" s="22">
        <f t="shared" si="3"/>
        <v>-12344</v>
      </c>
    </row>
    <row r="128" spans="1:9" x14ac:dyDescent="0.25">
      <c r="A128" s="22">
        <v>124</v>
      </c>
      <c r="B128" s="22">
        <v>3000002698</v>
      </c>
      <c r="C128" s="62" t="s">
        <v>137</v>
      </c>
      <c r="D128" s="22" t="s">
        <v>12</v>
      </c>
      <c r="E128" s="22">
        <f>IFERROR(VLOOKUP(B128,'SCAFFOLDING MATERIAL OVERALL'!B130:X292,12,FALSE),"-")</f>
        <v>17532</v>
      </c>
      <c r="F128" s="22">
        <f>INDEX([1]Sheet2!$D:$D,MATCH(B128,[1]Sheet2!$A:$A,0))</f>
        <v>753</v>
      </c>
      <c r="G128" s="22" t="b">
        <f t="shared" si="2"/>
        <v>0</v>
      </c>
      <c r="H128" s="22">
        <f t="shared" si="3"/>
        <v>-16779</v>
      </c>
    </row>
    <row r="129" spans="1:8" x14ac:dyDescent="0.25">
      <c r="A129" s="22">
        <v>125</v>
      </c>
      <c r="B129" s="22">
        <v>1000006677</v>
      </c>
      <c r="C129" s="62" t="s">
        <v>138</v>
      </c>
      <c r="D129" s="22" t="s">
        <v>12</v>
      </c>
      <c r="E129" s="22">
        <f>IFERROR(VLOOKUP(B129,'SCAFFOLDING MATERIAL OVERALL'!B131:X293,12,FALSE),"-")</f>
        <v>6615</v>
      </c>
      <c r="F129" s="22">
        <f>INDEX([1]Sheet2!$D:$D,MATCH(B129,[1]Sheet2!$A:$A,0))</f>
        <v>148</v>
      </c>
      <c r="G129" s="22" t="b">
        <f t="shared" si="2"/>
        <v>0</v>
      </c>
      <c r="H129" s="22">
        <f t="shared" si="3"/>
        <v>-6467</v>
      </c>
    </row>
    <row r="130" spans="1:8" x14ac:dyDescent="0.25">
      <c r="A130" s="22">
        <v>126</v>
      </c>
      <c r="B130" s="22">
        <v>3000002697</v>
      </c>
      <c r="C130" s="62" t="s">
        <v>139</v>
      </c>
      <c r="D130" s="22" t="s">
        <v>12</v>
      </c>
      <c r="E130" s="22">
        <f>IFERROR(VLOOKUP(B130,'SCAFFOLDING MATERIAL OVERALL'!B132:X294,12,FALSE),"-")</f>
        <v>9140</v>
      </c>
      <c r="F130" s="22">
        <f>INDEX([1]Sheet2!$D:$D,MATCH(B130,[1]Sheet2!$A:$A,0))</f>
        <v>793</v>
      </c>
      <c r="G130" s="22" t="b">
        <f t="shared" si="2"/>
        <v>0</v>
      </c>
      <c r="H130" s="22">
        <f t="shared" si="3"/>
        <v>-8347</v>
      </c>
    </row>
    <row r="131" spans="1:8" x14ac:dyDescent="0.25">
      <c r="A131" s="22">
        <v>127</v>
      </c>
      <c r="B131" s="22">
        <v>1000006676</v>
      </c>
      <c r="C131" s="62" t="s">
        <v>140</v>
      </c>
      <c r="D131" s="22" t="s">
        <v>12</v>
      </c>
      <c r="E131" s="22">
        <f>IFERROR(VLOOKUP(B131,'SCAFFOLDING MATERIAL OVERALL'!B133:X295,12,FALSE),"-")</f>
        <v>365</v>
      </c>
      <c r="F131" s="22">
        <f>INDEX([1]Sheet2!$D:$D,MATCH(B131,[1]Sheet2!$A:$A,0))</f>
        <v>6</v>
      </c>
      <c r="G131" s="22" t="b">
        <f t="shared" si="2"/>
        <v>0</v>
      </c>
      <c r="H131" s="22">
        <f t="shared" si="3"/>
        <v>-359</v>
      </c>
    </row>
    <row r="132" spans="1:8" x14ac:dyDescent="0.25">
      <c r="A132" s="22">
        <v>128</v>
      </c>
      <c r="B132" s="22">
        <v>3000002696</v>
      </c>
      <c r="C132" s="62" t="s">
        <v>141</v>
      </c>
      <c r="D132" s="22" t="s">
        <v>12</v>
      </c>
      <c r="E132" s="22">
        <f>IFERROR(VLOOKUP(B132,'SCAFFOLDING MATERIAL OVERALL'!B134:X296,12,FALSE),"-")</f>
        <v>5000</v>
      </c>
      <c r="F132" s="22">
        <f>INDEX([1]Sheet2!$D:$D,MATCH(B132,[1]Sheet2!$A:$A,0))</f>
        <v>666</v>
      </c>
      <c r="G132" s="22" t="b">
        <f t="shared" si="2"/>
        <v>0</v>
      </c>
      <c r="H132" s="22">
        <f t="shared" si="3"/>
        <v>-4334</v>
      </c>
    </row>
    <row r="133" spans="1:8" x14ac:dyDescent="0.25">
      <c r="A133" s="22">
        <v>129</v>
      </c>
      <c r="B133" s="22">
        <v>3000002693</v>
      </c>
      <c r="C133" s="62" t="s">
        <v>142</v>
      </c>
      <c r="D133" s="22" t="s">
        <v>12</v>
      </c>
      <c r="E133" s="22">
        <f>IFERROR(VLOOKUP(B133,'SCAFFOLDING MATERIAL OVERALL'!B135:X297,12,FALSE),"-")</f>
        <v>50</v>
      </c>
      <c r="F133" s="22">
        <f>INDEX([1]Sheet2!$D:$D,MATCH(B133,[1]Sheet2!$A:$A,0))</f>
        <v>0</v>
      </c>
      <c r="G133" s="22" t="b">
        <f t="shared" si="2"/>
        <v>0</v>
      </c>
      <c r="H133" s="22">
        <f t="shared" si="3"/>
        <v>-50</v>
      </c>
    </row>
    <row r="134" spans="1:8" x14ac:dyDescent="0.25">
      <c r="A134" s="22">
        <v>130</v>
      </c>
      <c r="B134" s="22">
        <v>1000006777</v>
      </c>
      <c r="C134" s="62" t="s">
        <v>144</v>
      </c>
      <c r="D134" s="22" t="s">
        <v>12</v>
      </c>
      <c r="E134" s="22" t="str">
        <f>IFERROR(VLOOKUP(B134,'SCAFFOLDING MATERIAL OVERALL'!B136:X298,12,FALSE),"-")</f>
        <v>-</v>
      </c>
      <c r="F134" s="22">
        <f>INDEX([1]Sheet2!$D:$D,MATCH(B134,[1]Sheet2!$A:$A,0))</f>
        <v>0</v>
      </c>
      <c r="G134" s="22" t="b">
        <f t="shared" ref="G134:G170" si="4">IF(E134=F134,"SAME")</f>
        <v>0</v>
      </c>
      <c r="H134" s="22" t="e">
        <f t="shared" ref="H134:H170" si="5">F134-E134</f>
        <v>#VALUE!</v>
      </c>
    </row>
    <row r="135" spans="1:8" x14ac:dyDescent="0.25">
      <c r="A135" s="22">
        <v>131</v>
      </c>
      <c r="B135" s="22">
        <v>3000002692</v>
      </c>
      <c r="C135" s="62" t="s">
        <v>145</v>
      </c>
      <c r="D135" s="22" t="s">
        <v>12</v>
      </c>
      <c r="E135" s="22">
        <f>IFERROR(VLOOKUP(B135,'SCAFFOLDING MATERIAL OVERALL'!B137:X299,12,FALSE),"-")</f>
        <v>3237</v>
      </c>
      <c r="F135" s="22">
        <f>INDEX([1]Sheet2!$D:$D,MATCH(B135,[1]Sheet2!$A:$A,0))</f>
        <v>449</v>
      </c>
      <c r="G135" s="22" t="b">
        <f t="shared" si="4"/>
        <v>0</v>
      </c>
      <c r="H135" s="22">
        <f t="shared" si="5"/>
        <v>-2788</v>
      </c>
    </row>
    <row r="136" spans="1:8" x14ac:dyDescent="0.25">
      <c r="A136" s="22">
        <v>132</v>
      </c>
      <c r="B136" s="22">
        <v>3000002334</v>
      </c>
      <c r="C136" s="62" t="s">
        <v>146</v>
      </c>
      <c r="D136" s="22" t="s">
        <v>12</v>
      </c>
      <c r="E136" s="22">
        <f>IFERROR(VLOOKUP(B136,'SCAFFOLDING MATERIAL OVERALL'!B138:X300,12,FALSE),"-")</f>
        <v>0</v>
      </c>
      <c r="F136" s="22">
        <f>INDEX([1]Sheet2!$D:$D,MATCH(B136,[1]Sheet2!$A:$A,0))</f>
        <v>10</v>
      </c>
      <c r="G136" s="22" t="b">
        <f t="shared" si="4"/>
        <v>0</v>
      </c>
      <c r="H136" s="22">
        <f t="shared" si="5"/>
        <v>10</v>
      </c>
    </row>
    <row r="137" spans="1:8" x14ac:dyDescent="0.25">
      <c r="A137" s="22">
        <v>133</v>
      </c>
      <c r="B137" s="22">
        <v>3000003828</v>
      </c>
      <c r="C137" s="62" t="s">
        <v>147</v>
      </c>
      <c r="D137" s="22" t="s">
        <v>12</v>
      </c>
      <c r="E137" s="22">
        <f>IFERROR(VLOOKUP(B137,'SCAFFOLDING MATERIAL OVERALL'!B139:X301,12,FALSE),"-")</f>
        <v>0</v>
      </c>
      <c r="F137" s="22">
        <f>INDEX([1]Sheet2!$D:$D,MATCH(B137,[1]Sheet2!$A:$A,0))</f>
        <v>0</v>
      </c>
      <c r="G137" s="22" t="str">
        <f t="shared" si="4"/>
        <v>SAME</v>
      </c>
      <c r="H137" s="22">
        <f t="shared" si="5"/>
        <v>0</v>
      </c>
    </row>
    <row r="138" spans="1:8" x14ac:dyDescent="0.25">
      <c r="A138" s="22">
        <v>134</v>
      </c>
      <c r="B138" s="22">
        <v>3000000358</v>
      </c>
      <c r="C138" s="62" t="s">
        <v>148</v>
      </c>
      <c r="D138" s="22" t="s">
        <v>12</v>
      </c>
      <c r="E138" s="22">
        <f>IFERROR(VLOOKUP(B138,'SCAFFOLDING MATERIAL OVERALL'!B140:X302,12,FALSE),"-")</f>
        <v>0</v>
      </c>
      <c r="F138" s="22">
        <f>INDEX([1]Sheet2!$D:$D,MATCH(B138,[1]Sheet2!$A:$A,0))</f>
        <v>25</v>
      </c>
      <c r="G138" s="22" t="b">
        <f t="shared" si="4"/>
        <v>0</v>
      </c>
      <c r="H138" s="22">
        <f t="shared" si="5"/>
        <v>25</v>
      </c>
    </row>
    <row r="139" spans="1:8" x14ac:dyDescent="0.25">
      <c r="A139" s="22">
        <v>135</v>
      </c>
      <c r="B139" s="22">
        <v>3000000359</v>
      </c>
      <c r="C139" s="62" t="s">
        <v>149</v>
      </c>
      <c r="D139" s="22" t="s">
        <v>12</v>
      </c>
      <c r="E139" s="22">
        <f>IFERROR(VLOOKUP(B139,'SCAFFOLDING MATERIAL OVERALL'!B141:X303,12,FALSE),"-")</f>
        <v>0</v>
      </c>
      <c r="F139" s="22">
        <f>INDEX([1]Sheet2!$D:$D,MATCH(B139,[1]Sheet2!$A:$A,0))</f>
        <v>25</v>
      </c>
      <c r="G139" s="22" t="b">
        <f t="shared" si="4"/>
        <v>0</v>
      </c>
      <c r="H139" s="22">
        <f t="shared" si="5"/>
        <v>25</v>
      </c>
    </row>
    <row r="140" spans="1:8" x14ac:dyDescent="0.25">
      <c r="A140" s="22">
        <v>136</v>
      </c>
      <c r="B140" s="22">
        <v>3000000361</v>
      </c>
      <c r="C140" s="62" t="s">
        <v>150</v>
      </c>
      <c r="D140" s="22" t="s">
        <v>12</v>
      </c>
      <c r="E140" s="22">
        <f>IFERROR(VLOOKUP(B140,'SCAFFOLDING MATERIAL OVERALL'!B142:X304,12,FALSE),"-")</f>
        <v>0</v>
      </c>
      <c r="F140" s="22">
        <f>INDEX([1]Sheet2!$D:$D,MATCH(B140,[1]Sheet2!$A:$A,0))</f>
        <v>0</v>
      </c>
      <c r="G140" s="22" t="str">
        <f t="shared" si="4"/>
        <v>SAME</v>
      </c>
      <c r="H140" s="22">
        <f t="shared" si="5"/>
        <v>0</v>
      </c>
    </row>
    <row r="141" spans="1:8" x14ac:dyDescent="0.25">
      <c r="A141" s="22">
        <v>137</v>
      </c>
      <c r="B141" s="22">
        <v>3000000363</v>
      </c>
      <c r="C141" s="62" t="s">
        <v>151</v>
      </c>
      <c r="D141" s="22" t="s">
        <v>12</v>
      </c>
      <c r="E141" s="22">
        <f>IFERROR(VLOOKUP(B141,'SCAFFOLDING MATERIAL OVERALL'!B143:X305,12,FALSE),"-")</f>
        <v>0</v>
      </c>
      <c r="F141" s="22">
        <f>INDEX([1]Sheet2!$D:$D,MATCH(B141,[1]Sheet2!$A:$A,0))</f>
        <v>50</v>
      </c>
      <c r="G141" s="22" t="b">
        <f t="shared" si="4"/>
        <v>0</v>
      </c>
      <c r="H141" s="22">
        <f t="shared" si="5"/>
        <v>50</v>
      </c>
    </row>
    <row r="142" spans="1:8" x14ac:dyDescent="0.25">
      <c r="A142" s="22">
        <v>138</v>
      </c>
      <c r="B142" s="22">
        <v>3000000364</v>
      </c>
      <c r="C142" s="62" t="s">
        <v>152</v>
      </c>
      <c r="D142" s="22" t="s">
        <v>12</v>
      </c>
      <c r="E142" s="22">
        <f>IFERROR(VLOOKUP(B142,'SCAFFOLDING MATERIAL OVERALL'!B144:X306,12,FALSE),"-")</f>
        <v>0</v>
      </c>
      <c r="F142" s="22">
        <f>INDEX([1]Sheet2!$D:$D,MATCH(B142,[1]Sheet2!$A:$A,0))</f>
        <v>35</v>
      </c>
      <c r="G142" s="22" t="b">
        <f t="shared" si="4"/>
        <v>0</v>
      </c>
      <c r="H142" s="22">
        <f t="shared" si="5"/>
        <v>35</v>
      </c>
    </row>
    <row r="143" spans="1:8" x14ac:dyDescent="0.25">
      <c r="A143" s="22">
        <v>139</v>
      </c>
      <c r="B143" s="22">
        <v>3000001229</v>
      </c>
      <c r="C143" s="62" t="s">
        <v>153</v>
      </c>
      <c r="D143" s="22" t="s">
        <v>12</v>
      </c>
      <c r="E143" s="22">
        <f>IFERROR(VLOOKUP(B143,'SCAFFOLDING MATERIAL OVERALL'!B145:X307,12,FALSE),"-")</f>
        <v>14462</v>
      </c>
      <c r="F143" s="22">
        <f>INDEX([1]Sheet2!$D:$D,MATCH(B143,[1]Sheet2!$A:$A,0))</f>
        <v>1440</v>
      </c>
      <c r="G143" s="22" t="b">
        <f t="shared" si="4"/>
        <v>0</v>
      </c>
      <c r="H143" s="22">
        <f t="shared" si="5"/>
        <v>-13022</v>
      </c>
    </row>
    <row r="144" spans="1:8" x14ac:dyDescent="0.25">
      <c r="A144" s="22">
        <v>140</v>
      </c>
      <c r="B144" s="22">
        <v>3000001060</v>
      </c>
      <c r="C144" s="62" t="s">
        <v>154</v>
      </c>
      <c r="D144" s="22" t="s">
        <v>12</v>
      </c>
      <c r="E144" s="22">
        <f>IFERROR(VLOOKUP(B144,'SCAFFOLDING MATERIAL OVERALL'!B146:X308,12,FALSE),"-")</f>
        <v>0</v>
      </c>
      <c r="F144" s="22">
        <f>INDEX([1]Sheet2!$D:$D,MATCH(B144,[1]Sheet2!$A:$A,0))</f>
        <v>0</v>
      </c>
      <c r="G144" s="22" t="str">
        <f t="shared" si="4"/>
        <v>SAME</v>
      </c>
      <c r="H144" s="22">
        <f t="shared" si="5"/>
        <v>0</v>
      </c>
    </row>
    <row r="145" spans="1:8" x14ac:dyDescent="0.25">
      <c r="A145" s="22">
        <v>141</v>
      </c>
      <c r="B145" s="22">
        <v>3000001061</v>
      </c>
      <c r="C145" s="62" t="s">
        <v>155</v>
      </c>
      <c r="D145" s="22" t="s">
        <v>12</v>
      </c>
      <c r="E145" s="22">
        <f>IFERROR(VLOOKUP(B145,'SCAFFOLDING MATERIAL OVERALL'!B147:X309,12,FALSE),"-")</f>
        <v>0</v>
      </c>
      <c r="F145" s="22">
        <f>INDEX([1]Sheet2!$D:$D,MATCH(B145,[1]Sheet2!$A:$A,0))</f>
        <v>30</v>
      </c>
      <c r="G145" s="22" t="b">
        <f t="shared" si="4"/>
        <v>0</v>
      </c>
      <c r="H145" s="22">
        <f t="shared" si="5"/>
        <v>30</v>
      </c>
    </row>
    <row r="146" spans="1:8" x14ac:dyDescent="0.25">
      <c r="A146" s="22">
        <v>142</v>
      </c>
      <c r="B146" s="22">
        <v>3000001062</v>
      </c>
      <c r="C146" s="62" t="s">
        <v>156</v>
      </c>
      <c r="D146" s="22" t="s">
        <v>12</v>
      </c>
      <c r="E146" s="22">
        <f>IFERROR(VLOOKUP(B146,'SCAFFOLDING MATERIAL OVERALL'!B148:X310,12,FALSE),"-")</f>
        <v>0</v>
      </c>
      <c r="F146" s="22">
        <f>INDEX([1]Sheet2!$D:$D,MATCH(B146,[1]Sheet2!$A:$A,0))</f>
        <v>65</v>
      </c>
      <c r="G146" s="22" t="b">
        <f t="shared" si="4"/>
        <v>0</v>
      </c>
      <c r="H146" s="22">
        <f t="shared" si="5"/>
        <v>65</v>
      </c>
    </row>
    <row r="147" spans="1:8" x14ac:dyDescent="0.25">
      <c r="A147" s="22">
        <v>143</v>
      </c>
      <c r="B147" s="22">
        <v>3000000000</v>
      </c>
      <c r="C147" s="62" t="s">
        <v>157</v>
      </c>
      <c r="D147" s="22" t="s">
        <v>12</v>
      </c>
      <c r="E147" s="22" t="str">
        <f>IFERROR(VLOOKUP(B147,'SCAFFOLDING MATERIAL OVERALL'!B149:X311,12,FALSE),"-")</f>
        <v>-</v>
      </c>
      <c r="F147" s="22" t="e">
        <f>INDEX([1]Sheet2!$D:$D,MATCH(B147,[1]Sheet2!$A:$A,0))</f>
        <v>#N/A</v>
      </c>
      <c r="G147" s="22" t="e">
        <f t="shared" si="4"/>
        <v>#N/A</v>
      </c>
      <c r="H147" s="22" t="e">
        <f t="shared" si="5"/>
        <v>#N/A</v>
      </c>
    </row>
    <row r="148" spans="1:8" x14ac:dyDescent="0.25">
      <c r="A148" s="22">
        <v>144</v>
      </c>
      <c r="B148" s="22">
        <v>3000002634</v>
      </c>
      <c r="C148" s="62" t="s">
        <v>158</v>
      </c>
      <c r="D148" s="22" t="s">
        <v>12</v>
      </c>
      <c r="E148" s="22">
        <f>IFERROR(VLOOKUP(B148,'SCAFFOLDING MATERIAL OVERALL'!B150:X312,12,FALSE),"-")</f>
        <v>0</v>
      </c>
      <c r="F148" s="22">
        <f>INDEX([1]Sheet2!$D:$D,MATCH(B148,[1]Sheet2!$A:$A,0))</f>
        <v>41</v>
      </c>
      <c r="G148" s="22" t="b">
        <f t="shared" si="4"/>
        <v>0</v>
      </c>
      <c r="H148" s="22">
        <f t="shared" si="5"/>
        <v>41</v>
      </c>
    </row>
    <row r="149" spans="1:8" x14ac:dyDescent="0.25">
      <c r="A149" s="22">
        <v>145</v>
      </c>
      <c r="B149" s="22">
        <v>3000002636</v>
      </c>
      <c r="C149" s="62" t="s">
        <v>159</v>
      </c>
      <c r="D149" s="22" t="s">
        <v>12</v>
      </c>
      <c r="E149" s="22">
        <f>IFERROR(VLOOKUP(B149,'SCAFFOLDING MATERIAL OVERALL'!B151:X313,12,FALSE),"-")</f>
        <v>0</v>
      </c>
      <c r="F149" s="22">
        <f>INDEX([1]Sheet2!$D:$D,MATCH(B149,[1]Sheet2!$A:$A,0))</f>
        <v>0</v>
      </c>
      <c r="G149" s="22" t="str">
        <f t="shared" si="4"/>
        <v>SAME</v>
      </c>
      <c r="H149" s="22">
        <f t="shared" si="5"/>
        <v>0</v>
      </c>
    </row>
    <row r="150" spans="1:8" x14ac:dyDescent="0.25">
      <c r="A150" s="22">
        <v>146</v>
      </c>
      <c r="B150" s="22">
        <v>3000001063</v>
      </c>
      <c r="C150" s="62" t="s">
        <v>160</v>
      </c>
      <c r="D150" s="22" t="s">
        <v>12</v>
      </c>
      <c r="E150" s="22">
        <f>IFERROR(VLOOKUP(B150,'SCAFFOLDING MATERIAL OVERALL'!B152:X314,12,FALSE),"-")</f>
        <v>0</v>
      </c>
      <c r="F150" s="22">
        <f>INDEX([1]Sheet2!$D:$D,MATCH(B150,[1]Sheet2!$A:$A,0))</f>
        <v>0</v>
      </c>
      <c r="G150" s="22" t="str">
        <f t="shared" si="4"/>
        <v>SAME</v>
      </c>
      <c r="H150" s="22">
        <f t="shared" si="5"/>
        <v>0</v>
      </c>
    </row>
    <row r="151" spans="1:8" x14ac:dyDescent="0.25">
      <c r="A151" s="22">
        <v>147</v>
      </c>
      <c r="B151" s="22">
        <v>3000003972</v>
      </c>
      <c r="C151" s="62" t="s">
        <v>161</v>
      </c>
      <c r="D151" s="22" t="s">
        <v>12</v>
      </c>
      <c r="E151" s="22">
        <f>IFERROR(VLOOKUP(B151,'SCAFFOLDING MATERIAL OVERALL'!B153:X315,12,FALSE),"-")</f>
        <v>0</v>
      </c>
      <c r="F151" s="22">
        <f>INDEX([1]Sheet2!$D:$D,MATCH(B151,[1]Sheet2!$A:$A,0))</f>
        <v>0</v>
      </c>
      <c r="G151" s="22" t="str">
        <f t="shared" si="4"/>
        <v>SAME</v>
      </c>
      <c r="H151" s="22">
        <f t="shared" si="5"/>
        <v>0</v>
      </c>
    </row>
    <row r="152" spans="1:8" x14ac:dyDescent="0.25">
      <c r="A152" s="22">
        <v>148</v>
      </c>
      <c r="B152" s="22">
        <v>3000001064</v>
      </c>
      <c r="C152" s="62" t="s">
        <v>162</v>
      </c>
      <c r="D152" s="22" t="s">
        <v>12</v>
      </c>
      <c r="E152" s="22">
        <f>IFERROR(VLOOKUP(B152,'SCAFFOLDING MATERIAL OVERALL'!B154:X316,12,FALSE),"-")</f>
        <v>0</v>
      </c>
      <c r="F152" s="22">
        <f>INDEX([1]Sheet2!$D:$D,MATCH(B152,[1]Sheet2!$A:$A,0))</f>
        <v>110</v>
      </c>
      <c r="G152" s="22" t="b">
        <f t="shared" si="4"/>
        <v>0</v>
      </c>
      <c r="H152" s="22">
        <f t="shared" si="5"/>
        <v>110</v>
      </c>
    </row>
    <row r="153" spans="1:8" x14ac:dyDescent="0.25">
      <c r="A153" s="22">
        <v>149</v>
      </c>
      <c r="B153" s="22">
        <v>3000001065</v>
      </c>
      <c r="C153" s="62" t="s">
        <v>163</v>
      </c>
      <c r="D153" s="22" t="s">
        <v>12</v>
      </c>
      <c r="E153" s="22">
        <f>IFERROR(VLOOKUP(B153,'SCAFFOLDING MATERIAL OVERALL'!B155:X317,12,FALSE),"-")</f>
        <v>0</v>
      </c>
      <c r="F153" s="22">
        <f>INDEX([1]Sheet2!$D:$D,MATCH(B153,[1]Sheet2!$A:$A,0))</f>
        <v>0</v>
      </c>
      <c r="G153" s="22" t="str">
        <f t="shared" si="4"/>
        <v>SAME</v>
      </c>
      <c r="H153" s="22">
        <f t="shared" si="5"/>
        <v>0</v>
      </c>
    </row>
    <row r="154" spans="1:8" x14ac:dyDescent="0.25">
      <c r="A154" s="22">
        <v>150</v>
      </c>
      <c r="B154" s="22">
        <v>5000000009</v>
      </c>
      <c r="C154" s="62" t="s">
        <v>164</v>
      </c>
      <c r="D154" s="22" t="s">
        <v>12</v>
      </c>
      <c r="E154" s="22">
        <f>IFERROR(VLOOKUP(B154,'SCAFFOLDING MATERIAL OVERALL'!B156:X318,12,FALSE),"-")</f>
        <v>0</v>
      </c>
      <c r="F154" s="22" t="e">
        <f>INDEX([1]Sheet2!$D:$D,MATCH(B154,[1]Sheet2!$A:$A,0))</f>
        <v>#N/A</v>
      </c>
      <c r="G154" s="22" t="e">
        <f t="shared" si="4"/>
        <v>#N/A</v>
      </c>
      <c r="H154" s="22" t="e">
        <f t="shared" si="5"/>
        <v>#N/A</v>
      </c>
    </row>
    <row r="155" spans="1:8" x14ac:dyDescent="0.25">
      <c r="A155" s="22">
        <v>151</v>
      </c>
      <c r="B155" s="22">
        <v>5000000003</v>
      </c>
      <c r="C155" s="62" t="s">
        <v>165</v>
      </c>
      <c r="D155" s="22" t="s">
        <v>12</v>
      </c>
      <c r="E155" s="22">
        <f>IFERROR(VLOOKUP(B155,'SCAFFOLDING MATERIAL OVERALL'!B157:X319,12,FALSE),"-")</f>
        <v>0</v>
      </c>
      <c r="F155" s="22" t="e">
        <f>INDEX([1]Sheet2!$D:$D,MATCH(B155,[1]Sheet2!$A:$A,0))</f>
        <v>#N/A</v>
      </c>
      <c r="G155" s="22" t="e">
        <f t="shared" si="4"/>
        <v>#N/A</v>
      </c>
      <c r="H155" s="22" t="e">
        <f t="shared" si="5"/>
        <v>#N/A</v>
      </c>
    </row>
    <row r="156" spans="1:8" x14ac:dyDescent="0.25">
      <c r="A156" s="22">
        <v>152</v>
      </c>
      <c r="B156" s="22">
        <v>5000000002</v>
      </c>
      <c r="C156" s="62" t="s">
        <v>166</v>
      </c>
      <c r="D156" s="22" t="s">
        <v>12</v>
      </c>
      <c r="E156" s="22">
        <f>IFERROR(VLOOKUP(B156,'SCAFFOLDING MATERIAL OVERALL'!B158:X320,12,FALSE),"-")</f>
        <v>0</v>
      </c>
      <c r="F156" s="22" t="e">
        <f>INDEX([1]Sheet2!$D:$D,MATCH(B156,[1]Sheet2!$A:$A,0))</f>
        <v>#N/A</v>
      </c>
      <c r="G156" s="22" t="e">
        <f t="shared" si="4"/>
        <v>#N/A</v>
      </c>
      <c r="H156" s="22" t="e">
        <f t="shared" si="5"/>
        <v>#N/A</v>
      </c>
    </row>
    <row r="157" spans="1:8" x14ac:dyDescent="0.25">
      <c r="A157" s="22">
        <v>153</v>
      </c>
      <c r="B157" s="22">
        <v>5000000001</v>
      </c>
      <c r="C157" s="62" t="s">
        <v>167</v>
      </c>
      <c r="D157" s="22" t="s">
        <v>12</v>
      </c>
      <c r="E157" s="22">
        <f>IFERROR(VLOOKUP(B157,'SCAFFOLDING MATERIAL OVERALL'!B159:X321,12,FALSE),"-")</f>
        <v>0</v>
      </c>
      <c r="F157" s="22" t="e">
        <f>INDEX([1]Sheet2!$D:$D,MATCH(B157,[1]Sheet2!$A:$A,0))</f>
        <v>#N/A</v>
      </c>
      <c r="G157" s="22" t="e">
        <f t="shared" si="4"/>
        <v>#N/A</v>
      </c>
      <c r="H157" s="22" t="e">
        <f t="shared" si="5"/>
        <v>#N/A</v>
      </c>
    </row>
    <row r="158" spans="1:8" x14ac:dyDescent="0.25">
      <c r="A158" s="22">
        <v>154</v>
      </c>
      <c r="B158" s="22">
        <v>1000006666</v>
      </c>
      <c r="C158" s="62" t="s">
        <v>168</v>
      </c>
      <c r="D158" s="22" t="s">
        <v>12</v>
      </c>
      <c r="E158" s="22">
        <f>IFERROR(VLOOKUP(B158,'SCAFFOLDING MATERIAL OVERALL'!B160:X322,12,FALSE),"-")</f>
        <v>620</v>
      </c>
      <c r="F158" s="22">
        <f>INDEX([1]Sheet2!$D:$D,MATCH(B158,[1]Sheet2!$A:$A,0))</f>
        <v>104</v>
      </c>
      <c r="G158" s="22" t="b">
        <f t="shared" si="4"/>
        <v>0</v>
      </c>
      <c r="H158" s="22">
        <f t="shared" si="5"/>
        <v>-516</v>
      </c>
    </row>
    <row r="159" spans="1:8" x14ac:dyDescent="0.25">
      <c r="A159" s="22">
        <v>155</v>
      </c>
      <c r="B159" s="22">
        <v>4000015675</v>
      </c>
      <c r="C159" s="62" t="s">
        <v>169</v>
      </c>
      <c r="D159" s="22" t="s">
        <v>12</v>
      </c>
      <c r="E159" s="22">
        <f>IFERROR(VLOOKUP(B159,'SCAFFOLDING MATERIAL OVERALL'!B161:X323,12,FALSE),"-")</f>
        <v>824</v>
      </c>
      <c r="F159" s="22">
        <f>INDEX([1]Sheet2!$D:$D,MATCH(B159,[1]Sheet2!$A:$A,0))</f>
        <v>12</v>
      </c>
      <c r="G159" s="22" t="b">
        <f t="shared" si="4"/>
        <v>0</v>
      </c>
      <c r="H159" s="22">
        <f t="shared" si="5"/>
        <v>-812</v>
      </c>
    </row>
    <row r="160" spans="1:8" x14ac:dyDescent="0.25">
      <c r="A160" s="22">
        <v>156</v>
      </c>
      <c r="B160" s="22">
        <v>4000017082</v>
      </c>
      <c r="C160" s="62" t="s">
        <v>170</v>
      </c>
      <c r="D160" s="22" t="s">
        <v>12</v>
      </c>
      <c r="E160" s="22">
        <f>IFERROR(VLOOKUP(B160,'SCAFFOLDING MATERIAL OVERALL'!B162:X324,12,FALSE),"-")</f>
        <v>461</v>
      </c>
      <c r="F160" s="22">
        <f>INDEX([1]Sheet2!$D:$D,MATCH(B160,[1]Sheet2!$A:$A,0))</f>
        <v>95</v>
      </c>
      <c r="G160" s="22" t="b">
        <f t="shared" si="4"/>
        <v>0</v>
      </c>
      <c r="H160" s="22">
        <f t="shared" si="5"/>
        <v>-366</v>
      </c>
    </row>
    <row r="161" spans="1:8" x14ac:dyDescent="0.25">
      <c r="A161" s="22">
        <v>157</v>
      </c>
      <c r="B161" s="22">
        <v>4000017083</v>
      </c>
      <c r="C161" s="62" t="s">
        <v>171</v>
      </c>
      <c r="D161" s="22" t="s">
        <v>12</v>
      </c>
      <c r="E161" s="22">
        <f>IFERROR(VLOOKUP(B161,'SCAFFOLDING MATERIAL OVERALL'!B163:X325,12,FALSE),"-")</f>
        <v>0</v>
      </c>
      <c r="F161" s="22">
        <f>INDEX([1]Sheet2!$D:$D,MATCH(B161,[1]Sheet2!$A:$A,0))</f>
        <v>50</v>
      </c>
      <c r="G161" s="22" t="b">
        <f t="shared" si="4"/>
        <v>0</v>
      </c>
      <c r="H161" s="22">
        <f t="shared" si="5"/>
        <v>50</v>
      </c>
    </row>
    <row r="162" spans="1:8" x14ac:dyDescent="0.25">
      <c r="A162" s="22">
        <v>158</v>
      </c>
      <c r="B162" s="22">
        <v>4000015873</v>
      </c>
      <c r="C162" s="62" t="s">
        <v>172</v>
      </c>
      <c r="D162" s="22" t="s">
        <v>12</v>
      </c>
      <c r="E162" s="22">
        <f>IFERROR(VLOOKUP(B162,'SCAFFOLDING MATERIAL OVERALL'!B164:X326,12,FALSE),"-")</f>
        <v>453</v>
      </c>
      <c r="F162" s="22">
        <f>INDEX([1]Sheet2!$D:$D,MATCH(B162,[1]Sheet2!$A:$A,0))</f>
        <v>151</v>
      </c>
      <c r="G162" s="22" t="b">
        <f t="shared" si="4"/>
        <v>0</v>
      </c>
      <c r="H162" s="22">
        <f t="shared" si="5"/>
        <v>-302</v>
      </c>
    </row>
    <row r="163" spans="1:8" x14ac:dyDescent="0.25">
      <c r="A163" s="22">
        <v>159</v>
      </c>
      <c r="B163" s="22">
        <v>4000017084</v>
      </c>
      <c r="C163" s="62" t="s">
        <v>173</v>
      </c>
      <c r="D163" s="22" t="s">
        <v>12</v>
      </c>
      <c r="E163" s="22">
        <f>IFERROR(VLOOKUP(B163,'SCAFFOLDING MATERIAL OVERALL'!B165:X327,12,FALSE),"-")</f>
        <v>184</v>
      </c>
      <c r="F163" s="22">
        <v>190</v>
      </c>
      <c r="G163" s="22" t="b">
        <f t="shared" si="4"/>
        <v>0</v>
      </c>
      <c r="H163" s="22">
        <f t="shared" si="5"/>
        <v>6</v>
      </c>
    </row>
    <row r="164" spans="1:8" x14ac:dyDescent="0.25">
      <c r="A164" s="22">
        <v>160</v>
      </c>
      <c r="B164" s="22">
        <v>3000003029</v>
      </c>
      <c r="C164" s="62" t="s">
        <v>211</v>
      </c>
      <c r="D164" s="22" t="s">
        <v>12</v>
      </c>
      <c r="E164" s="22">
        <f>IFERROR(VLOOKUP(B164,'SCAFFOLDING MATERIAL OVERALL'!B166:X328,12,FALSE),"-")</f>
        <v>0</v>
      </c>
      <c r="F164" s="22">
        <f>INDEX([1]Sheet2!$D:$D,MATCH(B164,[1]Sheet2!$A:$A,0))</f>
        <v>138</v>
      </c>
      <c r="G164" s="22" t="b">
        <f t="shared" si="4"/>
        <v>0</v>
      </c>
      <c r="H164" s="22">
        <f t="shared" si="5"/>
        <v>138</v>
      </c>
    </row>
    <row r="165" spans="1:8" x14ac:dyDescent="0.25">
      <c r="A165" s="22">
        <v>161</v>
      </c>
      <c r="B165" s="22">
        <v>3000003029</v>
      </c>
      <c r="C165" s="62" t="s">
        <v>297</v>
      </c>
      <c r="D165" s="22" t="s">
        <v>12</v>
      </c>
      <c r="E165" s="22" t="str">
        <f>IFERROR(VLOOKUP(B165,'SCAFFOLDING MATERIAL OVERALL'!B167:X329,12,FALSE),"-")</f>
        <v>-</v>
      </c>
      <c r="F165" s="22">
        <f>INDEX([1]Sheet2!$D:$D,MATCH(B165,[1]Sheet2!$A:$A,0))</f>
        <v>138</v>
      </c>
      <c r="G165" s="22" t="b">
        <f t="shared" si="4"/>
        <v>0</v>
      </c>
      <c r="H165" s="22" t="e">
        <f t="shared" si="5"/>
        <v>#VALUE!</v>
      </c>
    </row>
    <row r="166" spans="1:8" x14ac:dyDescent="0.25">
      <c r="A166" s="22">
        <v>162</v>
      </c>
      <c r="B166" s="22">
        <v>1000006010</v>
      </c>
      <c r="C166" s="62" t="s">
        <v>298</v>
      </c>
      <c r="D166" s="22" t="s">
        <v>12</v>
      </c>
      <c r="E166" s="22">
        <f>IFERROR(VLOOKUP(B166,'SCAFFOLDING MATERIAL OVERALL'!B168:X330,12,FALSE),"-")</f>
        <v>0</v>
      </c>
      <c r="F166" s="22">
        <f>INDEX([1]Sheet2!$D:$D,MATCH(B166,[1]Sheet2!$A:$A,0))</f>
        <v>0</v>
      </c>
      <c r="G166" s="22" t="str">
        <f t="shared" si="4"/>
        <v>SAME</v>
      </c>
      <c r="H166" s="22">
        <f t="shared" si="5"/>
        <v>0</v>
      </c>
    </row>
    <row r="167" spans="1:8" x14ac:dyDescent="0.25">
      <c r="A167" s="22">
        <v>163</v>
      </c>
      <c r="B167" s="22">
        <v>3000001220</v>
      </c>
      <c r="C167" s="62" t="s">
        <v>300</v>
      </c>
      <c r="D167" s="22" t="s">
        <v>12</v>
      </c>
      <c r="E167" s="22" t="str">
        <f>IFERROR(VLOOKUP(B167,'SCAFFOLDING MATERIAL OVERALL'!B169:X331,12,FALSE),"-")</f>
        <v>-</v>
      </c>
      <c r="F167" s="22">
        <f>INDEX([1]Sheet2!$D:$D,MATCH(B167,[1]Sheet2!$A:$A,0))</f>
        <v>0</v>
      </c>
      <c r="G167" s="22" t="b">
        <f t="shared" si="4"/>
        <v>0</v>
      </c>
      <c r="H167" s="22" t="e">
        <f t="shared" si="5"/>
        <v>#VALUE!</v>
      </c>
    </row>
    <row r="168" spans="1:8" x14ac:dyDescent="0.25">
      <c r="A168" s="22">
        <v>164</v>
      </c>
      <c r="B168" s="22">
        <v>3000001221</v>
      </c>
      <c r="C168" s="62" t="s">
        <v>302</v>
      </c>
      <c r="D168" s="22" t="s">
        <v>12</v>
      </c>
      <c r="E168" s="22" t="str">
        <f>IFERROR(VLOOKUP(B168,'SCAFFOLDING MATERIAL OVERALL'!B170:X332,12,FALSE),"-")</f>
        <v>-</v>
      </c>
      <c r="F168" s="22">
        <f>INDEX([1]Sheet2!$D:$D,MATCH(B168,[1]Sheet2!$A:$A,0))</f>
        <v>0</v>
      </c>
      <c r="G168" s="22" t="b">
        <f t="shared" si="4"/>
        <v>0</v>
      </c>
      <c r="H168" s="22" t="e">
        <f t="shared" si="5"/>
        <v>#VALUE!</v>
      </c>
    </row>
    <row r="169" spans="1:8" x14ac:dyDescent="0.25">
      <c r="A169" s="22">
        <v>165</v>
      </c>
      <c r="B169" s="22">
        <v>3000001223</v>
      </c>
      <c r="C169" s="62" t="s">
        <v>304</v>
      </c>
      <c r="D169" s="22" t="s">
        <v>12</v>
      </c>
      <c r="E169" s="22" t="str">
        <f>IFERROR(VLOOKUP(B169,'SCAFFOLDING MATERIAL OVERALL'!B171:X333,12,FALSE),"-")</f>
        <v>-</v>
      </c>
      <c r="F169" s="22">
        <f>INDEX([1]Sheet2!$D:$D,MATCH(B169,[1]Sheet2!$A:$A,0))</f>
        <v>0</v>
      </c>
      <c r="G169" s="22" t="b">
        <f t="shared" si="4"/>
        <v>0</v>
      </c>
      <c r="H169" s="22" t="e">
        <f t="shared" si="5"/>
        <v>#VALUE!</v>
      </c>
    </row>
    <row r="170" spans="1:8" x14ac:dyDescent="0.25">
      <c r="A170" s="22">
        <v>166</v>
      </c>
      <c r="B170" s="22">
        <v>3000001224</v>
      </c>
      <c r="C170" s="62" t="s">
        <v>306</v>
      </c>
      <c r="D170" s="22" t="s">
        <v>12</v>
      </c>
      <c r="E170" s="22" t="str">
        <f>IFERROR(VLOOKUP(B170,'SCAFFOLDING MATERIAL OVERALL'!B172:X334,12,FALSE),"-")</f>
        <v>-</v>
      </c>
      <c r="F170" s="22">
        <f>INDEX([1]Sheet2!$D:$D,MATCH(B170,[1]Sheet2!$A:$A,0))</f>
        <v>0</v>
      </c>
      <c r="G170" s="22" t="b">
        <f t="shared" si="4"/>
        <v>0</v>
      </c>
      <c r="H170" s="22" t="e">
        <f t="shared" si="5"/>
        <v>#VALUE!</v>
      </c>
    </row>
  </sheetData>
  <autoFilter ref="A4:H170"/>
  <mergeCells count="9">
    <mergeCell ref="A1:H1"/>
    <mergeCell ref="A2:A3"/>
    <mergeCell ref="B2:B3"/>
    <mergeCell ref="C2:C3"/>
    <mergeCell ref="D2:D3"/>
    <mergeCell ref="E2:E3"/>
    <mergeCell ref="F2:F3"/>
    <mergeCell ref="G2:G3"/>
    <mergeCell ref="H2:H3"/>
  </mergeCells>
  <conditionalFormatting sqref="A31:XFD31">
    <cfRule type="expression" dxfId="387" priority="1" stopIfTrue="1">
      <formula>AND(ROW()&gt;=31,ROW()&lt;=31)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179"/>
  <sheetViews>
    <sheetView showGridLines="0" zoomScaleNormal="100" workbookViewId="0">
      <pane xSplit="5" ySplit="4" topLeftCell="F56" activePane="bottomRight" state="frozen"/>
      <selection pane="topRight" activeCell="F1" sqref="F1"/>
      <selection pane="bottomLeft" activeCell="A5" sqref="A5"/>
      <selection pane="bottomRight" activeCell="G64" sqref="G64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.7109375" customWidth="1"/>
    <col min="5" max="5" width="8.42578125" customWidth="1"/>
    <col min="6" max="14" width="10.85546875" style="22" customWidth="1"/>
    <col min="15" max="16" width="9.140625" customWidth="1"/>
    <col min="17" max="17" width="11" bestFit="1" customWidth="1"/>
    <col min="18" max="18" width="45.42578125" customWidth="1"/>
  </cols>
  <sheetData>
    <row r="1" spans="1:16" ht="30.75" customHeight="1" thickBot="1" x14ac:dyDescent="0.3">
      <c r="A1" s="149" t="s">
        <v>420</v>
      </c>
      <c r="B1" s="149" t="s">
        <v>419</v>
      </c>
      <c r="C1" s="149" t="s">
        <v>418</v>
      </c>
      <c r="D1" s="80">
        <f>COUNTA(F1:XFD1)-1</f>
        <v>2</v>
      </c>
      <c r="E1" s="27" t="s">
        <v>188</v>
      </c>
      <c r="F1" s="26" t="s">
        <v>310</v>
      </c>
      <c r="G1" s="26" t="s">
        <v>310</v>
      </c>
      <c r="H1" s="26"/>
      <c r="I1" s="26"/>
      <c r="J1" s="26"/>
      <c r="K1" s="26"/>
      <c r="L1" s="26"/>
      <c r="M1" s="26"/>
      <c r="N1" s="26"/>
      <c r="O1" s="26"/>
      <c r="P1" s="27" t="s">
        <v>177</v>
      </c>
    </row>
    <row r="2" spans="1:16" s="52" customFormat="1" ht="26.25" thickBot="1" x14ac:dyDescent="0.3">
      <c r="A2" s="150"/>
      <c r="B2" s="150"/>
      <c r="C2" s="150" t="s">
        <v>10</v>
      </c>
      <c r="D2" s="4" t="s">
        <v>530</v>
      </c>
      <c r="E2" s="4" t="s">
        <v>186</v>
      </c>
      <c r="F2" s="25" t="s">
        <v>1433</v>
      </c>
      <c r="G2" s="25" t="s">
        <v>1434</v>
      </c>
      <c r="H2" s="25"/>
      <c r="I2" s="25"/>
      <c r="J2" s="25"/>
      <c r="K2" s="25"/>
      <c r="L2" s="25"/>
      <c r="M2" s="25"/>
      <c r="N2" s="25"/>
      <c r="O2" s="25"/>
      <c r="P2" s="25"/>
    </row>
    <row r="3" spans="1:16" s="52" customFormat="1" ht="18.75" x14ac:dyDescent="0.25">
      <c r="A3" s="26"/>
      <c r="B3" s="26"/>
      <c r="C3" s="26"/>
      <c r="D3" s="26"/>
      <c r="E3" s="38" t="s">
        <v>187</v>
      </c>
      <c r="F3" s="27">
        <v>45999</v>
      </c>
      <c r="G3" s="27">
        <v>46000</v>
      </c>
      <c r="H3" s="27"/>
      <c r="I3" s="27"/>
      <c r="J3" s="27"/>
      <c r="K3" s="27"/>
      <c r="L3" s="27"/>
      <c r="M3" s="27"/>
      <c r="N3" s="27"/>
      <c r="O3" s="27"/>
      <c r="P3" s="27"/>
    </row>
    <row r="4" spans="1:16" s="42" customFormat="1" ht="10.5" customHeight="1" x14ac:dyDescent="0.25">
      <c r="A4" s="23"/>
      <c r="B4" s="23"/>
      <c r="C4" s="24"/>
      <c r="D4" s="23"/>
      <c r="E4" s="23"/>
      <c r="F4" s="111"/>
      <c r="G4" s="111"/>
      <c r="H4" s="111"/>
      <c r="I4" s="111"/>
      <c r="J4" s="111"/>
      <c r="K4" s="111"/>
      <c r="L4" s="111"/>
      <c r="M4" s="111"/>
      <c r="N4" s="111"/>
      <c r="O4" s="23"/>
      <c r="P4" s="23"/>
    </row>
    <row r="5" spans="1:16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P5" s="22">
        <v>0</v>
      </c>
    </row>
    <row r="6" spans="1:16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P6" s="22">
        <v>0</v>
      </c>
    </row>
    <row r="7" spans="1:16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P7" s="22">
        <v>0</v>
      </c>
    </row>
    <row r="8" spans="1:16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P8" s="22">
        <v>0</v>
      </c>
    </row>
    <row r="9" spans="1:16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P9" s="22">
        <v>0</v>
      </c>
    </row>
    <row r="10" spans="1:16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P10" s="22">
        <v>0</v>
      </c>
    </row>
    <row r="11" spans="1:16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P11" s="22">
        <v>0</v>
      </c>
    </row>
    <row r="12" spans="1:16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P12" s="22">
        <v>0</v>
      </c>
    </row>
    <row r="13" spans="1:16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P13" s="22">
        <v>0</v>
      </c>
    </row>
    <row r="14" spans="1:16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P14" s="22">
        <v>0</v>
      </c>
    </row>
    <row r="15" spans="1:16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P15" s="22">
        <v>0</v>
      </c>
    </row>
    <row r="16" spans="1:16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P16" s="22">
        <v>0</v>
      </c>
    </row>
    <row r="17" spans="1:16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P17" s="22">
        <v>0</v>
      </c>
    </row>
    <row r="18" spans="1:16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P18" s="22">
        <v>0</v>
      </c>
    </row>
    <row r="19" spans="1:16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P19" s="22">
        <v>0</v>
      </c>
    </row>
    <row r="20" spans="1:16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P20" s="22">
        <v>0</v>
      </c>
    </row>
    <row r="21" spans="1:16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P21" s="22">
        <v>0</v>
      </c>
    </row>
    <row r="22" spans="1:16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P22" s="22">
        <v>0</v>
      </c>
    </row>
    <row r="23" spans="1:16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P23" s="22">
        <v>0</v>
      </c>
    </row>
    <row r="24" spans="1:16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P24" s="22">
        <v>0</v>
      </c>
    </row>
    <row r="25" spans="1:16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P25" s="22">
        <v>0</v>
      </c>
    </row>
    <row r="26" spans="1:16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P26" s="22">
        <v>0</v>
      </c>
    </row>
    <row r="27" spans="1:16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P27" s="22">
        <v>0</v>
      </c>
    </row>
    <row r="28" spans="1:16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P28" s="22">
        <v>0</v>
      </c>
    </row>
    <row r="29" spans="1:16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P29" s="22">
        <v>0</v>
      </c>
    </row>
    <row r="30" spans="1:16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P30" s="22">
        <v>0</v>
      </c>
    </row>
    <row r="31" spans="1:16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P31" s="22">
        <v>0</v>
      </c>
    </row>
    <row r="32" spans="1:16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P32" s="22">
        <v>0</v>
      </c>
    </row>
    <row r="33" spans="1:16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P33" s="22">
        <v>0</v>
      </c>
    </row>
    <row r="34" spans="1:16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P34" s="22">
        <v>0</v>
      </c>
    </row>
    <row r="35" spans="1:16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P35" s="22">
        <v>0</v>
      </c>
    </row>
    <row r="36" spans="1:16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P36" s="22">
        <v>0</v>
      </c>
    </row>
    <row r="37" spans="1:16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P37" s="22">
        <v>0</v>
      </c>
    </row>
    <row r="38" spans="1:16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P38" s="22">
        <v>0</v>
      </c>
    </row>
    <row r="39" spans="1:16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P39" s="22">
        <v>0</v>
      </c>
    </row>
    <row r="40" spans="1:16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P40" s="22">
        <v>0</v>
      </c>
    </row>
    <row r="41" spans="1:16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P41" s="22">
        <v>0</v>
      </c>
    </row>
    <row r="42" spans="1:16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P42" s="22">
        <v>0</v>
      </c>
    </row>
    <row r="43" spans="1:16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P43" s="22">
        <v>0</v>
      </c>
    </row>
    <row r="44" spans="1:16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P44" s="22">
        <v>0</v>
      </c>
    </row>
    <row r="45" spans="1:16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P45" s="22">
        <v>0</v>
      </c>
    </row>
    <row r="46" spans="1:16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P46" s="22">
        <v>0</v>
      </c>
    </row>
    <row r="47" spans="1:16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P47" s="22">
        <v>0</v>
      </c>
    </row>
    <row r="48" spans="1:16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P48" s="22">
        <v>0</v>
      </c>
    </row>
    <row r="49" spans="1:16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P49" s="22">
        <v>0</v>
      </c>
    </row>
    <row r="50" spans="1:16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P50" s="22">
        <v>0</v>
      </c>
    </row>
    <row r="51" spans="1:16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P51" s="22">
        <v>0</v>
      </c>
    </row>
    <row r="52" spans="1:16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P52" s="22">
        <v>0</v>
      </c>
    </row>
    <row r="53" spans="1:16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P53" s="22">
        <v>0</v>
      </c>
    </row>
    <row r="54" spans="1:16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P54" s="22">
        <v>0</v>
      </c>
    </row>
    <row r="55" spans="1:16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P55" s="22">
        <v>0</v>
      </c>
    </row>
    <row r="56" spans="1:16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P56" s="22">
        <v>0</v>
      </c>
    </row>
    <row r="57" spans="1:16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P57" s="22">
        <v>0</v>
      </c>
    </row>
    <row r="58" spans="1:16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P58" s="22">
        <v>0</v>
      </c>
    </row>
    <row r="59" spans="1:16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P59" s="22">
        <v>0</v>
      </c>
    </row>
    <row r="60" spans="1:16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P60" s="22">
        <v>0</v>
      </c>
    </row>
    <row r="61" spans="1:16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P61" s="22">
        <v>0</v>
      </c>
    </row>
    <row r="62" spans="1:16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P62" s="22">
        <v>0</v>
      </c>
    </row>
    <row r="63" spans="1:16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P63" s="22">
        <v>0</v>
      </c>
    </row>
    <row r="64" spans="1:16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P64" s="22">
        <v>0</v>
      </c>
    </row>
    <row r="65" spans="1:16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P65" s="22">
        <v>0</v>
      </c>
    </row>
    <row r="66" spans="1:16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P66" s="22">
        <v>0</v>
      </c>
    </row>
    <row r="67" spans="1:16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G67" s="22">
        <v>15</v>
      </c>
      <c r="P67" s="22">
        <v>15</v>
      </c>
    </row>
    <row r="68" spans="1:16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P68" s="22">
        <v>0</v>
      </c>
    </row>
    <row r="69" spans="1:16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G69" s="22">
        <v>42</v>
      </c>
      <c r="P69" s="22">
        <v>42</v>
      </c>
    </row>
    <row r="70" spans="1:16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G70" s="22">
        <v>49</v>
      </c>
      <c r="P70" s="22">
        <v>49</v>
      </c>
    </row>
    <row r="71" spans="1:16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P71" s="22">
        <v>0</v>
      </c>
    </row>
    <row r="72" spans="1:16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P72" s="22">
        <v>0</v>
      </c>
    </row>
    <row r="73" spans="1:16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P73" s="22">
        <v>0</v>
      </c>
    </row>
    <row r="74" spans="1:16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F74" s="22">
        <v>117</v>
      </c>
      <c r="P74" s="22">
        <v>117</v>
      </c>
    </row>
    <row r="75" spans="1:16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P75" s="22">
        <v>0</v>
      </c>
    </row>
    <row r="76" spans="1:16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P76" s="22">
        <v>0</v>
      </c>
    </row>
    <row r="77" spans="1:16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P77" s="22">
        <v>0</v>
      </c>
    </row>
    <row r="78" spans="1:16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P78" s="22">
        <v>0</v>
      </c>
    </row>
    <row r="79" spans="1:16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P79" s="22">
        <v>0</v>
      </c>
    </row>
    <row r="80" spans="1:16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P80" s="22">
        <v>0</v>
      </c>
    </row>
    <row r="81" spans="1:16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P81" s="22">
        <v>0</v>
      </c>
    </row>
    <row r="82" spans="1:16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P82" s="22">
        <v>0</v>
      </c>
    </row>
    <row r="83" spans="1:16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P83" s="22">
        <v>0</v>
      </c>
    </row>
    <row r="84" spans="1:16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P84" s="22">
        <v>0</v>
      </c>
    </row>
    <row r="85" spans="1:16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P85" s="22">
        <v>0</v>
      </c>
    </row>
    <row r="86" spans="1:16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P86" s="22">
        <v>0</v>
      </c>
    </row>
    <row r="87" spans="1:16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P87" s="22">
        <v>0</v>
      </c>
    </row>
    <row r="88" spans="1:16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P88" s="22">
        <v>0</v>
      </c>
    </row>
    <row r="89" spans="1:16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P89" s="22">
        <v>0</v>
      </c>
    </row>
    <row r="90" spans="1:16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P90" s="22">
        <v>0</v>
      </c>
    </row>
    <row r="91" spans="1:16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P91" s="22">
        <v>0</v>
      </c>
    </row>
    <row r="92" spans="1:16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P92" s="22">
        <v>0</v>
      </c>
    </row>
    <row r="93" spans="1:16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P93" s="22">
        <v>0</v>
      </c>
    </row>
    <row r="94" spans="1:16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P94" s="22">
        <v>0</v>
      </c>
    </row>
    <row r="95" spans="1:16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P95" s="22">
        <v>0</v>
      </c>
    </row>
    <row r="96" spans="1:16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P96" s="22">
        <v>0</v>
      </c>
    </row>
    <row r="97" spans="1:16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P97" s="22">
        <v>0</v>
      </c>
    </row>
    <row r="98" spans="1:16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P98" s="22">
        <v>0</v>
      </c>
    </row>
    <row r="99" spans="1:16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P99" s="22">
        <v>0</v>
      </c>
    </row>
    <row r="100" spans="1:16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P100" s="22">
        <v>0</v>
      </c>
    </row>
    <row r="101" spans="1:16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P101" s="22">
        <v>0</v>
      </c>
    </row>
    <row r="102" spans="1:16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P102" s="22">
        <v>0</v>
      </c>
    </row>
    <row r="103" spans="1:16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P103" s="22">
        <v>0</v>
      </c>
    </row>
    <row r="104" spans="1:16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P104" s="22">
        <v>0</v>
      </c>
    </row>
    <row r="105" spans="1:16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P105" s="22">
        <v>0</v>
      </c>
    </row>
    <row r="106" spans="1:16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P106" s="22">
        <v>0</v>
      </c>
    </row>
    <row r="107" spans="1:16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P107" s="22">
        <v>0</v>
      </c>
    </row>
    <row r="108" spans="1:16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P108" s="22">
        <v>0</v>
      </c>
    </row>
    <row r="109" spans="1:16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P109" s="22">
        <v>0</v>
      </c>
    </row>
    <row r="110" spans="1:16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P110" s="22">
        <v>0</v>
      </c>
    </row>
    <row r="111" spans="1:16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P111" s="22">
        <v>0</v>
      </c>
    </row>
    <row r="112" spans="1:16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P112" s="22">
        <v>0</v>
      </c>
    </row>
    <row r="113" spans="1:16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P113" s="22">
        <v>0</v>
      </c>
    </row>
    <row r="114" spans="1:16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P114" s="22">
        <v>0</v>
      </c>
    </row>
    <row r="115" spans="1:16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P115" s="22">
        <v>0</v>
      </c>
    </row>
    <row r="116" spans="1:16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P116" s="22">
        <v>0</v>
      </c>
    </row>
    <row r="117" spans="1:16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P117" s="22">
        <v>0</v>
      </c>
    </row>
    <row r="118" spans="1:16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P118" s="22">
        <v>0</v>
      </c>
    </row>
    <row r="119" spans="1:16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P119" s="22">
        <v>0</v>
      </c>
    </row>
    <row r="120" spans="1:16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P120" s="22">
        <v>0</v>
      </c>
    </row>
    <row r="121" spans="1:16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P121" s="22">
        <v>0</v>
      </c>
    </row>
    <row r="122" spans="1:16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P122" s="22">
        <v>0</v>
      </c>
    </row>
    <row r="123" spans="1:16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P123" s="22">
        <v>0</v>
      </c>
    </row>
    <row r="124" spans="1:16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P124" s="22">
        <v>0</v>
      </c>
    </row>
    <row r="125" spans="1:16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P125" s="22">
        <v>0</v>
      </c>
    </row>
    <row r="126" spans="1:16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P126" s="22">
        <v>0</v>
      </c>
    </row>
    <row r="127" spans="1:16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P127" s="22">
        <v>0</v>
      </c>
    </row>
    <row r="128" spans="1:16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P128" s="22">
        <v>0</v>
      </c>
    </row>
    <row r="129" spans="1:16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P129" s="22">
        <v>0</v>
      </c>
    </row>
    <row r="130" spans="1:16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P130" s="22">
        <v>0</v>
      </c>
    </row>
    <row r="131" spans="1:16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P131" s="22">
        <v>0</v>
      </c>
    </row>
    <row r="132" spans="1:16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P132" s="22">
        <v>0</v>
      </c>
    </row>
    <row r="133" spans="1:16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P133" s="22">
        <v>0</v>
      </c>
    </row>
    <row r="134" spans="1:16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P134" s="22">
        <v>0</v>
      </c>
    </row>
    <row r="135" spans="1:16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P135" s="22">
        <v>0</v>
      </c>
    </row>
    <row r="136" spans="1:16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P136" s="22">
        <v>0</v>
      </c>
    </row>
    <row r="137" spans="1:16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P137" s="22">
        <v>0</v>
      </c>
    </row>
    <row r="138" spans="1:16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P138" s="22">
        <v>0</v>
      </c>
    </row>
    <row r="139" spans="1:16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P139" s="22">
        <v>0</v>
      </c>
    </row>
    <row r="140" spans="1:16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P140" s="22">
        <v>0</v>
      </c>
    </row>
    <row r="141" spans="1:16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P141" s="22">
        <v>0</v>
      </c>
    </row>
    <row r="142" spans="1:16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P142" s="22">
        <v>0</v>
      </c>
    </row>
    <row r="143" spans="1:16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P143" s="22">
        <v>0</v>
      </c>
    </row>
    <row r="144" spans="1:16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P144" s="22">
        <v>0</v>
      </c>
    </row>
    <row r="145" spans="1:16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P145" s="22">
        <v>0</v>
      </c>
    </row>
    <row r="146" spans="1:16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P146" s="22">
        <v>0</v>
      </c>
    </row>
    <row r="147" spans="1:16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P147" s="22">
        <v>0</v>
      </c>
    </row>
    <row r="148" spans="1:16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P148" s="22">
        <v>0</v>
      </c>
    </row>
    <row r="149" spans="1:16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P149" s="22">
        <v>0</v>
      </c>
    </row>
    <row r="150" spans="1:16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P150" s="22">
        <v>0</v>
      </c>
    </row>
    <row r="151" spans="1:16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P151" s="22">
        <v>0</v>
      </c>
    </row>
    <row r="152" spans="1:16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P152" s="22">
        <v>0</v>
      </c>
    </row>
    <row r="153" spans="1:16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P153" s="22">
        <v>0</v>
      </c>
    </row>
    <row r="154" spans="1:16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P154" s="22">
        <v>0</v>
      </c>
    </row>
    <row r="155" spans="1:16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P155" s="22">
        <v>0</v>
      </c>
    </row>
    <row r="156" spans="1:16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P156" s="22">
        <v>0</v>
      </c>
    </row>
    <row r="157" spans="1:16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P157" s="22">
        <v>0</v>
      </c>
    </row>
    <row r="158" spans="1:16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P158" s="22">
        <v>0</v>
      </c>
    </row>
    <row r="159" spans="1:16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P159" s="22">
        <v>0</v>
      </c>
    </row>
    <row r="160" spans="1:16" s="55" customFormat="1" x14ac:dyDescent="0.25">
      <c r="A160" s="59">
        <v>156</v>
      </c>
      <c r="B160" s="58">
        <v>4000017082</v>
      </c>
      <c r="C160" s="57" t="s">
        <v>170</v>
      </c>
      <c r="D160" s="56" t="s">
        <v>12</v>
      </c>
      <c r="F160" s="22"/>
      <c r="G160" s="22"/>
      <c r="H160" s="22"/>
      <c r="I160" s="22"/>
      <c r="J160" s="22"/>
      <c r="K160" s="22"/>
      <c r="L160" s="22"/>
      <c r="M160" s="22"/>
      <c r="N160" s="22"/>
      <c r="P160" s="55">
        <v>0</v>
      </c>
    </row>
    <row r="161" spans="1:16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P161" s="22">
        <v>0</v>
      </c>
    </row>
    <row r="162" spans="1:16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P162" s="22">
        <v>0</v>
      </c>
    </row>
    <row r="163" spans="1:16" s="22" customFormat="1" x14ac:dyDescent="0.25">
      <c r="A163" s="14">
        <v>159</v>
      </c>
      <c r="B163" s="15">
        <v>4000017084</v>
      </c>
      <c r="C163" s="16" t="s">
        <v>173</v>
      </c>
      <c r="D163" s="44" t="s">
        <v>12</v>
      </c>
      <c r="P163" s="22">
        <v>0</v>
      </c>
    </row>
    <row r="164" spans="1:16" x14ac:dyDescent="0.25">
      <c r="A164" s="22">
        <v>160</v>
      </c>
      <c r="B164" s="22">
        <v>3000003029</v>
      </c>
      <c r="C164" t="s">
        <v>211</v>
      </c>
      <c r="D164" t="s">
        <v>12</v>
      </c>
      <c r="E164" s="22"/>
      <c r="P164" s="22">
        <v>0</v>
      </c>
    </row>
    <row r="165" spans="1:16" x14ac:dyDescent="0.25">
      <c r="A165">
        <v>161</v>
      </c>
      <c r="B165">
        <v>3000003029</v>
      </c>
      <c r="C165" t="s">
        <v>297</v>
      </c>
      <c r="D165" t="s">
        <v>12</v>
      </c>
      <c r="E165" s="22"/>
      <c r="P165">
        <v>0</v>
      </c>
    </row>
    <row r="166" spans="1:16" x14ac:dyDescent="0.25">
      <c r="A166">
        <v>162</v>
      </c>
      <c r="B166">
        <v>1000006010</v>
      </c>
      <c r="C166" t="s">
        <v>298</v>
      </c>
      <c r="D166" t="s">
        <v>12</v>
      </c>
      <c r="P166">
        <v>0</v>
      </c>
    </row>
    <row r="167" spans="1:16" x14ac:dyDescent="0.25">
      <c r="A167">
        <v>163</v>
      </c>
      <c r="B167">
        <v>3000001220</v>
      </c>
      <c r="C167" t="s">
        <v>300</v>
      </c>
      <c r="D167" t="s">
        <v>12</v>
      </c>
      <c r="P167">
        <v>0</v>
      </c>
    </row>
    <row r="168" spans="1:16" x14ac:dyDescent="0.25">
      <c r="A168">
        <v>164</v>
      </c>
      <c r="B168">
        <v>3000001221</v>
      </c>
      <c r="C168" t="s">
        <v>302</v>
      </c>
      <c r="D168" t="s">
        <v>12</v>
      </c>
      <c r="P168">
        <v>0</v>
      </c>
    </row>
    <row r="169" spans="1:16" x14ac:dyDescent="0.25">
      <c r="A169">
        <v>165</v>
      </c>
      <c r="B169">
        <v>3000001223</v>
      </c>
      <c r="C169" t="s">
        <v>304</v>
      </c>
      <c r="D169" t="s">
        <v>12</v>
      </c>
      <c r="P169">
        <v>0</v>
      </c>
    </row>
    <row r="170" spans="1:16" x14ac:dyDescent="0.25">
      <c r="A170">
        <v>166</v>
      </c>
      <c r="B170">
        <v>3000001224</v>
      </c>
      <c r="C170" t="s">
        <v>306</v>
      </c>
      <c r="D170" t="s">
        <v>12</v>
      </c>
      <c r="P170">
        <v>0</v>
      </c>
    </row>
    <row r="171" spans="1:16" x14ac:dyDescent="0.25">
      <c r="A171">
        <v>167</v>
      </c>
      <c r="B171">
        <v>3000003827</v>
      </c>
      <c r="C171" t="s">
        <v>446</v>
      </c>
      <c r="D171" t="s">
        <v>12</v>
      </c>
      <c r="P171">
        <v>0</v>
      </c>
    </row>
    <row r="172" spans="1:16" x14ac:dyDescent="0.25">
      <c r="A172">
        <v>168</v>
      </c>
      <c r="B172">
        <v>3000001802</v>
      </c>
      <c r="C172" t="s">
        <v>448</v>
      </c>
      <c r="D172" t="s">
        <v>12</v>
      </c>
      <c r="P172">
        <v>0</v>
      </c>
    </row>
    <row r="173" spans="1:16" x14ac:dyDescent="0.25">
      <c r="A173">
        <v>169</v>
      </c>
      <c r="B173" t="s">
        <v>35</v>
      </c>
      <c r="C173" t="s">
        <v>449</v>
      </c>
      <c r="D173" t="s">
        <v>12</v>
      </c>
      <c r="P173">
        <v>0</v>
      </c>
    </row>
    <row r="174" spans="1:16" x14ac:dyDescent="0.25">
      <c r="A174">
        <v>170</v>
      </c>
      <c r="B174" t="s">
        <v>35</v>
      </c>
      <c r="C174" t="s">
        <v>450</v>
      </c>
      <c r="D174" t="s">
        <v>12</v>
      </c>
      <c r="P174">
        <v>0</v>
      </c>
    </row>
    <row r="175" spans="1:16" x14ac:dyDescent="0.25">
      <c r="A175">
        <v>171</v>
      </c>
      <c r="B175" t="s">
        <v>35</v>
      </c>
      <c r="C175" t="s">
        <v>510</v>
      </c>
      <c r="D175" t="s">
        <v>12</v>
      </c>
      <c r="P175">
        <v>0</v>
      </c>
    </row>
    <row r="176" spans="1:16" x14ac:dyDescent="0.25">
      <c r="A176">
        <v>172</v>
      </c>
      <c r="B176" t="s">
        <v>35</v>
      </c>
      <c r="C176" t="s">
        <v>516</v>
      </c>
      <c r="D176" t="s">
        <v>12</v>
      </c>
      <c r="P176">
        <v>0</v>
      </c>
    </row>
    <row r="177" spans="1:16" x14ac:dyDescent="0.25">
      <c r="A177">
        <v>173</v>
      </c>
      <c r="B177" t="s">
        <v>35</v>
      </c>
      <c r="C177" t="s">
        <v>600</v>
      </c>
      <c r="D177" t="s">
        <v>12</v>
      </c>
      <c r="P177">
        <v>0</v>
      </c>
    </row>
    <row r="178" spans="1:16" x14ac:dyDescent="0.25">
      <c r="A178">
        <v>174</v>
      </c>
      <c r="B178" t="s">
        <v>35</v>
      </c>
      <c r="C178" t="s">
        <v>601</v>
      </c>
      <c r="D178" t="s">
        <v>12</v>
      </c>
      <c r="P178">
        <v>0</v>
      </c>
    </row>
    <row r="179" spans="1:16" x14ac:dyDescent="0.25">
      <c r="A179">
        <v>175</v>
      </c>
      <c r="B179" t="s">
        <v>35</v>
      </c>
      <c r="C179" t="s">
        <v>1383</v>
      </c>
      <c r="D179" t="s">
        <v>12</v>
      </c>
      <c r="P179">
        <v>0</v>
      </c>
    </row>
  </sheetData>
  <autoFilter ref="A4:P179"/>
  <mergeCells count="3">
    <mergeCell ref="A1:A2"/>
    <mergeCell ref="B1:B2"/>
    <mergeCell ref="C1:C2"/>
  </mergeCells>
  <conditionalFormatting sqref="A64:XFD64">
    <cfRule type="expression" dxfId="386" priority="1" stopIfTrue="1">
      <formula>AND(ROW()&gt;=64,ROW()&lt;=64)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I3:M23"/>
  <sheetViews>
    <sheetView workbookViewId="0">
      <selection activeCell="M5" sqref="M5:M9"/>
    </sheetView>
  </sheetViews>
  <sheetFormatPr defaultRowHeight="15" x14ac:dyDescent="0.25"/>
  <cols>
    <col min="9" max="9" width="15.42578125" customWidth="1"/>
    <col min="10" max="10" width="31" customWidth="1"/>
    <col min="11" max="11" width="11" customWidth="1"/>
    <col min="12" max="12" width="15" customWidth="1"/>
    <col min="13" max="13" width="9.140625" customWidth="1"/>
  </cols>
  <sheetData>
    <row r="3" spans="9:13" ht="15.75" thickBot="1" x14ac:dyDescent="0.3"/>
    <row r="4" spans="9:13" ht="24.75" customHeight="1" thickTop="1" thickBot="1" x14ac:dyDescent="0.3">
      <c r="I4" s="124" t="s">
        <v>1460</v>
      </c>
      <c r="J4" s="125" t="s">
        <v>183</v>
      </c>
      <c r="K4" s="125" t="s">
        <v>1461</v>
      </c>
      <c r="L4" s="126" t="s">
        <v>1462</v>
      </c>
    </row>
    <row r="5" spans="9:13" ht="15.75" thickTop="1" x14ac:dyDescent="0.25">
      <c r="I5" s="123">
        <v>3000002340</v>
      </c>
      <c r="J5" s="127" t="str">
        <f>IFERROR(VLOOKUP(I5,'SCAFFOLDING MATERIAL OVERALL'!B8:C181,2,FALSE),"")</f>
        <v>GI-STEEL PLANKS-2MMX1.00-MTR</v>
      </c>
      <c r="K5" s="123">
        <v>1894</v>
      </c>
      <c r="L5" s="123">
        <f>M5*K5</f>
        <v>49709924</v>
      </c>
      <c r="M5" s="123">
        <f>IFERROR(VLOOKUP(I5,'SCAFFOLDING MATERIAL OVERALL'!B8:S181,17,FALSE),"")</f>
        <v>26246</v>
      </c>
    </row>
    <row r="6" spans="9:13" x14ac:dyDescent="0.25">
      <c r="I6" s="122">
        <v>3000000068</v>
      </c>
      <c r="J6" s="127" t="str">
        <f>IFERROR(VLOOKUP(I6,'SCAFFOLDING MATERIAL OVERALL'!B9:C182,2,FALSE),"")</f>
        <v>BOARD RETAINING COUPLER-3.5MM / BRC</v>
      </c>
      <c r="K6" s="122">
        <v>7000</v>
      </c>
      <c r="L6" s="123">
        <f>M6*K6</f>
        <v>2245131000</v>
      </c>
      <c r="M6" s="123">
        <f>IFERROR(VLOOKUP(I6,'SCAFFOLDING MATERIAL OVERALL'!B9:S182,17,FALSE),"")</f>
        <v>320733</v>
      </c>
    </row>
    <row r="7" spans="9:13" x14ac:dyDescent="0.25">
      <c r="I7" s="122">
        <v>3000000701</v>
      </c>
      <c r="J7" s="127" t="str">
        <f>IFERROR(VLOOKUP(I7,'SCAFFOLDING MATERIAL OVERALL'!B10:C183,2,FALSE),"")</f>
        <v>BASE JACK-7MMX0.760-MTR</v>
      </c>
      <c r="K7" s="122">
        <v>194</v>
      </c>
      <c r="L7" s="123">
        <f>M7*K7</f>
        <v>2214316</v>
      </c>
      <c r="M7" s="123">
        <f>IFERROR(VLOOKUP(I7,'SCAFFOLDING MATERIAL OVERALL'!B10:S183,17,FALSE),"")</f>
        <v>11414</v>
      </c>
    </row>
    <row r="8" spans="9:13" x14ac:dyDescent="0.25">
      <c r="I8" s="122">
        <v>1000006667</v>
      </c>
      <c r="J8" s="127" t="str">
        <f>IFERROR(VLOOKUP(I8,'SCAFFOLDING MATERIAL OVERALL'!B11:C184,2,FALSE),"")</f>
        <v>BASE PLATE</v>
      </c>
      <c r="K8" s="122">
        <v>792</v>
      </c>
      <c r="L8" s="123">
        <f>M8*K8</f>
        <v>17850888</v>
      </c>
      <c r="M8" s="123">
        <f>IFERROR(VLOOKUP(I8,'SCAFFOLDING MATERIAL OVERALL'!B11:S184,17,FALSE),"")</f>
        <v>22539</v>
      </c>
    </row>
    <row r="9" spans="9:13" x14ac:dyDescent="0.25">
      <c r="I9" s="122">
        <v>3000001215</v>
      </c>
      <c r="J9" s="127" t="str">
        <f>IFERROR(VLOOKUP(I9,'SCAFFOLDING MATERIAL OVERALL'!B12:C185,2,FALSE),"")</f>
        <v>GI-STEEL PLANKS-2MMX3.00-MTR</v>
      </c>
      <c r="K9" s="122">
        <v>200</v>
      </c>
      <c r="L9" s="123">
        <f>M9*K9</f>
        <v>36005800</v>
      </c>
      <c r="M9" s="123">
        <f>IFERROR(VLOOKUP(I9,'SCAFFOLDING MATERIAL OVERALL'!B12:S185,17,FALSE),"")</f>
        <v>180029</v>
      </c>
    </row>
    <row r="10" spans="9:13" x14ac:dyDescent="0.25">
      <c r="I10" s="122"/>
      <c r="J10" s="127" t="str">
        <f>IFERROR(VLOOKUP(I10,'SCAFFOLDING MATERIAL OVERALL'!B13:C186,2,FALSE),"")</f>
        <v/>
      </c>
      <c r="K10" s="122"/>
      <c r="L10" s="123"/>
      <c r="M10" s="123" t="str">
        <f>IFERROR(VLOOKUP(I10,'SCAFFOLDING MATERIAL OVERALL'!B13:S186,17,FALSE),"")</f>
        <v/>
      </c>
    </row>
    <row r="11" spans="9:13" x14ac:dyDescent="0.25">
      <c r="I11" s="122"/>
      <c r="J11" s="127" t="str">
        <f>IFERROR(VLOOKUP(I11,'SCAFFOLDING MATERIAL OVERALL'!B14:C187,2,FALSE),"")</f>
        <v/>
      </c>
      <c r="K11" s="122"/>
      <c r="L11" s="123"/>
      <c r="M11" s="123" t="str">
        <f>IFERROR(VLOOKUP(I11,'SCAFFOLDING MATERIAL OVERALL'!B14:S187,17,FALSE),"")</f>
        <v/>
      </c>
    </row>
    <row r="12" spans="9:13" x14ac:dyDescent="0.25">
      <c r="I12" s="122"/>
      <c r="J12" s="127" t="str">
        <f>IFERROR(VLOOKUP(I12,'SCAFFOLDING MATERIAL OVERALL'!B15:C188,2,FALSE),"")</f>
        <v/>
      </c>
      <c r="K12" s="122"/>
      <c r="L12" s="123"/>
      <c r="M12" s="123" t="str">
        <f>IFERROR(VLOOKUP(I12,'SCAFFOLDING MATERIAL OVERALL'!B15:S188,17,FALSE),"")</f>
        <v/>
      </c>
    </row>
    <row r="13" spans="9:13" x14ac:dyDescent="0.25">
      <c r="I13" s="122"/>
      <c r="J13" s="127" t="str">
        <f>IFERROR(VLOOKUP(I13,'SCAFFOLDING MATERIAL OVERALL'!B16:C189,2,FALSE),"")</f>
        <v/>
      </c>
      <c r="K13" s="122"/>
      <c r="L13" s="123"/>
      <c r="M13" s="123" t="str">
        <f>IFERROR(VLOOKUP(I13,'SCAFFOLDING MATERIAL OVERALL'!B16:S189,17,FALSE),"")</f>
        <v/>
      </c>
    </row>
    <row r="14" spans="9:13" x14ac:dyDescent="0.25">
      <c r="I14" s="122"/>
      <c r="J14" s="127" t="str">
        <f>IFERROR(VLOOKUP(I14,'SCAFFOLDING MATERIAL OVERALL'!B17:C189,2,FALSE),"")</f>
        <v/>
      </c>
      <c r="K14" s="122"/>
      <c r="L14" s="123"/>
      <c r="M14" s="123" t="str">
        <f>IFERROR(VLOOKUP(I14,'SCAFFOLDING MATERIAL OVERALL'!B17:S189,17,FALSE),"")</f>
        <v/>
      </c>
    </row>
    <row r="15" spans="9:13" x14ac:dyDescent="0.25">
      <c r="I15" s="122"/>
      <c r="J15" s="127" t="str">
        <f>IFERROR(VLOOKUP(I15,'SCAFFOLDING MATERIAL OVERALL'!B18:C190,2,FALSE),"")</f>
        <v/>
      </c>
      <c r="K15" s="122"/>
      <c r="L15" s="123"/>
      <c r="M15" s="123" t="str">
        <f>IFERROR(VLOOKUP(I15,'SCAFFOLDING MATERIAL OVERALL'!B18:S190,17,FALSE),"")</f>
        <v/>
      </c>
    </row>
    <row r="16" spans="9:13" x14ac:dyDescent="0.25">
      <c r="I16" s="122"/>
      <c r="J16" s="127" t="str">
        <f>IFERROR(VLOOKUP(I16,'SCAFFOLDING MATERIAL OVERALL'!B19:C191,2,FALSE),"")</f>
        <v/>
      </c>
      <c r="K16" s="122"/>
      <c r="L16" s="123"/>
      <c r="M16" s="123" t="str">
        <f>IFERROR(VLOOKUP(I16,'SCAFFOLDING MATERIAL OVERALL'!B19:S191,17,FALSE),"")</f>
        <v/>
      </c>
    </row>
    <row r="17" spans="9:13" x14ac:dyDescent="0.25">
      <c r="I17" s="122"/>
      <c r="J17" s="127" t="str">
        <f>IFERROR(VLOOKUP(I17,'SCAFFOLDING MATERIAL OVERALL'!B20:C192,2,FALSE),"")</f>
        <v/>
      </c>
      <c r="K17" s="122"/>
      <c r="L17" s="123"/>
      <c r="M17" s="123" t="str">
        <f>IFERROR(VLOOKUP(I17,'SCAFFOLDING MATERIAL OVERALL'!B20:S192,17,FALSE),"")</f>
        <v/>
      </c>
    </row>
    <row r="18" spans="9:13" x14ac:dyDescent="0.25">
      <c r="I18" s="122"/>
      <c r="J18" s="127" t="str">
        <f>IFERROR(VLOOKUP(I18,'SCAFFOLDING MATERIAL OVERALL'!B21:C193,2,FALSE),"")</f>
        <v/>
      </c>
      <c r="K18" s="122"/>
      <c r="L18" s="123"/>
      <c r="M18" s="123" t="str">
        <f>IFERROR(VLOOKUP(I18,'SCAFFOLDING MATERIAL OVERALL'!B21:S193,17,FALSE),"")</f>
        <v/>
      </c>
    </row>
    <row r="19" spans="9:13" x14ac:dyDescent="0.25">
      <c r="I19" s="122"/>
      <c r="J19" s="127" t="str">
        <f>IFERROR(VLOOKUP(I19,'SCAFFOLDING MATERIAL OVERALL'!B22:C194,2,FALSE),"")</f>
        <v/>
      </c>
      <c r="K19" s="122"/>
      <c r="L19" s="123"/>
      <c r="M19" s="123" t="str">
        <f>IFERROR(VLOOKUP(I19,'SCAFFOLDING MATERIAL OVERALL'!B22:S194,17,FALSE),"")</f>
        <v/>
      </c>
    </row>
    <row r="20" spans="9:13" x14ac:dyDescent="0.25">
      <c r="I20" s="122"/>
      <c r="J20" s="127" t="str">
        <f>IFERROR(VLOOKUP(I20,'SCAFFOLDING MATERIAL OVERALL'!B23:C195,2,FALSE),"")</f>
        <v/>
      </c>
      <c r="K20" s="122"/>
      <c r="L20" s="123"/>
      <c r="M20" s="123" t="str">
        <f>IFERROR(VLOOKUP(I20,'SCAFFOLDING MATERIAL OVERALL'!B23:S195,17,FALSE),"")</f>
        <v/>
      </c>
    </row>
    <row r="21" spans="9:13" x14ac:dyDescent="0.25">
      <c r="I21" s="122"/>
      <c r="J21" s="127" t="str">
        <f>IFERROR(VLOOKUP(I21,'SCAFFOLDING MATERIAL OVERALL'!B24:C196,2,FALSE),"")</f>
        <v/>
      </c>
      <c r="K21" s="122"/>
      <c r="L21" s="123"/>
      <c r="M21" s="123" t="str">
        <f>IFERROR(VLOOKUP(I21,'SCAFFOLDING MATERIAL OVERALL'!B24:S196,17,FALSE),"")</f>
        <v/>
      </c>
    </row>
    <row r="22" spans="9:13" x14ac:dyDescent="0.25">
      <c r="I22" s="122"/>
      <c r="J22" s="127" t="str">
        <f>IFERROR(VLOOKUP(I22,'SCAFFOLDING MATERIAL OVERALL'!B25:C197,2,FALSE),"")</f>
        <v/>
      </c>
      <c r="K22" s="122"/>
      <c r="L22" s="123"/>
      <c r="M22" s="123" t="str">
        <f>IFERROR(VLOOKUP(I22,'SCAFFOLDING MATERIAL OVERALL'!B25:S197,17,FALSE),"")</f>
        <v/>
      </c>
    </row>
    <row r="23" spans="9:13" ht="25.5" customHeight="1" x14ac:dyDescent="0.25">
      <c r="K23" s="122" t="s">
        <v>1459</v>
      </c>
      <c r="L23" s="122">
        <f>SUM(L5:L22)/1000</f>
        <v>2350911.9279999998</v>
      </c>
    </row>
  </sheetData>
  <conditionalFormatting sqref="A5:XFD9">
    <cfRule type="expression" dxfId="385" priority="1" stopIfTrue="1">
      <formula>AND(ROW()&gt;=5,ROW()&lt;=9)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N187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K3" sqref="K3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6" width="10.7109375" style="22" customWidth="1"/>
    <col min="7" max="7" width="9.85546875" style="22" customWidth="1"/>
    <col min="8" max="8" width="9.140625" style="22" customWidth="1"/>
    <col min="9" max="9" width="10" style="22" customWidth="1"/>
    <col min="10" max="10" width="11.140625" style="22" bestFit="1" customWidth="1"/>
    <col min="11" max="11" width="11.140625" style="22" customWidth="1"/>
    <col min="12" max="13" width="9.140625" customWidth="1"/>
    <col min="14" max="14" width="9.140625" style="31"/>
  </cols>
  <sheetData>
    <row r="1" spans="1:14" ht="27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6"/>
      <c r="G1" s="26"/>
      <c r="H1" s="26"/>
      <c r="I1" s="26"/>
      <c r="J1" s="26"/>
      <c r="K1" s="26"/>
      <c r="L1" s="26"/>
      <c r="M1" s="26"/>
      <c r="N1" s="29" t="s">
        <v>177</v>
      </c>
    </row>
    <row r="2" spans="1:14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/>
      <c r="G2" s="25"/>
      <c r="H2" s="25"/>
      <c r="I2" s="25"/>
      <c r="J2" s="25"/>
      <c r="K2" s="25"/>
      <c r="L2" s="25"/>
      <c r="M2" s="25"/>
      <c r="N2" s="29"/>
    </row>
    <row r="3" spans="1:14" s="28" customFormat="1" ht="12" customHeight="1" x14ac:dyDescent="0.2">
      <c r="A3" s="26"/>
      <c r="B3" s="26"/>
      <c r="C3" s="26" t="s">
        <v>10</v>
      </c>
      <c r="D3" s="26"/>
      <c r="E3" s="38" t="s">
        <v>187</v>
      </c>
      <c r="F3" s="27"/>
      <c r="G3" s="27"/>
      <c r="H3" s="27"/>
      <c r="I3" s="27"/>
      <c r="J3" s="34"/>
      <c r="K3" s="34"/>
      <c r="L3" s="27"/>
      <c r="M3" s="27"/>
      <c r="N3" s="30"/>
    </row>
    <row r="4" spans="1:14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3"/>
    </row>
    <row r="5" spans="1:14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N5" s="31">
        <v>0</v>
      </c>
    </row>
    <row r="6" spans="1:14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L6" s="22"/>
      <c r="N6" s="31">
        <v>0</v>
      </c>
    </row>
    <row r="7" spans="1:14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L7" s="22"/>
      <c r="N7" s="31">
        <v>0</v>
      </c>
    </row>
    <row r="8" spans="1:14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L8" s="22"/>
      <c r="N8" s="31">
        <v>0</v>
      </c>
    </row>
    <row r="9" spans="1:14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L9" s="22"/>
      <c r="N9" s="31">
        <v>0</v>
      </c>
    </row>
    <row r="10" spans="1:14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L10" s="22"/>
      <c r="N10" s="31">
        <v>0</v>
      </c>
    </row>
    <row r="11" spans="1:14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L11" s="22"/>
      <c r="N11" s="31">
        <v>0</v>
      </c>
    </row>
    <row r="12" spans="1:14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L12" s="22"/>
      <c r="N12" s="31">
        <v>0</v>
      </c>
    </row>
    <row r="13" spans="1:14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L13" s="22"/>
      <c r="N13" s="31">
        <v>0</v>
      </c>
    </row>
    <row r="14" spans="1:14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L14" s="22"/>
      <c r="N14" s="31">
        <v>0</v>
      </c>
    </row>
    <row r="15" spans="1:14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L15" s="22"/>
      <c r="N15" s="31">
        <v>0</v>
      </c>
    </row>
    <row r="16" spans="1:14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L16" s="22"/>
      <c r="N16" s="31">
        <v>0</v>
      </c>
    </row>
    <row r="17" spans="1:14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L17" s="22"/>
      <c r="N17" s="31">
        <v>0</v>
      </c>
    </row>
    <row r="18" spans="1:14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L18" s="22"/>
      <c r="N18" s="31">
        <v>0</v>
      </c>
    </row>
    <row r="19" spans="1:14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L19" s="22"/>
      <c r="N19" s="31">
        <v>0</v>
      </c>
    </row>
    <row r="20" spans="1:14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L20" s="22"/>
      <c r="N20" s="31">
        <v>0</v>
      </c>
    </row>
    <row r="21" spans="1:14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L21" s="22"/>
      <c r="N21" s="31">
        <v>0</v>
      </c>
    </row>
    <row r="22" spans="1:14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L22" s="22"/>
      <c r="N22" s="31">
        <v>0</v>
      </c>
    </row>
    <row r="23" spans="1:14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L23" s="22"/>
      <c r="N23" s="31">
        <v>0</v>
      </c>
    </row>
    <row r="24" spans="1:14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L24" s="22"/>
      <c r="N24" s="31">
        <v>0</v>
      </c>
    </row>
    <row r="25" spans="1:14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L25" s="22"/>
      <c r="N25" s="31">
        <v>0</v>
      </c>
    </row>
    <row r="26" spans="1:14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L26" s="22"/>
      <c r="N26" s="31">
        <v>0</v>
      </c>
    </row>
    <row r="27" spans="1:14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L27" s="22"/>
      <c r="N27" s="31">
        <v>0</v>
      </c>
    </row>
    <row r="28" spans="1:14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L28" s="22"/>
      <c r="N28" s="31">
        <v>0</v>
      </c>
    </row>
    <row r="29" spans="1:14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L29" s="22"/>
      <c r="N29" s="31">
        <v>0</v>
      </c>
    </row>
    <row r="30" spans="1:14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L30" s="22"/>
      <c r="N30" s="31">
        <v>0</v>
      </c>
    </row>
    <row r="31" spans="1:14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L31" s="22"/>
      <c r="N31" s="31">
        <v>0</v>
      </c>
    </row>
    <row r="32" spans="1:14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L32" s="22"/>
      <c r="N32" s="31">
        <v>0</v>
      </c>
    </row>
    <row r="33" spans="1:14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L33" s="22"/>
      <c r="N33" s="31">
        <v>0</v>
      </c>
    </row>
    <row r="34" spans="1:14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L34" s="22"/>
      <c r="N34" s="31">
        <v>0</v>
      </c>
    </row>
    <row r="35" spans="1:14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L35" s="22"/>
      <c r="N35" s="31">
        <v>0</v>
      </c>
    </row>
    <row r="36" spans="1:14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L36" s="22"/>
      <c r="N36" s="31">
        <v>0</v>
      </c>
    </row>
    <row r="37" spans="1:14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L37" s="22"/>
      <c r="N37" s="31">
        <v>0</v>
      </c>
    </row>
    <row r="38" spans="1:14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L38" s="22"/>
      <c r="N38" s="31">
        <v>0</v>
      </c>
    </row>
    <row r="39" spans="1:14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L39" s="22"/>
      <c r="N39" s="31">
        <v>0</v>
      </c>
    </row>
    <row r="40" spans="1:14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L40" s="22"/>
      <c r="N40" s="31">
        <v>0</v>
      </c>
    </row>
    <row r="41" spans="1:14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L41" s="22"/>
      <c r="N41" s="31">
        <v>0</v>
      </c>
    </row>
    <row r="42" spans="1:14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L42" s="22"/>
      <c r="N42" s="31">
        <v>0</v>
      </c>
    </row>
    <row r="43" spans="1:14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L43" s="22"/>
      <c r="N43" s="31">
        <v>0</v>
      </c>
    </row>
    <row r="44" spans="1:14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L44" s="22"/>
      <c r="N44" s="31">
        <v>0</v>
      </c>
    </row>
    <row r="45" spans="1:14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L45" s="22"/>
      <c r="N45" s="31">
        <v>0</v>
      </c>
    </row>
    <row r="46" spans="1:14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L46" s="22"/>
      <c r="N46" s="31">
        <v>0</v>
      </c>
    </row>
    <row r="47" spans="1:14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L47" s="22"/>
      <c r="N47" s="31">
        <v>0</v>
      </c>
    </row>
    <row r="48" spans="1:14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L48" s="22"/>
      <c r="N48" s="31">
        <v>0</v>
      </c>
    </row>
    <row r="49" spans="1:14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L49" s="22"/>
      <c r="N49" s="31">
        <v>0</v>
      </c>
    </row>
    <row r="50" spans="1:14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L50" s="22"/>
      <c r="N50" s="31">
        <v>0</v>
      </c>
    </row>
    <row r="51" spans="1:14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L51" s="22"/>
      <c r="N51" s="31">
        <v>0</v>
      </c>
    </row>
    <row r="52" spans="1:14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L52" s="22"/>
      <c r="N52" s="31">
        <v>0</v>
      </c>
    </row>
    <row r="53" spans="1:14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L53" s="22"/>
      <c r="N53" s="31">
        <v>0</v>
      </c>
    </row>
    <row r="54" spans="1:14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L54" s="22"/>
      <c r="N54" s="31">
        <v>0</v>
      </c>
    </row>
    <row r="55" spans="1:14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L55" s="22"/>
      <c r="N55" s="31">
        <v>0</v>
      </c>
    </row>
    <row r="56" spans="1:14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L56" s="22"/>
      <c r="N56" s="31">
        <v>0</v>
      </c>
    </row>
    <row r="57" spans="1:14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L57" s="22"/>
      <c r="N57" s="31">
        <v>0</v>
      </c>
    </row>
    <row r="58" spans="1:14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L58" s="22"/>
      <c r="N58" s="31">
        <v>0</v>
      </c>
    </row>
    <row r="59" spans="1:14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L59" s="22"/>
      <c r="N59" s="31">
        <v>0</v>
      </c>
    </row>
    <row r="60" spans="1:14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L60" s="22"/>
      <c r="N60" s="31">
        <v>0</v>
      </c>
    </row>
    <row r="61" spans="1:14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L61" s="22"/>
      <c r="N61" s="31">
        <v>0</v>
      </c>
    </row>
    <row r="62" spans="1:14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L62" s="22"/>
      <c r="N62" s="31">
        <v>0</v>
      </c>
    </row>
    <row r="63" spans="1:14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L63" s="22"/>
      <c r="N63" s="31">
        <v>0</v>
      </c>
    </row>
    <row r="64" spans="1:14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L64" s="22"/>
      <c r="N64" s="31">
        <v>0</v>
      </c>
    </row>
    <row r="65" spans="1:14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L65" s="22"/>
      <c r="N65" s="31">
        <v>0</v>
      </c>
    </row>
    <row r="66" spans="1:14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L66" s="22"/>
      <c r="N66" s="31">
        <v>0</v>
      </c>
    </row>
    <row r="67" spans="1:14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L67" s="22"/>
      <c r="N67" s="31">
        <v>0</v>
      </c>
    </row>
    <row r="68" spans="1:14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L68" s="22"/>
      <c r="N68" s="31">
        <v>0</v>
      </c>
    </row>
    <row r="69" spans="1:14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L69" s="22"/>
      <c r="N69" s="31">
        <v>0</v>
      </c>
    </row>
    <row r="70" spans="1:14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L70" s="22"/>
      <c r="N70" s="31">
        <v>0</v>
      </c>
    </row>
    <row r="71" spans="1:14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L71" s="22"/>
      <c r="N71" s="31">
        <v>0</v>
      </c>
    </row>
    <row r="72" spans="1:14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L72" s="22"/>
      <c r="N72" s="31">
        <v>0</v>
      </c>
    </row>
    <row r="73" spans="1:14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L73" s="22"/>
      <c r="N73" s="31">
        <v>0</v>
      </c>
    </row>
    <row r="74" spans="1:14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L74" s="22"/>
      <c r="N74" s="31">
        <v>0</v>
      </c>
    </row>
    <row r="75" spans="1:14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L75" s="22"/>
      <c r="N75" s="31">
        <v>0</v>
      </c>
    </row>
    <row r="76" spans="1:14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L76" s="22"/>
      <c r="N76" s="31">
        <v>0</v>
      </c>
    </row>
    <row r="77" spans="1:14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L77" s="22"/>
      <c r="N77" s="31">
        <v>0</v>
      </c>
    </row>
    <row r="78" spans="1:14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L78" s="22"/>
      <c r="N78" s="31">
        <v>0</v>
      </c>
    </row>
    <row r="79" spans="1:14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L79" s="22"/>
      <c r="N79" s="31">
        <v>0</v>
      </c>
    </row>
    <row r="80" spans="1:14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L80" s="22"/>
      <c r="N80" s="31">
        <v>0</v>
      </c>
    </row>
    <row r="81" spans="1:14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L81" s="22"/>
      <c r="N81" s="31">
        <v>0</v>
      </c>
    </row>
    <row r="82" spans="1:14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L82" s="22"/>
      <c r="N82" s="31">
        <v>0</v>
      </c>
    </row>
    <row r="83" spans="1:14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L83" s="22"/>
      <c r="N83" s="31">
        <v>0</v>
      </c>
    </row>
    <row r="84" spans="1:14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L84" s="22"/>
      <c r="N84" s="31">
        <v>0</v>
      </c>
    </row>
    <row r="85" spans="1:14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L85" s="22"/>
      <c r="N85" s="31">
        <v>0</v>
      </c>
    </row>
    <row r="86" spans="1:14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L86" s="22"/>
      <c r="N86" s="31">
        <v>0</v>
      </c>
    </row>
    <row r="87" spans="1:14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L87" s="22"/>
      <c r="N87" s="31">
        <v>0</v>
      </c>
    </row>
    <row r="88" spans="1:14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L88" s="22"/>
      <c r="N88" s="31">
        <v>0</v>
      </c>
    </row>
    <row r="89" spans="1:14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L89" s="22"/>
      <c r="N89" s="31">
        <v>0</v>
      </c>
    </row>
    <row r="90" spans="1:14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L90" s="22"/>
      <c r="N90" s="31">
        <v>0</v>
      </c>
    </row>
    <row r="91" spans="1:14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L91" s="22"/>
      <c r="N91" s="31">
        <v>0</v>
      </c>
    </row>
    <row r="92" spans="1:14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L92" s="22"/>
      <c r="N92" s="31">
        <v>0</v>
      </c>
    </row>
    <row r="93" spans="1:14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L93" s="22"/>
      <c r="N93" s="31">
        <v>0</v>
      </c>
    </row>
    <row r="94" spans="1:14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L94" s="22"/>
      <c r="N94" s="31">
        <v>0</v>
      </c>
    </row>
    <row r="95" spans="1:14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L95" s="22"/>
      <c r="N95" s="31">
        <v>0</v>
      </c>
    </row>
    <row r="96" spans="1:14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L96" s="22"/>
      <c r="N96" s="31">
        <v>0</v>
      </c>
    </row>
    <row r="97" spans="1:14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L97" s="22"/>
      <c r="N97" s="31">
        <v>0</v>
      </c>
    </row>
    <row r="98" spans="1:14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L98" s="22"/>
      <c r="N98" s="31">
        <v>0</v>
      </c>
    </row>
    <row r="99" spans="1:14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L99" s="22"/>
      <c r="N99" s="31">
        <v>0</v>
      </c>
    </row>
    <row r="100" spans="1:14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L100" s="22"/>
      <c r="N100" s="31">
        <v>0</v>
      </c>
    </row>
    <row r="101" spans="1:14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L101" s="22"/>
      <c r="N101" s="31">
        <v>0</v>
      </c>
    </row>
    <row r="102" spans="1:14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L102" s="22"/>
      <c r="N102" s="31">
        <v>0</v>
      </c>
    </row>
    <row r="103" spans="1:14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L103" s="22"/>
      <c r="N103" s="31">
        <v>0</v>
      </c>
    </row>
    <row r="104" spans="1:14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L104" s="22"/>
      <c r="N104" s="31">
        <v>0</v>
      </c>
    </row>
    <row r="105" spans="1:14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L105" s="22"/>
      <c r="N105" s="31">
        <v>0</v>
      </c>
    </row>
    <row r="106" spans="1:14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L106" s="22"/>
      <c r="N106" s="31">
        <v>0</v>
      </c>
    </row>
    <row r="107" spans="1:14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L107" s="22"/>
      <c r="N107" s="31">
        <v>0</v>
      </c>
    </row>
    <row r="108" spans="1:14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L108" s="22"/>
      <c r="N108" s="31">
        <v>0</v>
      </c>
    </row>
    <row r="109" spans="1:14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L109" s="22"/>
      <c r="N109" s="31">
        <v>0</v>
      </c>
    </row>
    <row r="110" spans="1:14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L110" s="22"/>
      <c r="N110" s="31">
        <v>0</v>
      </c>
    </row>
    <row r="111" spans="1:14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L111" s="22"/>
      <c r="N111" s="31">
        <v>0</v>
      </c>
    </row>
    <row r="112" spans="1:14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L112" s="22"/>
      <c r="N112" s="31">
        <v>0</v>
      </c>
    </row>
    <row r="113" spans="1:14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L113" s="22"/>
      <c r="N113" s="31">
        <v>0</v>
      </c>
    </row>
    <row r="114" spans="1:14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L114" s="22"/>
      <c r="N114" s="31">
        <v>0</v>
      </c>
    </row>
    <row r="115" spans="1:14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L115" s="22"/>
      <c r="N115" s="31">
        <v>0</v>
      </c>
    </row>
    <row r="116" spans="1:14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L116" s="22"/>
      <c r="N116" s="31">
        <v>0</v>
      </c>
    </row>
    <row r="117" spans="1:14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L117" s="22"/>
      <c r="N117" s="31">
        <v>0</v>
      </c>
    </row>
    <row r="118" spans="1:14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L118" s="22"/>
      <c r="N118" s="31">
        <v>0</v>
      </c>
    </row>
    <row r="119" spans="1:14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L119" s="22"/>
      <c r="N119" s="31">
        <v>0</v>
      </c>
    </row>
    <row r="120" spans="1:14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L120" s="22"/>
      <c r="N120" s="31">
        <v>0</v>
      </c>
    </row>
    <row r="121" spans="1:14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L121" s="22"/>
      <c r="N121" s="31">
        <v>0</v>
      </c>
    </row>
    <row r="122" spans="1:14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L122" s="22"/>
      <c r="N122" s="31">
        <v>0</v>
      </c>
    </row>
    <row r="123" spans="1:14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L123" s="22"/>
      <c r="N123" s="31">
        <v>0</v>
      </c>
    </row>
    <row r="124" spans="1:14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L124" s="22"/>
      <c r="N124" s="31">
        <v>0</v>
      </c>
    </row>
    <row r="125" spans="1:14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L125" s="22"/>
      <c r="N125" s="31">
        <v>0</v>
      </c>
    </row>
    <row r="126" spans="1:14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L126" s="22"/>
      <c r="N126" s="31">
        <v>0</v>
      </c>
    </row>
    <row r="127" spans="1:14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L127" s="22"/>
      <c r="N127" s="31">
        <v>0</v>
      </c>
    </row>
    <row r="128" spans="1:14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L128" s="22"/>
      <c r="N128" s="31">
        <v>0</v>
      </c>
    </row>
    <row r="129" spans="1:14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L129" s="22"/>
      <c r="N129" s="31">
        <v>0</v>
      </c>
    </row>
    <row r="130" spans="1:14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L130" s="22"/>
      <c r="N130" s="31">
        <v>0</v>
      </c>
    </row>
    <row r="131" spans="1:14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L131" s="22"/>
      <c r="N131" s="31">
        <v>0</v>
      </c>
    </row>
    <row r="132" spans="1:14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L132" s="22"/>
      <c r="N132" s="31">
        <v>0</v>
      </c>
    </row>
    <row r="133" spans="1:14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L133" s="22"/>
      <c r="N133" s="31">
        <v>0</v>
      </c>
    </row>
    <row r="134" spans="1:14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L134" s="22"/>
      <c r="N134" s="31">
        <v>0</v>
      </c>
    </row>
    <row r="135" spans="1:14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L135" s="22"/>
      <c r="N135" s="31">
        <v>0</v>
      </c>
    </row>
    <row r="136" spans="1:14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L136" s="22"/>
      <c r="N136" s="31">
        <v>0</v>
      </c>
    </row>
    <row r="137" spans="1:14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L137" s="22"/>
      <c r="N137" s="31">
        <v>0</v>
      </c>
    </row>
    <row r="138" spans="1:14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L138" s="22"/>
      <c r="N138" s="31">
        <v>0</v>
      </c>
    </row>
    <row r="139" spans="1:14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L139" s="22"/>
      <c r="N139" s="31">
        <v>0</v>
      </c>
    </row>
    <row r="140" spans="1:14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L140" s="22"/>
      <c r="N140" s="31">
        <v>0</v>
      </c>
    </row>
    <row r="141" spans="1:14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L141" s="22"/>
      <c r="N141" s="31">
        <v>0</v>
      </c>
    </row>
    <row r="142" spans="1:14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L142" s="22"/>
      <c r="N142" s="31">
        <v>0</v>
      </c>
    </row>
    <row r="143" spans="1:14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L143" s="22"/>
      <c r="N143" s="31">
        <v>0</v>
      </c>
    </row>
    <row r="144" spans="1:14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L144" s="22"/>
      <c r="N144" s="31">
        <v>0</v>
      </c>
    </row>
    <row r="145" spans="1:14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L145" s="22"/>
      <c r="N145" s="31">
        <v>0</v>
      </c>
    </row>
    <row r="146" spans="1:14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L146" s="22"/>
      <c r="N146" s="31">
        <v>0</v>
      </c>
    </row>
    <row r="147" spans="1:14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L147" s="22"/>
      <c r="N147" s="31">
        <v>0</v>
      </c>
    </row>
    <row r="148" spans="1:14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L148" s="22"/>
      <c r="N148" s="31">
        <v>0</v>
      </c>
    </row>
    <row r="149" spans="1:14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L149" s="22"/>
      <c r="N149" s="31">
        <v>0</v>
      </c>
    </row>
    <row r="150" spans="1:14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L150" s="22"/>
      <c r="N150" s="31">
        <v>0</v>
      </c>
    </row>
    <row r="151" spans="1:14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L151" s="22"/>
      <c r="N151" s="31">
        <v>0</v>
      </c>
    </row>
    <row r="152" spans="1:14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L152" s="22"/>
      <c r="N152" s="31">
        <v>0</v>
      </c>
    </row>
    <row r="153" spans="1:14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L153" s="22"/>
      <c r="N153" s="31">
        <v>0</v>
      </c>
    </row>
    <row r="154" spans="1:14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L154" s="22"/>
      <c r="N154" s="31">
        <v>0</v>
      </c>
    </row>
    <row r="155" spans="1:14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L155" s="22"/>
      <c r="N155" s="31">
        <v>0</v>
      </c>
    </row>
    <row r="156" spans="1:14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L156" s="22"/>
      <c r="N156" s="31">
        <v>0</v>
      </c>
    </row>
    <row r="157" spans="1:14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L157" s="22"/>
      <c r="N157" s="31">
        <v>0</v>
      </c>
    </row>
    <row r="158" spans="1:14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L158" s="22"/>
      <c r="N158" s="31">
        <v>0</v>
      </c>
    </row>
    <row r="159" spans="1:14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L159" s="22"/>
      <c r="N159" s="31">
        <v>0</v>
      </c>
    </row>
    <row r="160" spans="1:14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L160" s="22"/>
      <c r="N160" s="31">
        <v>0</v>
      </c>
    </row>
    <row r="161" spans="1:14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L161" s="22"/>
      <c r="N161" s="31">
        <v>0</v>
      </c>
    </row>
    <row r="162" spans="1:14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L162" s="22"/>
      <c r="N162" s="31">
        <v>0</v>
      </c>
    </row>
    <row r="163" spans="1:14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L163" s="22"/>
      <c r="N163" s="31">
        <v>0</v>
      </c>
    </row>
    <row r="164" spans="1:14" x14ac:dyDescent="0.25">
      <c r="A164" s="22">
        <v>160</v>
      </c>
      <c r="B164" s="22">
        <v>3000003029</v>
      </c>
      <c r="C164" t="s">
        <v>211</v>
      </c>
      <c r="D164" s="22" t="s">
        <v>12</v>
      </c>
      <c r="L164" s="22"/>
      <c r="M164" s="22"/>
      <c r="N164" s="31">
        <v>0</v>
      </c>
    </row>
    <row r="165" spans="1:14" x14ac:dyDescent="0.25">
      <c r="A165" s="22">
        <v>161</v>
      </c>
      <c r="B165" s="22">
        <v>3000003029</v>
      </c>
      <c r="C165" t="s">
        <v>297</v>
      </c>
      <c r="D165" s="22" t="s">
        <v>12</v>
      </c>
      <c r="N165" s="31">
        <v>0</v>
      </c>
    </row>
    <row r="166" spans="1:14" x14ac:dyDescent="0.25">
      <c r="A166" s="22">
        <v>162</v>
      </c>
      <c r="B166" s="22">
        <v>1000006010</v>
      </c>
      <c r="C166" t="s">
        <v>298</v>
      </c>
      <c r="D166" s="22" t="s">
        <v>12</v>
      </c>
      <c r="N166" s="31">
        <v>0</v>
      </c>
    </row>
    <row r="167" spans="1:14" x14ac:dyDescent="0.25">
      <c r="A167" s="22">
        <v>163</v>
      </c>
      <c r="B167" s="22">
        <v>3000001220</v>
      </c>
      <c r="C167" t="s">
        <v>300</v>
      </c>
      <c r="D167" s="22" t="s">
        <v>12</v>
      </c>
      <c r="N167" s="31">
        <v>0</v>
      </c>
    </row>
    <row r="168" spans="1:14" x14ac:dyDescent="0.25">
      <c r="A168" s="22">
        <v>164</v>
      </c>
      <c r="B168" s="22">
        <v>3000001221</v>
      </c>
      <c r="C168" t="s">
        <v>302</v>
      </c>
      <c r="D168" s="22" t="s">
        <v>12</v>
      </c>
      <c r="N168" s="31">
        <v>0</v>
      </c>
    </row>
    <row r="169" spans="1:14" x14ac:dyDescent="0.25">
      <c r="A169" s="22">
        <v>165</v>
      </c>
      <c r="B169" s="22">
        <v>3000001223</v>
      </c>
      <c r="C169" t="s">
        <v>304</v>
      </c>
      <c r="D169" s="22" t="s">
        <v>12</v>
      </c>
      <c r="N169" s="31">
        <v>0</v>
      </c>
    </row>
    <row r="170" spans="1:14" x14ac:dyDescent="0.25">
      <c r="A170" s="22">
        <v>166</v>
      </c>
      <c r="B170" s="22">
        <v>3000001224</v>
      </c>
      <c r="C170" t="s">
        <v>306</v>
      </c>
      <c r="D170" s="22" t="s">
        <v>12</v>
      </c>
      <c r="N170" s="31">
        <v>0</v>
      </c>
    </row>
    <row r="171" spans="1:14" x14ac:dyDescent="0.25">
      <c r="A171" s="22">
        <v>167</v>
      </c>
      <c r="B171" s="22">
        <v>3000003827</v>
      </c>
      <c r="C171" t="s">
        <v>446</v>
      </c>
      <c r="D171" s="22" t="s">
        <v>12</v>
      </c>
      <c r="N171" s="31">
        <v>0</v>
      </c>
    </row>
    <row r="172" spans="1:14" x14ac:dyDescent="0.25">
      <c r="A172" s="22">
        <v>168</v>
      </c>
      <c r="B172" s="22">
        <v>3000001802</v>
      </c>
      <c r="C172" t="s">
        <v>448</v>
      </c>
      <c r="D172" s="22" t="s">
        <v>12</v>
      </c>
      <c r="N172" s="31">
        <v>0</v>
      </c>
    </row>
    <row r="173" spans="1:14" x14ac:dyDescent="0.25">
      <c r="A173" s="22">
        <v>169</v>
      </c>
      <c r="B173" s="22" t="s">
        <v>35</v>
      </c>
      <c r="C173" t="s">
        <v>449</v>
      </c>
      <c r="D173" s="22" t="s">
        <v>12</v>
      </c>
      <c r="N173" s="31">
        <v>0</v>
      </c>
    </row>
    <row r="174" spans="1:14" x14ac:dyDescent="0.25">
      <c r="A174" s="22">
        <v>170</v>
      </c>
      <c r="B174" s="22" t="s">
        <v>35</v>
      </c>
      <c r="C174" t="s">
        <v>450</v>
      </c>
      <c r="D174" s="22" t="s">
        <v>12</v>
      </c>
      <c r="N174" s="31">
        <v>0</v>
      </c>
    </row>
    <row r="175" spans="1:14" x14ac:dyDescent="0.25">
      <c r="A175" s="22">
        <v>171</v>
      </c>
      <c r="B175" s="22" t="s">
        <v>35</v>
      </c>
      <c r="C175" t="s">
        <v>510</v>
      </c>
      <c r="D175" s="22" t="s">
        <v>12</v>
      </c>
      <c r="N175" s="31">
        <v>0</v>
      </c>
    </row>
    <row r="176" spans="1:14" x14ac:dyDescent="0.25">
      <c r="A176" s="22">
        <v>172</v>
      </c>
      <c r="B176" s="22" t="s">
        <v>35</v>
      </c>
      <c r="C176" t="s">
        <v>516</v>
      </c>
      <c r="D176" s="22" t="s">
        <v>12</v>
      </c>
      <c r="N176" s="31">
        <v>0</v>
      </c>
    </row>
    <row r="177" spans="1:14" x14ac:dyDescent="0.25">
      <c r="A177" s="22">
        <v>173</v>
      </c>
      <c r="B177" s="22" t="s">
        <v>35</v>
      </c>
      <c r="C177" t="s">
        <v>600</v>
      </c>
      <c r="D177" s="22" t="s">
        <v>12</v>
      </c>
      <c r="N177" s="31">
        <v>0</v>
      </c>
    </row>
    <row r="178" spans="1:14" x14ac:dyDescent="0.25">
      <c r="A178" s="22">
        <v>174</v>
      </c>
      <c r="B178" s="22" t="s">
        <v>35</v>
      </c>
      <c r="C178" t="s">
        <v>601</v>
      </c>
      <c r="D178" s="22" t="s">
        <v>12</v>
      </c>
      <c r="N178" s="31">
        <v>0</v>
      </c>
    </row>
    <row r="179" spans="1:14" x14ac:dyDescent="0.25">
      <c r="A179" s="22">
        <v>99</v>
      </c>
      <c r="B179" s="22" t="s">
        <v>35</v>
      </c>
      <c r="C179" t="s">
        <v>1383</v>
      </c>
      <c r="D179" s="22" t="s">
        <v>12</v>
      </c>
      <c r="N179" s="31">
        <v>0</v>
      </c>
    </row>
    <row r="180" spans="1:14" x14ac:dyDescent="0.25">
      <c r="A180" s="22">
        <v>99</v>
      </c>
      <c r="B180" s="22" t="s">
        <v>35</v>
      </c>
      <c r="C180" t="s">
        <v>1557</v>
      </c>
      <c r="D180" s="22" t="s">
        <v>12</v>
      </c>
      <c r="N180" s="31">
        <v>0</v>
      </c>
    </row>
    <row r="181" spans="1:14" x14ac:dyDescent="0.25">
      <c r="A181" s="22">
        <v>101</v>
      </c>
      <c r="B181" s="22">
        <v>3000000008</v>
      </c>
      <c r="C181" t="s">
        <v>1565</v>
      </c>
      <c r="D181" s="22" t="s">
        <v>12</v>
      </c>
      <c r="N181" s="31">
        <v>0</v>
      </c>
    </row>
    <row r="182" spans="1:14" x14ac:dyDescent="0.25">
      <c r="A182" s="22">
        <v>178</v>
      </c>
      <c r="B182" s="22" t="s">
        <v>35</v>
      </c>
      <c r="C182" t="s">
        <v>1662</v>
      </c>
      <c r="D182" s="22" t="s">
        <v>12</v>
      </c>
      <c r="N182" s="31">
        <v>0</v>
      </c>
    </row>
    <row r="183" spans="1:14" x14ac:dyDescent="0.25">
      <c r="A183" s="22">
        <v>80</v>
      </c>
      <c r="B183" s="22" t="s">
        <v>35</v>
      </c>
      <c r="C183" t="s">
        <v>1574</v>
      </c>
      <c r="D183" s="22" t="s">
        <v>12</v>
      </c>
      <c r="N183" s="31">
        <v>0</v>
      </c>
    </row>
    <row r="184" spans="1:14" x14ac:dyDescent="0.25">
      <c r="A184" s="22">
        <v>81</v>
      </c>
      <c r="B184" s="22">
        <v>1000014673</v>
      </c>
      <c r="C184" t="s">
        <v>1575</v>
      </c>
      <c r="D184" s="22" t="s">
        <v>12</v>
      </c>
      <c r="N184" s="31">
        <v>0</v>
      </c>
    </row>
    <row r="185" spans="1:14" x14ac:dyDescent="0.25">
      <c r="A185" s="22">
        <v>181</v>
      </c>
      <c r="B185" s="22">
        <v>4000021502</v>
      </c>
      <c r="C185" t="s">
        <v>1576</v>
      </c>
      <c r="D185" s="22" t="s">
        <v>12</v>
      </c>
      <c r="N185" s="31">
        <v>0</v>
      </c>
    </row>
    <row r="186" spans="1:14" x14ac:dyDescent="0.25">
      <c r="A186" s="22">
        <v>100</v>
      </c>
      <c r="B186" s="22">
        <v>3000002696</v>
      </c>
      <c r="C186" t="s">
        <v>1580</v>
      </c>
      <c r="D186" s="22" t="s">
        <v>12</v>
      </c>
      <c r="N186" s="31">
        <v>0</v>
      </c>
    </row>
    <row r="187" spans="1:14" x14ac:dyDescent="0.25">
      <c r="A187" s="22">
        <v>101</v>
      </c>
      <c r="B187" s="22">
        <v>3000000707</v>
      </c>
      <c r="C187" t="s">
        <v>1618</v>
      </c>
      <c r="D187" s="22" t="s">
        <v>12</v>
      </c>
      <c r="N187" s="31">
        <v>0</v>
      </c>
    </row>
  </sheetData>
  <autoFilter ref="A4:N4"/>
  <mergeCells count="3">
    <mergeCell ref="A1:A2"/>
    <mergeCell ref="B1:B2"/>
    <mergeCell ref="C1:C2"/>
  </mergeCells>
  <conditionalFormatting sqref="A3:XFD3">
    <cfRule type="expression" dxfId="384" priority="1" stopIfTrue="1">
      <formula>AND(ROW()&gt;=3,ROW()&lt;=3)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N187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H7" sqref="H7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6" width="10.7109375" style="22" customWidth="1"/>
    <col min="7" max="8" width="9.85546875" style="22" customWidth="1"/>
    <col min="9" max="9" width="10" style="22" customWidth="1"/>
    <col min="10" max="10" width="11.140625" style="22" bestFit="1" customWidth="1"/>
    <col min="11" max="11" width="11.140625" style="22" customWidth="1"/>
    <col min="12" max="13" width="9.140625" customWidth="1"/>
    <col min="14" max="14" width="9.140625" style="31"/>
  </cols>
  <sheetData>
    <row r="1" spans="1:14" ht="27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3</v>
      </c>
      <c r="E1" s="27" t="s">
        <v>188</v>
      </c>
      <c r="F1" s="26" t="s">
        <v>1818</v>
      </c>
      <c r="G1" s="26" t="s">
        <v>1818</v>
      </c>
      <c r="H1" s="26" t="s">
        <v>1818</v>
      </c>
      <c r="I1" s="26"/>
      <c r="J1" s="26"/>
      <c r="K1" s="26"/>
      <c r="L1" s="26"/>
      <c r="M1" s="26"/>
      <c r="N1" s="29" t="s">
        <v>177</v>
      </c>
    </row>
    <row r="2" spans="1:14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1819</v>
      </c>
      <c r="G2" s="25" t="s">
        <v>1822</v>
      </c>
      <c r="H2" s="25" t="s">
        <v>1882</v>
      </c>
      <c r="I2" s="25"/>
      <c r="J2" s="25"/>
      <c r="K2" s="25"/>
      <c r="L2" s="25"/>
      <c r="M2" s="25"/>
      <c r="N2" s="29"/>
    </row>
    <row r="3" spans="1:14" s="28" customFormat="1" ht="12" customHeight="1" x14ac:dyDescent="0.2">
      <c r="A3" s="26"/>
      <c r="B3" s="26"/>
      <c r="C3" s="26" t="s">
        <v>10</v>
      </c>
      <c r="D3" s="26"/>
      <c r="E3" s="38" t="s">
        <v>187</v>
      </c>
      <c r="F3" s="27">
        <v>46051</v>
      </c>
      <c r="G3" s="27">
        <v>46052</v>
      </c>
      <c r="H3" s="27">
        <v>46066</v>
      </c>
      <c r="I3" s="27"/>
      <c r="J3" s="34"/>
      <c r="K3" s="34"/>
      <c r="L3" s="27"/>
      <c r="M3" s="27"/>
      <c r="N3" s="30"/>
    </row>
    <row r="4" spans="1:14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3"/>
    </row>
    <row r="5" spans="1:14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N5" s="31">
        <v>0</v>
      </c>
    </row>
    <row r="6" spans="1:14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L6" s="22"/>
      <c r="N6" s="31">
        <v>0</v>
      </c>
    </row>
    <row r="7" spans="1:14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L7" s="22"/>
      <c r="N7" s="31">
        <v>0</v>
      </c>
    </row>
    <row r="8" spans="1:14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L8" s="22"/>
      <c r="N8" s="31">
        <v>0</v>
      </c>
    </row>
    <row r="9" spans="1:14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L9" s="22"/>
      <c r="N9" s="31">
        <v>0</v>
      </c>
    </row>
    <row r="10" spans="1:14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L10" s="22"/>
      <c r="N10" s="31">
        <v>0</v>
      </c>
    </row>
    <row r="11" spans="1:14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L11" s="22"/>
      <c r="N11" s="31">
        <v>0</v>
      </c>
    </row>
    <row r="12" spans="1:14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L12" s="22"/>
      <c r="N12" s="31">
        <v>0</v>
      </c>
    </row>
    <row r="13" spans="1:14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L13" s="22"/>
      <c r="N13" s="31">
        <v>0</v>
      </c>
    </row>
    <row r="14" spans="1:14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L14" s="22"/>
      <c r="N14" s="31">
        <v>0</v>
      </c>
    </row>
    <row r="15" spans="1:14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L15" s="22"/>
      <c r="N15" s="31">
        <v>0</v>
      </c>
    </row>
    <row r="16" spans="1:14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L16" s="22"/>
      <c r="N16" s="31">
        <v>0</v>
      </c>
    </row>
    <row r="17" spans="1:14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L17" s="22"/>
      <c r="N17" s="31">
        <v>0</v>
      </c>
    </row>
    <row r="18" spans="1:14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L18" s="22"/>
      <c r="N18" s="31">
        <v>0</v>
      </c>
    </row>
    <row r="19" spans="1:14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L19" s="22"/>
      <c r="N19" s="31">
        <v>0</v>
      </c>
    </row>
    <row r="20" spans="1:14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L20" s="22"/>
      <c r="N20" s="31">
        <v>0</v>
      </c>
    </row>
    <row r="21" spans="1:14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F21" s="22">
        <v>300</v>
      </c>
      <c r="L21" s="22"/>
      <c r="N21" s="31">
        <v>300</v>
      </c>
    </row>
    <row r="22" spans="1:14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L22" s="22"/>
      <c r="N22" s="31">
        <v>0</v>
      </c>
    </row>
    <row r="23" spans="1:14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F23" s="22">
        <v>10</v>
      </c>
      <c r="L23" s="22"/>
      <c r="N23" s="31">
        <v>10</v>
      </c>
    </row>
    <row r="24" spans="1:14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L24" s="22"/>
      <c r="N24" s="31">
        <v>0</v>
      </c>
    </row>
    <row r="25" spans="1:14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L25" s="22"/>
      <c r="N25" s="31">
        <v>0</v>
      </c>
    </row>
    <row r="26" spans="1:14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H26" s="22">
        <v>8</v>
      </c>
      <c r="L26" s="22"/>
      <c r="N26" s="31">
        <v>8</v>
      </c>
    </row>
    <row r="27" spans="1:14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L27" s="22"/>
      <c r="N27" s="31">
        <v>0</v>
      </c>
    </row>
    <row r="28" spans="1:14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L28" s="22"/>
      <c r="N28" s="31">
        <v>0</v>
      </c>
    </row>
    <row r="29" spans="1:14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L29" s="22"/>
      <c r="N29" s="31">
        <v>0</v>
      </c>
    </row>
    <row r="30" spans="1:14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L30" s="22"/>
      <c r="N30" s="31">
        <v>0</v>
      </c>
    </row>
    <row r="31" spans="1:14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L31" s="22"/>
      <c r="N31" s="31">
        <v>0</v>
      </c>
    </row>
    <row r="32" spans="1:14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L32" s="22"/>
      <c r="N32" s="31">
        <v>0</v>
      </c>
    </row>
    <row r="33" spans="1:14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L33" s="22"/>
      <c r="N33" s="31">
        <v>0</v>
      </c>
    </row>
    <row r="34" spans="1:14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L34" s="22"/>
      <c r="N34" s="31">
        <v>0</v>
      </c>
    </row>
    <row r="35" spans="1:14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L35" s="22"/>
      <c r="N35" s="31">
        <v>0</v>
      </c>
    </row>
    <row r="36" spans="1:14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L36" s="22"/>
      <c r="N36" s="31">
        <v>0</v>
      </c>
    </row>
    <row r="37" spans="1:14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L37" s="22"/>
      <c r="N37" s="31">
        <v>0</v>
      </c>
    </row>
    <row r="38" spans="1:14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L38" s="22"/>
      <c r="N38" s="31">
        <v>0</v>
      </c>
    </row>
    <row r="39" spans="1:14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L39" s="22"/>
      <c r="N39" s="31">
        <v>0</v>
      </c>
    </row>
    <row r="40" spans="1:14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L40" s="22"/>
      <c r="N40" s="31">
        <v>0</v>
      </c>
    </row>
    <row r="41" spans="1:14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L41" s="22"/>
      <c r="N41" s="31">
        <v>0</v>
      </c>
    </row>
    <row r="42" spans="1:14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L42" s="22"/>
      <c r="N42" s="31">
        <v>0</v>
      </c>
    </row>
    <row r="43" spans="1:14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L43" s="22"/>
      <c r="N43" s="31">
        <v>0</v>
      </c>
    </row>
    <row r="44" spans="1:14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L44" s="22"/>
      <c r="N44" s="31">
        <v>0</v>
      </c>
    </row>
    <row r="45" spans="1:14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L45" s="22"/>
      <c r="N45" s="31">
        <v>0</v>
      </c>
    </row>
    <row r="46" spans="1:14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L46" s="22"/>
      <c r="N46" s="31">
        <v>0</v>
      </c>
    </row>
    <row r="47" spans="1:14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L47" s="22"/>
      <c r="N47" s="31">
        <v>0</v>
      </c>
    </row>
    <row r="48" spans="1:14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L48" s="22"/>
      <c r="N48" s="31">
        <v>0</v>
      </c>
    </row>
    <row r="49" spans="1:14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L49" s="22"/>
      <c r="N49" s="31">
        <v>0</v>
      </c>
    </row>
    <row r="50" spans="1:14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L50" s="22"/>
      <c r="N50" s="31">
        <v>0</v>
      </c>
    </row>
    <row r="51" spans="1:14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L51" s="22"/>
      <c r="N51" s="31">
        <v>0</v>
      </c>
    </row>
    <row r="52" spans="1:14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L52" s="22"/>
      <c r="N52" s="31">
        <v>0</v>
      </c>
    </row>
    <row r="53" spans="1:14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L53" s="22"/>
      <c r="N53" s="31">
        <v>0</v>
      </c>
    </row>
    <row r="54" spans="1:14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L54" s="22"/>
      <c r="N54" s="31">
        <v>0</v>
      </c>
    </row>
    <row r="55" spans="1:14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L55" s="22"/>
      <c r="N55" s="31">
        <v>0</v>
      </c>
    </row>
    <row r="56" spans="1:14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L56" s="22"/>
      <c r="N56" s="31">
        <v>0</v>
      </c>
    </row>
    <row r="57" spans="1:14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L57" s="22"/>
      <c r="N57" s="31">
        <v>0</v>
      </c>
    </row>
    <row r="58" spans="1:14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L58" s="22"/>
      <c r="N58" s="31">
        <v>0</v>
      </c>
    </row>
    <row r="59" spans="1:14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L59" s="22"/>
      <c r="N59" s="31">
        <v>0</v>
      </c>
    </row>
    <row r="60" spans="1:14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L60" s="22"/>
      <c r="N60" s="31">
        <v>0</v>
      </c>
    </row>
    <row r="61" spans="1:14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L61" s="22"/>
      <c r="N61" s="31">
        <v>0</v>
      </c>
    </row>
    <row r="62" spans="1:14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L62" s="22"/>
      <c r="N62" s="31">
        <v>0</v>
      </c>
    </row>
    <row r="63" spans="1:14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L63" s="22"/>
      <c r="N63" s="31">
        <v>0</v>
      </c>
    </row>
    <row r="64" spans="1:14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L64" s="22"/>
      <c r="N64" s="31">
        <v>0</v>
      </c>
    </row>
    <row r="65" spans="1:14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L65" s="22"/>
      <c r="N65" s="31">
        <v>0</v>
      </c>
    </row>
    <row r="66" spans="1:14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L66" s="22"/>
      <c r="N66" s="31">
        <v>0</v>
      </c>
    </row>
    <row r="67" spans="1:14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L67" s="22"/>
      <c r="N67" s="31">
        <v>0</v>
      </c>
    </row>
    <row r="68" spans="1:14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L68" s="22"/>
      <c r="N68" s="31">
        <v>0</v>
      </c>
    </row>
    <row r="69" spans="1:14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L69" s="22"/>
      <c r="N69" s="31">
        <v>0</v>
      </c>
    </row>
    <row r="70" spans="1:14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L70" s="22"/>
      <c r="N70" s="31">
        <v>0</v>
      </c>
    </row>
    <row r="71" spans="1:14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L71" s="22"/>
      <c r="N71" s="31">
        <v>0</v>
      </c>
    </row>
    <row r="72" spans="1:14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L72" s="22"/>
      <c r="N72" s="31">
        <v>0</v>
      </c>
    </row>
    <row r="73" spans="1:14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L73" s="22"/>
      <c r="N73" s="31">
        <v>0</v>
      </c>
    </row>
    <row r="74" spans="1:14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L74" s="22"/>
      <c r="N74" s="31">
        <v>0</v>
      </c>
    </row>
    <row r="75" spans="1:14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L75" s="22"/>
      <c r="N75" s="31">
        <v>0</v>
      </c>
    </row>
    <row r="76" spans="1:14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L76" s="22"/>
      <c r="N76" s="31">
        <v>0</v>
      </c>
    </row>
    <row r="77" spans="1:14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L77" s="22"/>
      <c r="N77" s="31">
        <v>0</v>
      </c>
    </row>
    <row r="78" spans="1:14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L78" s="22"/>
      <c r="N78" s="31">
        <v>0</v>
      </c>
    </row>
    <row r="79" spans="1:14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L79" s="22"/>
      <c r="N79" s="31">
        <v>0</v>
      </c>
    </row>
    <row r="80" spans="1:14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L80" s="22"/>
      <c r="N80" s="31">
        <v>0</v>
      </c>
    </row>
    <row r="81" spans="1:14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L81" s="22"/>
      <c r="N81" s="31">
        <v>0</v>
      </c>
    </row>
    <row r="82" spans="1:14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L82" s="22"/>
      <c r="N82" s="31">
        <v>0</v>
      </c>
    </row>
    <row r="83" spans="1:14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L83" s="22"/>
      <c r="N83" s="31">
        <v>0</v>
      </c>
    </row>
    <row r="84" spans="1:14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L84" s="22"/>
      <c r="N84" s="31">
        <v>0</v>
      </c>
    </row>
    <row r="85" spans="1:14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L85" s="22"/>
      <c r="N85" s="31">
        <v>0</v>
      </c>
    </row>
    <row r="86" spans="1:14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L86" s="22"/>
      <c r="N86" s="31">
        <v>0</v>
      </c>
    </row>
    <row r="87" spans="1:14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L87" s="22"/>
      <c r="N87" s="31">
        <v>0</v>
      </c>
    </row>
    <row r="88" spans="1:14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L88" s="22"/>
      <c r="N88" s="31">
        <v>0</v>
      </c>
    </row>
    <row r="89" spans="1:14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L89" s="22"/>
      <c r="N89" s="31">
        <v>0</v>
      </c>
    </row>
    <row r="90" spans="1:14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L90" s="22"/>
      <c r="N90" s="31">
        <v>0</v>
      </c>
    </row>
    <row r="91" spans="1:14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L91" s="22"/>
      <c r="N91" s="31">
        <v>0</v>
      </c>
    </row>
    <row r="92" spans="1:14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L92" s="22"/>
      <c r="N92" s="31">
        <v>0</v>
      </c>
    </row>
    <row r="93" spans="1:14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L93" s="22"/>
      <c r="N93" s="31">
        <v>0</v>
      </c>
    </row>
    <row r="94" spans="1:14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L94" s="22"/>
      <c r="N94" s="31">
        <v>0</v>
      </c>
    </row>
    <row r="95" spans="1:14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L95" s="22"/>
      <c r="N95" s="31">
        <v>0</v>
      </c>
    </row>
    <row r="96" spans="1:14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L96" s="22"/>
      <c r="N96" s="31">
        <v>0</v>
      </c>
    </row>
    <row r="97" spans="1:14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L97" s="22"/>
      <c r="N97" s="31">
        <v>0</v>
      </c>
    </row>
    <row r="98" spans="1:14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L98" s="22"/>
      <c r="N98" s="31">
        <v>0</v>
      </c>
    </row>
    <row r="99" spans="1:14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L99" s="22"/>
      <c r="N99" s="31">
        <v>0</v>
      </c>
    </row>
    <row r="100" spans="1:14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L100" s="22"/>
      <c r="N100" s="31">
        <v>0</v>
      </c>
    </row>
    <row r="101" spans="1:14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L101" s="22"/>
      <c r="N101" s="31">
        <v>0</v>
      </c>
    </row>
    <row r="102" spans="1:14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L102" s="22"/>
      <c r="N102" s="31">
        <v>0</v>
      </c>
    </row>
    <row r="103" spans="1:14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L103" s="22"/>
      <c r="N103" s="31">
        <v>0</v>
      </c>
    </row>
    <row r="104" spans="1:14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L104" s="22"/>
      <c r="N104" s="31">
        <v>0</v>
      </c>
    </row>
    <row r="105" spans="1:14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L105" s="22"/>
      <c r="N105" s="31">
        <v>0</v>
      </c>
    </row>
    <row r="106" spans="1:14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F106" s="22">
        <v>800</v>
      </c>
      <c r="L106" s="22"/>
      <c r="N106" s="31">
        <v>800</v>
      </c>
    </row>
    <row r="107" spans="1:14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L107" s="22"/>
      <c r="N107" s="31">
        <v>0</v>
      </c>
    </row>
    <row r="108" spans="1:14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L108" s="22"/>
      <c r="N108" s="31">
        <v>0</v>
      </c>
    </row>
    <row r="109" spans="1:14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F109" s="22">
        <v>24</v>
      </c>
      <c r="G109" s="22">
        <v>12</v>
      </c>
      <c r="H109" s="22">
        <v>108</v>
      </c>
      <c r="L109" s="22"/>
      <c r="N109" s="31">
        <v>144</v>
      </c>
    </row>
    <row r="110" spans="1:14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L110" s="22"/>
      <c r="N110" s="31">
        <v>0</v>
      </c>
    </row>
    <row r="111" spans="1:14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L111" s="22"/>
      <c r="N111" s="31">
        <v>0</v>
      </c>
    </row>
    <row r="112" spans="1:14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L112" s="22"/>
      <c r="N112" s="31">
        <v>0</v>
      </c>
    </row>
    <row r="113" spans="1:14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L113" s="22"/>
      <c r="N113" s="31">
        <v>0</v>
      </c>
    </row>
    <row r="114" spans="1:14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L114" s="22"/>
      <c r="N114" s="31">
        <v>0</v>
      </c>
    </row>
    <row r="115" spans="1:14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L115" s="22"/>
      <c r="N115" s="31">
        <v>0</v>
      </c>
    </row>
    <row r="116" spans="1:14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L116" s="22"/>
      <c r="N116" s="31">
        <v>0</v>
      </c>
    </row>
    <row r="117" spans="1:14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L117" s="22"/>
      <c r="N117" s="31">
        <v>0</v>
      </c>
    </row>
    <row r="118" spans="1:14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L118" s="22"/>
      <c r="N118" s="31">
        <v>0</v>
      </c>
    </row>
    <row r="119" spans="1:14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L119" s="22"/>
      <c r="N119" s="31">
        <v>0</v>
      </c>
    </row>
    <row r="120" spans="1:14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L120" s="22"/>
      <c r="N120" s="31">
        <v>0</v>
      </c>
    </row>
    <row r="121" spans="1:14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L121" s="22"/>
      <c r="N121" s="31">
        <v>0</v>
      </c>
    </row>
    <row r="122" spans="1:14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L122" s="22"/>
      <c r="N122" s="31">
        <v>0</v>
      </c>
    </row>
    <row r="123" spans="1:14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L123" s="22"/>
      <c r="N123" s="31">
        <v>0</v>
      </c>
    </row>
    <row r="124" spans="1:14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L124" s="22"/>
      <c r="N124" s="31">
        <v>0</v>
      </c>
    </row>
    <row r="125" spans="1:14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L125" s="22"/>
      <c r="N125" s="31">
        <v>0</v>
      </c>
    </row>
    <row r="126" spans="1:14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F126" s="22">
        <v>18</v>
      </c>
      <c r="G126" s="22">
        <v>10</v>
      </c>
      <c r="H126" s="22">
        <v>384</v>
      </c>
      <c r="L126" s="22"/>
      <c r="N126" s="31">
        <v>412</v>
      </c>
    </row>
    <row r="127" spans="1:14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F127" s="22">
        <v>300</v>
      </c>
      <c r="G127" s="22">
        <v>50</v>
      </c>
      <c r="H127" s="22">
        <v>898</v>
      </c>
      <c r="L127" s="22"/>
      <c r="N127" s="31">
        <v>1248</v>
      </c>
    </row>
    <row r="128" spans="1:14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G128" s="22">
        <v>350</v>
      </c>
      <c r="H128" s="22">
        <v>894</v>
      </c>
      <c r="L128" s="22"/>
      <c r="N128" s="31">
        <v>1244</v>
      </c>
    </row>
    <row r="129" spans="1:14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L129" s="22"/>
      <c r="N129" s="31">
        <v>0</v>
      </c>
    </row>
    <row r="130" spans="1:14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H130" s="22">
        <v>298</v>
      </c>
      <c r="L130" s="22"/>
      <c r="N130" s="31">
        <v>298</v>
      </c>
    </row>
    <row r="131" spans="1:14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L131" s="22"/>
      <c r="N131" s="31">
        <v>0</v>
      </c>
    </row>
    <row r="132" spans="1:14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F132" s="22">
        <v>300</v>
      </c>
      <c r="H132" s="22">
        <v>298</v>
      </c>
      <c r="L132" s="22"/>
      <c r="N132" s="31">
        <v>598</v>
      </c>
    </row>
    <row r="133" spans="1:14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L133" s="22"/>
      <c r="N133" s="31">
        <v>0</v>
      </c>
    </row>
    <row r="134" spans="1:14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L134" s="22"/>
      <c r="N134" s="31">
        <v>0</v>
      </c>
    </row>
    <row r="135" spans="1:14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L135" s="22"/>
      <c r="N135" s="31">
        <v>0</v>
      </c>
    </row>
    <row r="136" spans="1:14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L136" s="22"/>
      <c r="N136" s="31">
        <v>0</v>
      </c>
    </row>
    <row r="137" spans="1:14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L137" s="22"/>
      <c r="N137" s="31">
        <v>0</v>
      </c>
    </row>
    <row r="138" spans="1:14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L138" s="22"/>
      <c r="N138" s="31">
        <v>0</v>
      </c>
    </row>
    <row r="139" spans="1:14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L139" s="22"/>
      <c r="N139" s="31">
        <v>0</v>
      </c>
    </row>
    <row r="140" spans="1:14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L140" s="22"/>
      <c r="N140" s="31">
        <v>0</v>
      </c>
    </row>
    <row r="141" spans="1:14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L141" s="22"/>
      <c r="N141" s="31">
        <v>0</v>
      </c>
    </row>
    <row r="142" spans="1:14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L142" s="22"/>
      <c r="N142" s="31">
        <v>0</v>
      </c>
    </row>
    <row r="143" spans="1:14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L143" s="22"/>
      <c r="N143" s="31">
        <v>0</v>
      </c>
    </row>
    <row r="144" spans="1:14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L144" s="22"/>
      <c r="N144" s="31">
        <v>0</v>
      </c>
    </row>
    <row r="145" spans="1:14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L145" s="22"/>
      <c r="N145" s="31">
        <v>0</v>
      </c>
    </row>
    <row r="146" spans="1:14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L146" s="22"/>
      <c r="N146" s="31">
        <v>0</v>
      </c>
    </row>
    <row r="147" spans="1:14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L147" s="22"/>
      <c r="N147" s="31">
        <v>0</v>
      </c>
    </row>
    <row r="148" spans="1:14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L148" s="22"/>
      <c r="N148" s="31">
        <v>0</v>
      </c>
    </row>
    <row r="149" spans="1:14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L149" s="22"/>
      <c r="N149" s="31">
        <v>0</v>
      </c>
    </row>
    <row r="150" spans="1:14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L150" s="22"/>
      <c r="N150" s="31">
        <v>0</v>
      </c>
    </row>
    <row r="151" spans="1:14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L151" s="22"/>
      <c r="N151" s="31">
        <v>0</v>
      </c>
    </row>
    <row r="152" spans="1:14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L152" s="22"/>
      <c r="N152" s="31">
        <v>0</v>
      </c>
    </row>
    <row r="153" spans="1:14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L153" s="22"/>
      <c r="N153" s="31">
        <v>0</v>
      </c>
    </row>
    <row r="154" spans="1:14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L154" s="22"/>
      <c r="N154" s="31">
        <v>0</v>
      </c>
    </row>
    <row r="155" spans="1:14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L155" s="22"/>
      <c r="N155" s="31">
        <v>0</v>
      </c>
    </row>
    <row r="156" spans="1:14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L156" s="22"/>
      <c r="N156" s="31">
        <v>0</v>
      </c>
    </row>
    <row r="157" spans="1:14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L157" s="22"/>
      <c r="N157" s="31">
        <v>0</v>
      </c>
    </row>
    <row r="158" spans="1:14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L158" s="22"/>
      <c r="N158" s="31">
        <v>0</v>
      </c>
    </row>
    <row r="159" spans="1:14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H159" s="22">
        <v>200</v>
      </c>
      <c r="L159" s="22"/>
      <c r="N159" s="31">
        <v>200</v>
      </c>
    </row>
    <row r="160" spans="1:14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L160" s="22"/>
      <c r="N160" s="31">
        <v>0</v>
      </c>
    </row>
    <row r="161" spans="1:14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L161" s="22"/>
      <c r="N161" s="31">
        <v>0</v>
      </c>
    </row>
    <row r="162" spans="1:14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L162" s="22"/>
      <c r="N162" s="31">
        <v>0</v>
      </c>
    </row>
    <row r="163" spans="1:14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L163" s="22"/>
      <c r="N163" s="31">
        <v>0</v>
      </c>
    </row>
    <row r="164" spans="1:14" x14ac:dyDescent="0.25">
      <c r="A164" s="22">
        <v>160</v>
      </c>
      <c r="B164" s="22">
        <v>3000003029</v>
      </c>
      <c r="C164" t="s">
        <v>211</v>
      </c>
      <c r="D164" s="22" t="s">
        <v>12</v>
      </c>
      <c r="L164" s="22"/>
      <c r="M164" s="22"/>
      <c r="N164" s="31">
        <v>0</v>
      </c>
    </row>
    <row r="165" spans="1:14" x14ac:dyDescent="0.25">
      <c r="A165" s="22">
        <v>161</v>
      </c>
      <c r="B165" s="22">
        <v>3000003029</v>
      </c>
      <c r="C165" t="s">
        <v>297</v>
      </c>
      <c r="D165" s="22" t="s">
        <v>12</v>
      </c>
      <c r="N165" s="31">
        <v>0</v>
      </c>
    </row>
    <row r="166" spans="1:14" x14ac:dyDescent="0.25">
      <c r="A166" s="22">
        <v>162</v>
      </c>
      <c r="B166" s="22">
        <v>1000006010</v>
      </c>
      <c r="C166" t="s">
        <v>298</v>
      </c>
      <c r="D166" s="22" t="s">
        <v>12</v>
      </c>
      <c r="N166" s="31">
        <v>0</v>
      </c>
    </row>
    <row r="167" spans="1:14" x14ac:dyDescent="0.25">
      <c r="A167" s="22">
        <v>163</v>
      </c>
      <c r="B167" s="22">
        <v>3000001220</v>
      </c>
      <c r="C167" t="s">
        <v>300</v>
      </c>
      <c r="D167" s="22" t="s">
        <v>12</v>
      </c>
      <c r="N167" s="31">
        <v>0</v>
      </c>
    </row>
    <row r="168" spans="1:14" x14ac:dyDescent="0.25">
      <c r="A168" s="22">
        <v>164</v>
      </c>
      <c r="B168" s="22">
        <v>3000001221</v>
      </c>
      <c r="C168" t="s">
        <v>302</v>
      </c>
      <c r="D168" s="22" t="s">
        <v>12</v>
      </c>
      <c r="N168" s="31">
        <v>0</v>
      </c>
    </row>
    <row r="169" spans="1:14" x14ac:dyDescent="0.25">
      <c r="A169" s="22">
        <v>165</v>
      </c>
      <c r="B169" s="22">
        <v>3000001223</v>
      </c>
      <c r="C169" t="s">
        <v>304</v>
      </c>
      <c r="D169" s="22" t="s">
        <v>12</v>
      </c>
      <c r="N169" s="31">
        <v>0</v>
      </c>
    </row>
    <row r="170" spans="1:14" x14ac:dyDescent="0.25">
      <c r="A170" s="22">
        <v>166</v>
      </c>
      <c r="B170" s="22">
        <v>3000001224</v>
      </c>
      <c r="C170" t="s">
        <v>306</v>
      </c>
      <c r="D170" s="22" t="s">
        <v>12</v>
      </c>
      <c r="N170" s="31">
        <v>0</v>
      </c>
    </row>
    <row r="171" spans="1:14" x14ac:dyDescent="0.25">
      <c r="A171" s="22">
        <v>167</v>
      </c>
      <c r="B171" s="22">
        <v>3000003827</v>
      </c>
      <c r="C171" t="s">
        <v>446</v>
      </c>
      <c r="D171" s="22" t="s">
        <v>12</v>
      </c>
      <c r="N171" s="31">
        <v>0</v>
      </c>
    </row>
    <row r="172" spans="1:14" x14ac:dyDescent="0.25">
      <c r="A172" s="22">
        <v>168</v>
      </c>
      <c r="B172" s="22">
        <v>3000001802</v>
      </c>
      <c r="C172" t="s">
        <v>448</v>
      </c>
      <c r="D172" s="22" t="s">
        <v>12</v>
      </c>
      <c r="N172" s="31">
        <v>0</v>
      </c>
    </row>
    <row r="173" spans="1:14" x14ac:dyDescent="0.25">
      <c r="A173" s="22">
        <v>169</v>
      </c>
      <c r="B173" s="22" t="s">
        <v>35</v>
      </c>
      <c r="C173" t="s">
        <v>449</v>
      </c>
      <c r="D173" s="22" t="s">
        <v>12</v>
      </c>
      <c r="N173" s="31">
        <v>0</v>
      </c>
    </row>
    <row r="174" spans="1:14" x14ac:dyDescent="0.25">
      <c r="A174" s="22">
        <v>170</v>
      </c>
      <c r="B174" s="22" t="s">
        <v>35</v>
      </c>
      <c r="C174" t="s">
        <v>450</v>
      </c>
      <c r="D174" s="22" t="s">
        <v>12</v>
      </c>
      <c r="N174" s="31">
        <v>0</v>
      </c>
    </row>
    <row r="175" spans="1:14" x14ac:dyDescent="0.25">
      <c r="A175" s="22">
        <v>171</v>
      </c>
      <c r="B175" s="22" t="s">
        <v>35</v>
      </c>
      <c r="C175" t="s">
        <v>510</v>
      </c>
      <c r="D175" s="22" t="s">
        <v>12</v>
      </c>
      <c r="N175" s="31">
        <v>0</v>
      </c>
    </row>
    <row r="176" spans="1:14" x14ac:dyDescent="0.25">
      <c r="A176" s="22">
        <v>172</v>
      </c>
      <c r="B176" s="22" t="s">
        <v>35</v>
      </c>
      <c r="C176" t="s">
        <v>516</v>
      </c>
      <c r="D176" s="22" t="s">
        <v>12</v>
      </c>
      <c r="N176" s="31">
        <v>0</v>
      </c>
    </row>
    <row r="177" spans="1:14" x14ac:dyDescent="0.25">
      <c r="A177" s="22">
        <v>173</v>
      </c>
      <c r="B177" s="22" t="s">
        <v>35</v>
      </c>
      <c r="C177" t="s">
        <v>600</v>
      </c>
      <c r="D177" s="22" t="s">
        <v>12</v>
      </c>
      <c r="N177" s="31">
        <v>0</v>
      </c>
    </row>
    <row r="178" spans="1:14" x14ac:dyDescent="0.25">
      <c r="A178" s="22">
        <v>174</v>
      </c>
      <c r="B178" s="22" t="s">
        <v>35</v>
      </c>
      <c r="C178" t="s">
        <v>601</v>
      </c>
      <c r="D178" s="22" t="s">
        <v>12</v>
      </c>
      <c r="N178" s="31">
        <v>0</v>
      </c>
    </row>
    <row r="179" spans="1:14" x14ac:dyDescent="0.25">
      <c r="A179" s="22">
        <v>99</v>
      </c>
      <c r="B179" s="22" t="s">
        <v>35</v>
      </c>
      <c r="C179" t="s">
        <v>1383</v>
      </c>
      <c r="D179" s="22" t="s">
        <v>12</v>
      </c>
      <c r="N179" s="31">
        <v>0</v>
      </c>
    </row>
    <row r="180" spans="1:14" x14ac:dyDescent="0.25">
      <c r="A180" s="22">
        <v>99</v>
      </c>
      <c r="B180" s="22" t="s">
        <v>35</v>
      </c>
      <c r="C180" t="s">
        <v>1557</v>
      </c>
      <c r="D180" s="22" t="s">
        <v>12</v>
      </c>
      <c r="N180" s="31">
        <v>0</v>
      </c>
    </row>
    <row r="181" spans="1:14" x14ac:dyDescent="0.25">
      <c r="A181" s="22">
        <v>101</v>
      </c>
      <c r="B181" s="22">
        <v>3000000008</v>
      </c>
      <c r="C181" t="s">
        <v>1565</v>
      </c>
      <c r="D181" s="22" t="s">
        <v>12</v>
      </c>
      <c r="N181" s="31">
        <v>0</v>
      </c>
    </row>
    <row r="182" spans="1:14" x14ac:dyDescent="0.25">
      <c r="A182" s="22">
        <v>178</v>
      </c>
      <c r="B182" s="22" t="s">
        <v>35</v>
      </c>
      <c r="C182" t="s">
        <v>1662</v>
      </c>
      <c r="D182" s="22" t="s">
        <v>12</v>
      </c>
      <c r="N182" s="31">
        <v>0</v>
      </c>
    </row>
    <row r="183" spans="1:14" x14ac:dyDescent="0.25">
      <c r="A183" s="22">
        <v>80</v>
      </c>
      <c r="B183" s="22" t="s">
        <v>35</v>
      </c>
      <c r="C183" t="s">
        <v>1574</v>
      </c>
      <c r="D183" s="22" t="s">
        <v>12</v>
      </c>
      <c r="N183" s="31">
        <v>0</v>
      </c>
    </row>
    <row r="184" spans="1:14" x14ac:dyDescent="0.25">
      <c r="A184" s="22">
        <v>81</v>
      </c>
      <c r="B184" s="22">
        <v>1000014673</v>
      </c>
      <c r="C184" t="s">
        <v>1575</v>
      </c>
      <c r="D184" s="22" t="s">
        <v>12</v>
      </c>
      <c r="N184" s="31">
        <v>0</v>
      </c>
    </row>
    <row r="185" spans="1:14" x14ac:dyDescent="0.25">
      <c r="A185" s="22">
        <v>181</v>
      </c>
      <c r="B185" s="22">
        <v>4000021502</v>
      </c>
      <c r="C185" t="s">
        <v>1576</v>
      </c>
      <c r="D185" s="22" t="s">
        <v>12</v>
      </c>
      <c r="N185" s="31">
        <v>0</v>
      </c>
    </row>
    <row r="186" spans="1:14" x14ac:dyDescent="0.25">
      <c r="A186" s="22">
        <v>100</v>
      </c>
      <c r="B186" s="22">
        <v>3000002696</v>
      </c>
      <c r="C186" t="s">
        <v>1580</v>
      </c>
      <c r="D186" s="22" t="s">
        <v>12</v>
      </c>
      <c r="N186" s="31">
        <v>0</v>
      </c>
    </row>
    <row r="187" spans="1:14" x14ac:dyDescent="0.25">
      <c r="A187" s="22">
        <v>101</v>
      </c>
      <c r="B187" s="22">
        <v>3000000707</v>
      </c>
      <c r="C187" t="s">
        <v>1618</v>
      </c>
      <c r="D187" s="22" t="s">
        <v>12</v>
      </c>
      <c r="N187" s="31">
        <v>0</v>
      </c>
    </row>
  </sheetData>
  <autoFilter ref="A4:N4"/>
  <mergeCells count="3">
    <mergeCell ref="A1:A2"/>
    <mergeCell ref="B1:B2"/>
    <mergeCell ref="C1:C2"/>
  </mergeCells>
  <conditionalFormatting sqref="A7:XFD7">
    <cfRule type="expression" dxfId="374" priority="1" stopIfTrue="1">
      <formula>AND(ROW()&gt;=7,ROW()&lt;=7)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JS27"/>
  <sheetViews>
    <sheetView zoomScale="85" zoomScaleNormal="85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F2" sqref="F2:R2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10.85546875" customWidth="1"/>
    <col min="6" max="10" width="11" style="22" customWidth="1"/>
    <col min="11" max="18" width="9.85546875" style="22" customWidth="1"/>
    <col min="19" max="19" width="9.140625" style="31" customWidth="1"/>
  </cols>
  <sheetData>
    <row r="1" spans="1:279" ht="36.75" customHeight="1" thickBot="1" x14ac:dyDescent="0.35">
      <c r="A1" s="149" t="s">
        <v>1</v>
      </c>
      <c r="B1" s="143" t="s">
        <v>174</v>
      </c>
      <c r="C1" s="149" t="s">
        <v>175</v>
      </c>
      <c r="D1" s="80">
        <f>SUBTOTAL(3,F1:XFD1)-3</f>
        <v>11</v>
      </c>
      <c r="E1" s="37" t="s">
        <v>188</v>
      </c>
      <c r="F1" s="26" t="s">
        <v>184</v>
      </c>
      <c r="G1" s="26" t="s">
        <v>184</v>
      </c>
      <c r="H1" s="26" t="s">
        <v>184</v>
      </c>
      <c r="I1" s="26" t="s">
        <v>184</v>
      </c>
      <c r="J1" s="26" t="s">
        <v>184</v>
      </c>
      <c r="K1" s="26" t="s">
        <v>184</v>
      </c>
      <c r="L1" s="26" t="s">
        <v>184</v>
      </c>
      <c r="M1" s="26" t="s">
        <v>184</v>
      </c>
      <c r="N1" s="26" t="s">
        <v>184</v>
      </c>
      <c r="O1" s="26" t="s">
        <v>184</v>
      </c>
      <c r="P1" s="26" t="s">
        <v>184</v>
      </c>
      <c r="Q1" s="26" t="s">
        <v>184</v>
      </c>
      <c r="R1" s="26" t="s">
        <v>184</v>
      </c>
      <c r="S1" s="29" t="s">
        <v>177</v>
      </c>
    </row>
    <row r="2" spans="1:279" ht="29.25" customHeight="1" thickBot="1" x14ac:dyDescent="0.3">
      <c r="A2" s="150"/>
      <c r="B2" s="130"/>
      <c r="C2" s="150"/>
      <c r="D2" s="4" t="s">
        <v>176</v>
      </c>
      <c r="E2" s="4" t="s">
        <v>186</v>
      </c>
      <c r="F2" s="25" t="s">
        <v>1806</v>
      </c>
      <c r="G2" s="25" t="s">
        <v>1807</v>
      </c>
      <c r="H2" s="25" t="s">
        <v>1808</v>
      </c>
      <c r="I2" s="25" t="s">
        <v>1809</v>
      </c>
      <c r="J2" s="25" t="s">
        <v>1810</v>
      </c>
      <c r="K2" s="25" t="s">
        <v>1811</v>
      </c>
      <c r="L2" s="25" t="s">
        <v>1820</v>
      </c>
      <c r="M2" s="25" t="s">
        <v>1821</v>
      </c>
      <c r="N2" s="25" t="s">
        <v>1824</v>
      </c>
      <c r="O2" s="25" t="s">
        <v>1823</v>
      </c>
      <c r="P2" s="25" t="s">
        <v>1825</v>
      </c>
      <c r="Q2" s="25" t="s">
        <v>1826</v>
      </c>
      <c r="R2" s="25" t="s">
        <v>1827</v>
      </c>
      <c r="S2" s="29"/>
    </row>
    <row r="3" spans="1:279" s="28" customFormat="1" ht="12" customHeight="1" x14ac:dyDescent="0.2">
      <c r="A3" s="26"/>
      <c r="B3" s="26"/>
      <c r="C3" s="26" t="s">
        <v>10</v>
      </c>
      <c r="D3" s="26"/>
      <c r="E3" s="38" t="s">
        <v>187</v>
      </c>
      <c r="F3" s="34">
        <v>46042</v>
      </c>
      <c r="G3" s="34">
        <v>46044</v>
      </c>
      <c r="H3" s="34">
        <v>46046</v>
      </c>
      <c r="I3" s="34">
        <v>46047</v>
      </c>
      <c r="J3" s="34">
        <v>46049</v>
      </c>
      <c r="K3" s="27">
        <v>46050</v>
      </c>
      <c r="L3" s="27">
        <v>46051</v>
      </c>
      <c r="M3" s="27">
        <v>46051</v>
      </c>
      <c r="N3" s="27">
        <v>45687</v>
      </c>
      <c r="O3" s="27">
        <v>46053</v>
      </c>
      <c r="P3" s="27">
        <v>46054</v>
      </c>
      <c r="Q3" s="27">
        <v>46054</v>
      </c>
      <c r="R3" s="27">
        <v>46055</v>
      </c>
      <c r="S3" s="30"/>
    </row>
    <row r="4" spans="1:279" ht="12" customHeight="1" x14ac:dyDescent="0.25">
      <c r="A4" s="23"/>
      <c r="B4" s="23"/>
      <c r="C4" s="24"/>
      <c r="D4" s="23"/>
      <c r="E4" s="136"/>
      <c r="F4" s="32"/>
      <c r="G4" s="32"/>
      <c r="H4" s="32"/>
      <c r="I4" s="32"/>
      <c r="J4" s="32"/>
      <c r="K4" s="111"/>
      <c r="L4" s="111"/>
      <c r="M4" s="111"/>
      <c r="N4" s="111"/>
      <c r="O4" s="111"/>
      <c r="P4" s="111"/>
      <c r="Q4" s="111"/>
      <c r="R4" s="111"/>
      <c r="S4" s="33"/>
    </row>
    <row r="5" spans="1:279" x14ac:dyDescent="0.25">
      <c r="A5" s="5">
        <v>5</v>
      </c>
      <c r="B5" s="10">
        <v>4000015243</v>
      </c>
      <c r="C5" s="11" t="s">
        <v>16</v>
      </c>
      <c r="D5" s="8" t="s">
        <v>12</v>
      </c>
      <c r="E5" s="35"/>
      <c r="M5" s="22">
        <v>90</v>
      </c>
      <c r="S5" s="31">
        <v>90</v>
      </c>
    </row>
    <row r="6" spans="1:279" s="70" customFormat="1" x14ac:dyDescent="0.25">
      <c r="A6" s="9">
        <v>17</v>
      </c>
      <c r="B6" s="9">
        <v>3000000061</v>
      </c>
      <c r="C6" s="12" t="s">
        <v>28</v>
      </c>
      <c r="D6" s="9" t="s">
        <v>12</v>
      </c>
      <c r="E6" s="36"/>
      <c r="F6" s="22"/>
      <c r="G6" s="22"/>
      <c r="H6" s="22"/>
      <c r="I6" s="22"/>
      <c r="J6" s="22"/>
      <c r="K6" s="22"/>
      <c r="L6" s="22"/>
      <c r="M6" s="22"/>
      <c r="N6" s="22">
        <v>1800</v>
      </c>
      <c r="O6" s="22"/>
      <c r="P6" s="22">
        <v>1500</v>
      </c>
      <c r="Q6" s="22">
        <v>3100</v>
      </c>
      <c r="R6" s="22"/>
      <c r="S6" s="31">
        <v>6400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</row>
    <row r="7" spans="1:279" s="70" customFormat="1" x14ac:dyDescent="0.25">
      <c r="A7" s="9">
        <v>19</v>
      </c>
      <c r="B7" s="9">
        <v>3000000062</v>
      </c>
      <c r="C7" s="12" t="s">
        <v>30</v>
      </c>
      <c r="D7" s="9" t="s">
        <v>12</v>
      </c>
      <c r="E7" s="36"/>
      <c r="F7" s="22"/>
      <c r="G7" s="22"/>
      <c r="H7" s="22"/>
      <c r="I7" s="22"/>
      <c r="J7" s="22"/>
      <c r="K7" s="22"/>
      <c r="L7" s="22"/>
      <c r="M7" s="22"/>
      <c r="N7" s="22"/>
      <c r="O7" s="22">
        <v>90</v>
      </c>
      <c r="P7" s="22"/>
      <c r="Q7" s="22"/>
      <c r="R7" s="22"/>
      <c r="S7" s="31">
        <v>90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</row>
    <row r="8" spans="1:279" s="70" customFormat="1" x14ac:dyDescent="0.25">
      <c r="A8" s="9">
        <v>20</v>
      </c>
      <c r="B8" s="9">
        <v>3000000063</v>
      </c>
      <c r="C8" s="12" t="s">
        <v>31</v>
      </c>
      <c r="D8" s="9" t="s">
        <v>12</v>
      </c>
      <c r="E8" s="36"/>
      <c r="F8" s="22"/>
      <c r="G8" s="22"/>
      <c r="H8" s="22"/>
      <c r="I8" s="22"/>
      <c r="J8" s="22"/>
      <c r="K8" s="22"/>
      <c r="L8" s="22"/>
      <c r="M8" s="22">
        <v>90</v>
      </c>
      <c r="N8" s="22"/>
      <c r="O8" s="22"/>
      <c r="P8" s="22"/>
      <c r="Q8" s="22"/>
      <c r="R8" s="22"/>
      <c r="S8" s="31">
        <v>90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</row>
    <row r="9" spans="1:279" s="70" customFormat="1" x14ac:dyDescent="0.25">
      <c r="A9" s="9">
        <v>23</v>
      </c>
      <c r="B9" s="9">
        <v>3000000068</v>
      </c>
      <c r="C9" s="12" t="s">
        <v>34</v>
      </c>
      <c r="D9" s="9" t="s">
        <v>12</v>
      </c>
      <c r="E9" s="36"/>
      <c r="F9" s="22"/>
      <c r="G9" s="22"/>
      <c r="H9" s="22"/>
      <c r="I9" s="22"/>
      <c r="J9" s="22"/>
      <c r="K9" s="22"/>
      <c r="L9" s="22"/>
      <c r="M9" s="22"/>
      <c r="N9" s="22">
        <v>2398</v>
      </c>
      <c r="O9" s="22"/>
      <c r="P9" s="22">
        <v>208</v>
      </c>
      <c r="Q9" s="22">
        <v>2689</v>
      </c>
      <c r="R9" s="22"/>
      <c r="S9" s="31">
        <v>5295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</row>
    <row r="10" spans="1:279" s="70" customFormat="1" x14ac:dyDescent="0.25">
      <c r="A10" s="9">
        <v>50</v>
      </c>
      <c r="B10" s="9">
        <v>3000000437</v>
      </c>
      <c r="C10" s="12" t="s">
        <v>62</v>
      </c>
      <c r="D10" s="9" t="s">
        <v>12</v>
      </c>
      <c r="E10" s="36"/>
      <c r="F10" s="22"/>
      <c r="G10" s="22"/>
      <c r="H10" s="22"/>
      <c r="I10" s="22"/>
      <c r="J10" s="22"/>
      <c r="K10" s="22"/>
      <c r="L10" s="22">
        <v>2900</v>
      </c>
      <c r="M10" s="22"/>
      <c r="N10" s="22"/>
      <c r="O10" s="22"/>
      <c r="P10" s="22"/>
      <c r="Q10" s="22">
        <v>1950</v>
      </c>
      <c r="R10" s="22">
        <v>7200</v>
      </c>
      <c r="S10" s="31">
        <v>12050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</row>
    <row r="11" spans="1:279" s="70" customFormat="1" x14ac:dyDescent="0.25">
      <c r="A11" s="9">
        <v>65</v>
      </c>
      <c r="B11" s="9">
        <v>3000001212</v>
      </c>
      <c r="C11" s="12" t="s">
        <v>77</v>
      </c>
      <c r="D11" s="9" t="s">
        <v>12</v>
      </c>
      <c r="E11" s="36"/>
      <c r="F11" s="22"/>
      <c r="G11" s="22"/>
      <c r="H11" s="22"/>
      <c r="I11" s="22"/>
      <c r="J11" s="22"/>
      <c r="K11" s="22"/>
      <c r="L11" s="22"/>
      <c r="M11" s="22"/>
      <c r="N11" s="22">
        <v>150</v>
      </c>
      <c r="O11" s="22"/>
      <c r="P11" s="22">
        <v>152</v>
      </c>
      <c r="Q11" s="22">
        <v>76</v>
      </c>
      <c r="R11" s="22"/>
      <c r="S11" s="31">
        <v>378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</row>
    <row r="12" spans="1:279" s="70" customFormat="1" x14ac:dyDescent="0.25">
      <c r="A12" s="9">
        <v>66</v>
      </c>
      <c r="B12" s="9">
        <v>3000002341</v>
      </c>
      <c r="C12" s="12" t="s">
        <v>78</v>
      </c>
      <c r="D12" s="9" t="s">
        <v>12</v>
      </c>
      <c r="E12" s="36"/>
      <c r="F12" s="22"/>
      <c r="G12" s="22"/>
      <c r="H12" s="22"/>
      <c r="I12" s="22"/>
      <c r="J12" s="22"/>
      <c r="K12" s="22"/>
      <c r="L12" s="22"/>
      <c r="M12" s="22"/>
      <c r="N12" s="22">
        <v>1</v>
      </c>
      <c r="O12" s="22"/>
      <c r="P12" s="22"/>
      <c r="Q12" s="22"/>
      <c r="R12" s="22"/>
      <c r="S12" s="31">
        <v>1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</row>
    <row r="13" spans="1:279" s="70" customFormat="1" x14ac:dyDescent="0.25">
      <c r="A13" s="9">
        <v>68</v>
      </c>
      <c r="B13" s="9">
        <v>3000001215</v>
      </c>
      <c r="C13" s="12" t="s">
        <v>80</v>
      </c>
      <c r="D13" s="9" t="s">
        <v>12</v>
      </c>
      <c r="E13" s="36"/>
      <c r="F13" s="22"/>
      <c r="G13" s="22"/>
      <c r="H13" s="22"/>
      <c r="I13" s="22">
        <v>1400</v>
      </c>
      <c r="J13" s="22"/>
      <c r="K13" s="22">
        <v>1400</v>
      </c>
      <c r="L13" s="22"/>
      <c r="M13" s="22"/>
      <c r="N13" s="22"/>
      <c r="O13" s="22"/>
      <c r="P13" s="22"/>
      <c r="Q13" s="22"/>
      <c r="R13" s="22"/>
      <c r="S13" s="31">
        <v>2800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</row>
    <row r="14" spans="1:279" s="70" customFormat="1" x14ac:dyDescent="0.25">
      <c r="A14" s="9">
        <v>102</v>
      </c>
      <c r="B14" s="9">
        <v>3000000840</v>
      </c>
      <c r="C14" s="12" t="s">
        <v>114</v>
      </c>
      <c r="D14" s="9" t="s">
        <v>12</v>
      </c>
      <c r="E14" s="36"/>
      <c r="F14" s="22"/>
      <c r="G14" s="22"/>
      <c r="H14" s="22"/>
      <c r="I14" s="22"/>
      <c r="J14" s="22"/>
      <c r="K14" s="22"/>
      <c r="L14" s="22"/>
      <c r="M14" s="22"/>
      <c r="N14" s="22">
        <v>2615</v>
      </c>
      <c r="O14" s="22"/>
      <c r="P14" s="22">
        <v>5162</v>
      </c>
      <c r="Q14" s="22">
        <v>16</v>
      </c>
      <c r="R14" s="22"/>
      <c r="S14" s="31">
        <v>7793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</row>
    <row r="15" spans="1:279" s="70" customFormat="1" x14ac:dyDescent="0.25">
      <c r="A15" s="9">
        <v>105</v>
      </c>
      <c r="B15" s="9">
        <v>3000000849</v>
      </c>
      <c r="C15" s="12" t="s">
        <v>117</v>
      </c>
      <c r="D15" s="9" t="s">
        <v>12</v>
      </c>
      <c r="E15" s="36"/>
      <c r="F15" s="22">
        <v>176</v>
      </c>
      <c r="G15" s="22">
        <v>116</v>
      </c>
      <c r="H15" s="22">
        <v>202</v>
      </c>
      <c r="I15" s="22"/>
      <c r="J15" s="22">
        <v>104</v>
      </c>
      <c r="K15" s="22"/>
      <c r="L15" s="22">
        <v>48</v>
      </c>
      <c r="M15" s="22">
        <v>30</v>
      </c>
      <c r="N15" s="22">
        <v>18205</v>
      </c>
      <c r="O15" s="22">
        <v>88</v>
      </c>
      <c r="P15" s="22">
        <v>18669</v>
      </c>
      <c r="Q15" s="22">
        <v>12474</v>
      </c>
      <c r="R15" s="22">
        <v>3324</v>
      </c>
      <c r="S15" s="31">
        <v>53436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</row>
    <row r="16" spans="1:279" x14ac:dyDescent="0.25">
      <c r="A16" s="9">
        <v>119</v>
      </c>
      <c r="B16" s="9">
        <v>3000002701</v>
      </c>
      <c r="C16" s="12" t="s">
        <v>132</v>
      </c>
      <c r="D16" s="9" t="s">
        <v>12</v>
      </c>
      <c r="E16" s="36"/>
      <c r="F16" s="22">
        <v>6</v>
      </c>
      <c r="G16" s="22">
        <v>566</v>
      </c>
      <c r="H16" s="22">
        <v>1202</v>
      </c>
      <c r="J16" s="22">
        <v>2</v>
      </c>
      <c r="S16" s="31">
        <v>1776</v>
      </c>
    </row>
    <row r="17" spans="1:279" x14ac:dyDescent="0.25">
      <c r="A17" s="9">
        <v>120</v>
      </c>
      <c r="B17" s="9">
        <v>3000002771</v>
      </c>
      <c r="C17" s="12" t="s">
        <v>133</v>
      </c>
      <c r="D17" s="9" t="s">
        <v>12</v>
      </c>
      <c r="E17" s="36"/>
      <c r="F17" s="22">
        <v>1566</v>
      </c>
      <c r="G17" s="22">
        <v>566</v>
      </c>
      <c r="H17" s="22">
        <v>1189</v>
      </c>
      <c r="J17" s="22">
        <v>589</v>
      </c>
      <c r="O17" s="22">
        <v>2</v>
      </c>
      <c r="S17" s="31">
        <v>3912</v>
      </c>
    </row>
    <row r="18" spans="1:279" x14ac:dyDescent="0.25">
      <c r="A18" s="9">
        <v>121</v>
      </c>
      <c r="B18" s="9">
        <v>3000002777</v>
      </c>
      <c r="C18" s="12" t="s">
        <v>134</v>
      </c>
      <c r="D18" s="9" t="s">
        <v>12</v>
      </c>
      <c r="E18" s="36"/>
      <c r="F18" s="22">
        <v>1631</v>
      </c>
      <c r="H18" s="22">
        <v>1194</v>
      </c>
      <c r="J18" s="22">
        <v>574</v>
      </c>
      <c r="N18" s="22">
        <v>4</v>
      </c>
      <c r="O18" s="22">
        <v>458</v>
      </c>
      <c r="P18" s="22">
        <v>4</v>
      </c>
      <c r="Q18" s="22">
        <v>4</v>
      </c>
      <c r="S18" s="31">
        <v>3869</v>
      </c>
    </row>
    <row r="19" spans="1:279" x14ac:dyDescent="0.25">
      <c r="A19" s="9">
        <v>122</v>
      </c>
      <c r="B19" s="9">
        <v>3000002700</v>
      </c>
      <c r="C19" s="12" t="s">
        <v>135</v>
      </c>
      <c r="D19" s="9" t="s">
        <v>12</v>
      </c>
      <c r="E19" s="36"/>
      <c r="F19" s="22">
        <v>104</v>
      </c>
      <c r="G19" s="22">
        <v>68</v>
      </c>
      <c r="H19" s="22">
        <v>734</v>
      </c>
      <c r="J19" s="22">
        <v>66</v>
      </c>
      <c r="L19" s="22">
        <v>40</v>
      </c>
      <c r="M19" s="22">
        <v>22</v>
      </c>
      <c r="N19" s="22">
        <v>64</v>
      </c>
      <c r="O19" s="22">
        <v>446</v>
      </c>
      <c r="P19" s="22">
        <v>66</v>
      </c>
      <c r="Q19" s="22">
        <v>38</v>
      </c>
      <c r="R19" s="22">
        <v>18</v>
      </c>
      <c r="S19" s="31">
        <v>1666</v>
      </c>
    </row>
    <row r="20" spans="1:279" x14ac:dyDescent="0.25">
      <c r="A20" s="9">
        <v>123</v>
      </c>
      <c r="B20" s="9">
        <v>3000002699</v>
      </c>
      <c r="C20" s="12" t="s">
        <v>136</v>
      </c>
      <c r="D20" s="9" t="s">
        <v>12</v>
      </c>
      <c r="E20" s="36"/>
      <c r="F20" s="22">
        <v>614</v>
      </c>
      <c r="G20" s="22">
        <v>12</v>
      </c>
      <c r="J20" s="22">
        <v>10</v>
      </c>
      <c r="L20" s="22">
        <v>596</v>
      </c>
      <c r="N20" s="22">
        <v>59</v>
      </c>
      <c r="O20" s="22">
        <v>731</v>
      </c>
      <c r="P20" s="22">
        <v>59</v>
      </c>
      <c r="Q20" s="22">
        <v>35</v>
      </c>
      <c r="R20" s="22">
        <v>2</v>
      </c>
      <c r="S20" s="31">
        <v>2118</v>
      </c>
    </row>
    <row r="21" spans="1:279" x14ac:dyDescent="0.25">
      <c r="A21" s="9">
        <v>124</v>
      </c>
      <c r="B21" s="9">
        <v>3000002698</v>
      </c>
      <c r="C21" s="12" t="s">
        <v>137</v>
      </c>
      <c r="D21" s="9" t="s">
        <v>12</v>
      </c>
      <c r="E21" s="36"/>
      <c r="F21" s="22">
        <v>2</v>
      </c>
      <c r="G21" s="22">
        <v>833</v>
      </c>
      <c r="H21" s="22">
        <v>2</v>
      </c>
      <c r="J21" s="22">
        <v>781</v>
      </c>
      <c r="M21" s="22">
        <v>2</v>
      </c>
      <c r="N21" s="22">
        <v>6</v>
      </c>
      <c r="P21" s="22">
        <v>5</v>
      </c>
      <c r="Q21" s="22">
        <v>6</v>
      </c>
      <c r="S21" s="31">
        <v>1637</v>
      </c>
    </row>
    <row r="22" spans="1:279" x14ac:dyDescent="0.25">
      <c r="A22" s="9">
        <v>128</v>
      </c>
      <c r="B22" s="9">
        <v>3000002696</v>
      </c>
      <c r="C22" s="12" t="s">
        <v>141</v>
      </c>
      <c r="D22" s="9" t="s">
        <v>12</v>
      </c>
      <c r="E22" s="36"/>
      <c r="F22" s="22">
        <v>618</v>
      </c>
      <c r="O22" s="22">
        <v>579</v>
      </c>
      <c r="R22" s="22">
        <v>579</v>
      </c>
      <c r="S22" s="31">
        <v>1776</v>
      </c>
    </row>
    <row r="23" spans="1:279" x14ac:dyDescent="0.25">
      <c r="A23" s="9">
        <v>131</v>
      </c>
      <c r="B23" s="9">
        <v>3000002692</v>
      </c>
      <c r="C23" s="12" t="s">
        <v>145</v>
      </c>
      <c r="D23" s="9" t="s">
        <v>12</v>
      </c>
      <c r="E23" s="36"/>
      <c r="G23" s="22">
        <v>579</v>
      </c>
      <c r="H23" s="22">
        <v>526</v>
      </c>
      <c r="J23" s="22">
        <v>596</v>
      </c>
      <c r="L23" s="22">
        <v>596</v>
      </c>
      <c r="M23" s="22">
        <v>596</v>
      </c>
      <c r="S23" s="31">
        <v>2893</v>
      </c>
    </row>
    <row r="24" spans="1:279" x14ac:dyDescent="0.25">
      <c r="A24" s="9">
        <v>139</v>
      </c>
      <c r="B24" s="9">
        <v>3000001229</v>
      </c>
      <c r="C24" s="12" t="s">
        <v>153</v>
      </c>
      <c r="D24" s="9" t="s">
        <v>12</v>
      </c>
      <c r="E24" s="36"/>
      <c r="P24" s="22">
        <v>4</v>
      </c>
      <c r="S24" s="31">
        <v>4</v>
      </c>
    </row>
    <row r="25" spans="1:279" s="70" customFormat="1" x14ac:dyDescent="0.25">
      <c r="A25" s="9">
        <v>155</v>
      </c>
      <c r="B25" s="9">
        <v>4000015675</v>
      </c>
      <c r="C25" s="12" t="s">
        <v>169</v>
      </c>
      <c r="D25" s="9" t="s">
        <v>12</v>
      </c>
      <c r="E25" s="36"/>
      <c r="F25" s="22"/>
      <c r="G25" s="22"/>
      <c r="H25" s="22"/>
      <c r="I25" s="22"/>
      <c r="J25" s="22"/>
      <c r="K25" s="22"/>
      <c r="L25" s="22"/>
      <c r="M25" s="22"/>
      <c r="N25" s="22">
        <v>14</v>
      </c>
      <c r="O25" s="22"/>
      <c r="P25" s="22">
        <v>12</v>
      </c>
      <c r="Q25" s="22">
        <v>12</v>
      </c>
      <c r="R25" s="22"/>
      <c r="S25" s="31">
        <v>38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</row>
    <row r="26" spans="1:279" s="70" customFormat="1" x14ac:dyDescent="0.25">
      <c r="A26" s="9">
        <v>156</v>
      </c>
      <c r="B26" s="9">
        <v>4000017082</v>
      </c>
      <c r="C26" s="12" t="s">
        <v>170</v>
      </c>
      <c r="D26" s="9" t="s">
        <v>12</v>
      </c>
      <c r="E26" s="36"/>
      <c r="F26" s="22"/>
      <c r="G26" s="22"/>
      <c r="H26" s="22"/>
      <c r="I26" s="22"/>
      <c r="J26" s="22"/>
      <c r="K26" s="22"/>
      <c r="L26" s="22"/>
      <c r="M26" s="22"/>
      <c r="N26" s="22">
        <v>25</v>
      </c>
      <c r="O26" s="22"/>
      <c r="P26" s="22">
        <v>26</v>
      </c>
      <c r="Q26" s="22">
        <v>26</v>
      </c>
      <c r="R26" s="22"/>
      <c r="S26" s="31">
        <v>77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</row>
    <row r="27" spans="1:279" s="70" customFormat="1" x14ac:dyDescent="0.25">
      <c r="A27" s="22"/>
      <c r="B27" s="22"/>
      <c r="C27"/>
      <c r="D27" s="22"/>
      <c r="E27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31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</row>
  </sheetData>
  <autoFilter ref="A4:S27"/>
  <mergeCells count="2">
    <mergeCell ref="A1:A2"/>
    <mergeCell ref="C1:C2"/>
  </mergeCells>
  <conditionalFormatting sqref="A2:XFD2">
    <cfRule type="expression" dxfId="373" priority="1" stopIfTrue="1">
      <formula>AND(ROW()&gt;=2,ROW()&lt;=2)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34"/>
  <sheetViews>
    <sheetView view="pageBreakPreview" zoomScale="115" zoomScaleNormal="100" zoomScaleSheetLayoutView="115" workbookViewId="0">
      <selection activeCell="N12" sqref="N12"/>
    </sheetView>
  </sheetViews>
  <sheetFormatPr defaultRowHeight="15" x14ac:dyDescent="0.25"/>
  <cols>
    <col min="1" max="1" width="9.140625" style="22"/>
  </cols>
  <sheetData>
    <row r="1" spans="1:9" x14ac:dyDescent="0.25">
      <c r="A1" s="158" t="s">
        <v>1829</v>
      </c>
      <c r="B1" s="158"/>
      <c r="C1" s="158"/>
      <c r="D1" s="158"/>
      <c r="E1" s="158"/>
      <c r="F1" s="158"/>
      <c r="G1" s="158"/>
      <c r="H1" s="158"/>
      <c r="I1" s="158"/>
    </row>
    <row r="2" spans="1:9" x14ac:dyDescent="0.25">
      <c r="A2" s="159"/>
      <c r="B2" s="159"/>
      <c r="C2" s="159"/>
      <c r="D2" s="159"/>
      <c r="E2" s="159"/>
      <c r="F2" s="159"/>
      <c r="G2" s="159"/>
      <c r="H2" s="159"/>
      <c r="I2" s="159"/>
    </row>
    <row r="3" spans="1:9" ht="21" customHeight="1" x14ac:dyDescent="0.25">
      <c r="A3" s="147" t="s">
        <v>1828</v>
      </c>
      <c r="B3" s="146"/>
      <c r="C3" s="146"/>
      <c r="D3" s="146"/>
      <c r="E3" s="146"/>
      <c r="F3" s="146"/>
      <c r="G3" s="146"/>
      <c r="H3" s="146"/>
      <c r="I3" s="146"/>
    </row>
    <row r="4" spans="1:9" x14ac:dyDescent="0.25">
      <c r="A4" s="145">
        <v>46054</v>
      </c>
      <c r="B4" s="146"/>
      <c r="C4" s="146"/>
      <c r="D4" s="146"/>
      <c r="E4" s="146"/>
      <c r="F4" s="146"/>
      <c r="G4" s="146"/>
      <c r="H4" s="146"/>
      <c r="I4" s="146"/>
    </row>
    <row r="5" spans="1:9" x14ac:dyDescent="0.25">
      <c r="A5" s="145">
        <v>46055</v>
      </c>
      <c r="B5" s="146"/>
      <c r="C5" s="146"/>
      <c r="D5" s="146"/>
      <c r="E5" s="146"/>
      <c r="F5" s="146"/>
      <c r="G5" s="146"/>
      <c r="H5" s="146"/>
      <c r="I5" s="146"/>
    </row>
    <row r="6" spans="1:9" x14ac:dyDescent="0.25">
      <c r="A6" s="145">
        <v>46056</v>
      </c>
      <c r="B6" s="146"/>
      <c r="C6" s="146"/>
      <c r="D6" s="146"/>
      <c r="E6" s="146"/>
      <c r="F6" s="146"/>
      <c r="G6" s="146"/>
      <c r="H6" s="146"/>
      <c r="I6" s="146"/>
    </row>
    <row r="7" spans="1:9" x14ac:dyDescent="0.25">
      <c r="A7" s="145">
        <v>46057</v>
      </c>
      <c r="B7" s="146"/>
      <c r="C7" s="146"/>
      <c r="D7" s="146"/>
      <c r="E7" s="146"/>
      <c r="F7" s="146"/>
      <c r="G7" s="146"/>
      <c r="H7" s="146"/>
      <c r="I7" s="146"/>
    </row>
    <row r="8" spans="1:9" x14ac:dyDescent="0.25">
      <c r="A8" s="145">
        <v>46058</v>
      </c>
      <c r="B8" s="146"/>
      <c r="C8" s="146"/>
      <c r="D8" s="146"/>
      <c r="E8" s="146"/>
      <c r="F8" s="146"/>
      <c r="G8" s="146"/>
      <c r="H8" s="146"/>
      <c r="I8" s="146"/>
    </row>
    <row r="9" spans="1:9" x14ac:dyDescent="0.25">
      <c r="A9" s="145">
        <v>46059</v>
      </c>
      <c r="B9" s="146"/>
      <c r="C9" s="146"/>
      <c r="D9" s="146"/>
      <c r="E9" s="146"/>
      <c r="F9" s="146"/>
      <c r="G9" s="146"/>
      <c r="H9" s="146"/>
      <c r="I9" s="146"/>
    </row>
    <row r="10" spans="1:9" x14ac:dyDescent="0.25">
      <c r="A10" s="145">
        <v>46060</v>
      </c>
      <c r="B10" s="146"/>
      <c r="C10" s="146"/>
      <c r="D10" s="146"/>
      <c r="E10" s="146"/>
      <c r="F10" s="146"/>
      <c r="G10" s="146"/>
      <c r="H10" s="146"/>
      <c r="I10" s="146"/>
    </row>
    <row r="11" spans="1:9" x14ac:dyDescent="0.25">
      <c r="A11" s="145">
        <v>46061</v>
      </c>
      <c r="B11" s="146"/>
      <c r="C11" s="146"/>
      <c r="D11" s="146"/>
      <c r="E11" s="146"/>
      <c r="F11" s="146"/>
      <c r="G11" s="146"/>
      <c r="H11" s="146"/>
      <c r="I11" s="146"/>
    </row>
    <row r="12" spans="1:9" x14ac:dyDescent="0.25">
      <c r="A12" s="145">
        <v>46062</v>
      </c>
      <c r="B12" s="146"/>
      <c r="C12" s="146"/>
      <c r="D12" s="146"/>
      <c r="E12" s="146"/>
      <c r="F12" s="146"/>
      <c r="G12" s="146"/>
      <c r="H12" s="146"/>
      <c r="I12" s="146"/>
    </row>
    <row r="13" spans="1:9" x14ac:dyDescent="0.25">
      <c r="A13" s="145">
        <v>46063</v>
      </c>
      <c r="B13" s="146"/>
      <c r="C13" s="146"/>
      <c r="D13" s="146"/>
      <c r="E13" s="146"/>
      <c r="F13" s="146"/>
      <c r="G13" s="146"/>
      <c r="H13" s="146"/>
      <c r="I13" s="146"/>
    </row>
    <row r="14" spans="1:9" x14ac:dyDescent="0.25">
      <c r="A14" s="145">
        <v>46064</v>
      </c>
      <c r="B14" s="146"/>
      <c r="C14" s="146"/>
      <c r="D14" s="146"/>
      <c r="E14" s="146"/>
      <c r="F14" s="146"/>
      <c r="G14" s="146"/>
      <c r="H14" s="146"/>
      <c r="I14" s="146"/>
    </row>
    <row r="15" spans="1:9" x14ac:dyDescent="0.25">
      <c r="A15" s="145">
        <v>46065</v>
      </c>
      <c r="B15" s="146"/>
      <c r="C15" s="146"/>
      <c r="D15" s="146"/>
      <c r="E15" s="146"/>
      <c r="F15" s="146"/>
      <c r="G15" s="146"/>
      <c r="H15" s="146"/>
      <c r="I15" s="146"/>
    </row>
    <row r="16" spans="1:9" x14ac:dyDescent="0.25">
      <c r="A16" s="145">
        <v>46066</v>
      </c>
      <c r="B16" s="146"/>
      <c r="C16" s="146"/>
      <c r="D16" s="146"/>
      <c r="E16" s="146"/>
      <c r="F16" s="146"/>
      <c r="G16" s="146"/>
      <c r="H16" s="146"/>
      <c r="I16" s="146"/>
    </row>
    <row r="17" spans="1:9" x14ac:dyDescent="0.25">
      <c r="A17" s="145">
        <v>46067</v>
      </c>
      <c r="B17" s="146"/>
      <c r="C17" s="146"/>
      <c r="D17" s="146"/>
      <c r="E17" s="146"/>
      <c r="F17" s="146"/>
      <c r="G17" s="146"/>
      <c r="H17" s="146"/>
      <c r="I17" s="146"/>
    </row>
    <row r="18" spans="1:9" x14ac:dyDescent="0.25">
      <c r="A18" s="145">
        <v>46068</v>
      </c>
      <c r="B18" s="146"/>
      <c r="C18" s="146"/>
      <c r="D18" s="146"/>
      <c r="E18" s="146"/>
      <c r="F18" s="146"/>
      <c r="G18" s="146"/>
      <c r="H18" s="146"/>
      <c r="I18" s="146"/>
    </row>
    <row r="19" spans="1:9" x14ac:dyDescent="0.25">
      <c r="A19" s="145">
        <v>46069</v>
      </c>
      <c r="B19" s="146"/>
      <c r="C19" s="146"/>
      <c r="D19" s="146"/>
      <c r="E19" s="146"/>
      <c r="F19" s="146"/>
      <c r="G19" s="146"/>
      <c r="H19" s="146"/>
      <c r="I19" s="146"/>
    </row>
    <row r="20" spans="1:9" x14ac:dyDescent="0.25">
      <c r="A20" s="145">
        <v>46070</v>
      </c>
      <c r="B20" s="146"/>
      <c r="C20" s="146"/>
      <c r="D20" s="146"/>
      <c r="E20" s="146"/>
      <c r="F20" s="146"/>
      <c r="G20" s="146"/>
      <c r="H20" s="146"/>
      <c r="I20" s="146"/>
    </row>
    <row r="21" spans="1:9" x14ac:dyDescent="0.25">
      <c r="A21" s="145">
        <v>46071</v>
      </c>
      <c r="B21" s="146"/>
      <c r="C21" s="146"/>
      <c r="D21" s="146"/>
      <c r="E21" s="146"/>
      <c r="F21" s="146"/>
      <c r="G21" s="146"/>
      <c r="H21" s="146"/>
      <c r="I21" s="146"/>
    </row>
    <row r="22" spans="1:9" x14ac:dyDescent="0.25">
      <c r="A22" s="145">
        <v>46072</v>
      </c>
      <c r="B22" s="146"/>
      <c r="C22" s="146"/>
      <c r="D22" s="146"/>
      <c r="E22" s="146"/>
      <c r="F22" s="146"/>
      <c r="G22" s="146"/>
      <c r="H22" s="146"/>
      <c r="I22" s="146"/>
    </row>
    <row r="23" spans="1:9" x14ac:dyDescent="0.25">
      <c r="A23" s="145">
        <v>46073</v>
      </c>
      <c r="B23" s="146"/>
      <c r="C23" s="146"/>
      <c r="D23" s="146"/>
      <c r="E23" s="146"/>
      <c r="F23" s="146"/>
      <c r="G23" s="146"/>
      <c r="H23" s="146"/>
      <c r="I23" s="146"/>
    </row>
    <row r="24" spans="1:9" x14ac:dyDescent="0.25">
      <c r="A24" s="145">
        <v>46074</v>
      </c>
      <c r="B24" s="146"/>
      <c r="C24" s="146"/>
      <c r="D24" s="146"/>
      <c r="E24" s="146"/>
      <c r="F24" s="146"/>
      <c r="G24" s="146"/>
      <c r="H24" s="146"/>
      <c r="I24" s="146"/>
    </row>
    <row r="25" spans="1:9" x14ac:dyDescent="0.25">
      <c r="A25" s="145">
        <v>46075</v>
      </c>
      <c r="B25" s="146"/>
      <c r="C25" s="146"/>
      <c r="D25" s="146"/>
      <c r="E25" s="146"/>
      <c r="F25" s="146"/>
      <c r="G25" s="146"/>
      <c r="H25" s="146"/>
      <c r="I25" s="146"/>
    </row>
    <row r="26" spans="1:9" x14ac:dyDescent="0.25">
      <c r="A26" s="145">
        <v>46076</v>
      </c>
      <c r="B26" s="146"/>
      <c r="C26" s="146"/>
      <c r="D26" s="146"/>
      <c r="E26" s="146"/>
      <c r="F26" s="146"/>
      <c r="G26" s="146"/>
      <c r="H26" s="146"/>
      <c r="I26" s="146"/>
    </row>
    <row r="27" spans="1:9" x14ac:dyDescent="0.25">
      <c r="A27" s="145">
        <v>46077</v>
      </c>
      <c r="B27" s="146"/>
      <c r="C27" s="146"/>
      <c r="D27" s="146"/>
      <c r="E27" s="146"/>
      <c r="F27" s="146"/>
      <c r="G27" s="146"/>
      <c r="H27" s="146"/>
      <c r="I27" s="146"/>
    </row>
    <row r="28" spans="1:9" x14ac:dyDescent="0.25">
      <c r="A28" s="145">
        <v>46078</v>
      </c>
      <c r="B28" s="146"/>
      <c r="C28" s="146"/>
      <c r="D28" s="146"/>
      <c r="E28" s="146"/>
      <c r="F28" s="146"/>
      <c r="G28" s="146"/>
      <c r="H28" s="146"/>
      <c r="I28" s="146"/>
    </row>
    <row r="29" spans="1:9" x14ac:dyDescent="0.25">
      <c r="A29" s="145">
        <v>46079</v>
      </c>
      <c r="B29" s="146"/>
      <c r="C29" s="146"/>
      <c r="D29" s="146"/>
      <c r="E29" s="146"/>
      <c r="F29" s="146"/>
      <c r="G29" s="146"/>
      <c r="H29" s="146"/>
      <c r="I29" s="146"/>
    </row>
    <row r="30" spans="1:9" x14ac:dyDescent="0.25">
      <c r="A30" s="145">
        <v>46080</v>
      </c>
      <c r="B30" s="146"/>
      <c r="C30" s="146"/>
      <c r="D30" s="146"/>
      <c r="E30" s="146"/>
      <c r="F30" s="146"/>
      <c r="G30" s="146"/>
      <c r="H30" s="146"/>
      <c r="I30" s="146"/>
    </row>
    <row r="31" spans="1:9" x14ac:dyDescent="0.25">
      <c r="A31" s="145">
        <v>46081</v>
      </c>
      <c r="B31" s="146"/>
      <c r="C31" s="146"/>
      <c r="D31" s="146"/>
      <c r="E31" s="146"/>
      <c r="F31" s="146"/>
      <c r="G31" s="146"/>
      <c r="H31" s="146"/>
      <c r="I31" s="146"/>
    </row>
    <row r="32" spans="1:9" x14ac:dyDescent="0.25">
      <c r="A32" s="144"/>
    </row>
    <row r="33" spans="1:1" x14ac:dyDescent="0.25">
      <c r="A33" s="144"/>
    </row>
    <row r="34" spans="1:1" x14ac:dyDescent="0.25">
      <c r="A34" s="144"/>
    </row>
  </sheetData>
  <mergeCells count="1">
    <mergeCell ref="A1:I2"/>
  </mergeCells>
  <conditionalFormatting sqref="A12:XFD12">
    <cfRule type="expression" dxfId="372" priority="1" stopIfTrue="1">
      <formula>AND(ROW()&gt;=12,ROW()&lt;=12)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7"/>
  <sheetViews>
    <sheetView showGridLines="0" topLeftCell="A148" workbookViewId="0">
      <selection activeCell="C158" sqref="C158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.140625" style="22" bestFit="1" customWidth="1"/>
    <col min="5" max="5" width="9.140625" customWidth="1"/>
    <col min="6" max="6" width="10.28515625" customWidth="1"/>
    <col min="7" max="10" width="9.140625" customWidth="1"/>
    <col min="11" max="11" width="12.28515625" customWidth="1"/>
    <col min="12" max="12" width="9.140625" customWidth="1"/>
    <col min="13" max="13" width="11" bestFit="1" customWidth="1"/>
    <col min="15" max="15" width="11" bestFit="1" customWidth="1"/>
    <col min="16" max="16" width="48" bestFit="1" customWidth="1"/>
    <col min="17" max="17" width="11" bestFit="1" customWidth="1"/>
  </cols>
  <sheetData>
    <row r="1" spans="1:13" ht="38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6"/>
      <c r="G1" s="26"/>
      <c r="H1" s="26"/>
      <c r="I1" s="26"/>
      <c r="J1" s="26"/>
      <c r="K1" s="26"/>
      <c r="L1" s="26"/>
      <c r="M1" s="26" t="s">
        <v>177</v>
      </c>
    </row>
    <row r="2" spans="1:13" s="52" customFormat="1" ht="24.75" customHeight="1" thickBot="1" x14ac:dyDescent="0.3">
      <c r="A2" s="150"/>
      <c r="B2" s="150"/>
      <c r="C2" s="150"/>
      <c r="D2" s="131" t="s">
        <v>176</v>
      </c>
      <c r="E2" s="4" t="s">
        <v>186</v>
      </c>
      <c r="F2" s="25"/>
      <c r="G2" s="25"/>
      <c r="H2" s="25"/>
      <c r="I2" s="25"/>
      <c r="J2" s="25"/>
      <c r="K2" s="25"/>
      <c r="L2" s="25"/>
      <c r="M2" s="25"/>
    </row>
    <row r="3" spans="1:13" s="52" customFormat="1" ht="18.75" x14ac:dyDescent="0.25">
      <c r="A3" s="26"/>
      <c r="B3" s="26"/>
      <c r="C3" s="26" t="s">
        <v>10</v>
      </c>
      <c r="D3" s="26"/>
      <c r="E3" s="38" t="s">
        <v>187</v>
      </c>
      <c r="F3" s="27"/>
      <c r="G3" s="27"/>
      <c r="H3" s="27"/>
      <c r="I3" s="27"/>
      <c r="J3" s="27"/>
      <c r="K3" s="27"/>
      <c r="L3" s="27"/>
      <c r="M3" s="27"/>
    </row>
    <row r="4" spans="1:13" s="42" customFormat="1" ht="7.5" customHeight="1" x14ac:dyDescent="0.25">
      <c r="A4" s="23"/>
      <c r="B4" s="23"/>
      <c r="C4" s="24"/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13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M5" s="22">
        <v>0</v>
      </c>
    </row>
    <row r="6" spans="1:13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M6" s="22">
        <v>0</v>
      </c>
    </row>
    <row r="7" spans="1:13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M7" s="22">
        <v>0</v>
      </c>
    </row>
    <row r="8" spans="1:13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M8" s="22">
        <v>0</v>
      </c>
    </row>
    <row r="9" spans="1:13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M9" s="22">
        <v>0</v>
      </c>
    </row>
    <row r="10" spans="1:13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M10" s="22">
        <v>0</v>
      </c>
    </row>
    <row r="11" spans="1:13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M11" s="22">
        <v>0</v>
      </c>
    </row>
    <row r="12" spans="1:13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M12" s="22">
        <v>0</v>
      </c>
    </row>
    <row r="13" spans="1:13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M13" s="22">
        <v>0</v>
      </c>
    </row>
    <row r="14" spans="1:13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M14" s="22">
        <v>0</v>
      </c>
    </row>
    <row r="15" spans="1:13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M15" s="22">
        <v>0</v>
      </c>
    </row>
    <row r="16" spans="1:13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M16" s="22">
        <v>0</v>
      </c>
    </row>
    <row r="17" spans="1:13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M17" s="22">
        <v>0</v>
      </c>
    </row>
    <row r="18" spans="1:13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M18" s="22">
        <v>0</v>
      </c>
    </row>
    <row r="19" spans="1:13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M19" s="22">
        <v>0</v>
      </c>
    </row>
    <row r="20" spans="1:13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M20" s="22">
        <v>0</v>
      </c>
    </row>
    <row r="21" spans="1:13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M21" s="22">
        <v>0</v>
      </c>
    </row>
    <row r="22" spans="1:13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M22" s="22">
        <v>0</v>
      </c>
    </row>
    <row r="23" spans="1:13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M23" s="22">
        <v>0</v>
      </c>
    </row>
    <row r="24" spans="1:13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M24" s="22">
        <v>0</v>
      </c>
    </row>
    <row r="25" spans="1:13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M25" s="22">
        <v>0</v>
      </c>
    </row>
    <row r="26" spans="1:13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M26" s="22">
        <v>0</v>
      </c>
    </row>
    <row r="27" spans="1:13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M27" s="22">
        <v>0</v>
      </c>
    </row>
    <row r="28" spans="1:13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M28" s="22">
        <v>0</v>
      </c>
    </row>
    <row r="29" spans="1:13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M29" s="22">
        <v>0</v>
      </c>
    </row>
    <row r="30" spans="1:13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M30" s="22">
        <v>0</v>
      </c>
    </row>
    <row r="31" spans="1:13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M31" s="22">
        <v>0</v>
      </c>
    </row>
    <row r="32" spans="1:13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M32" s="22">
        <v>0</v>
      </c>
    </row>
    <row r="33" spans="1:13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M33" s="22">
        <v>0</v>
      </c>
    </row>
    <row r="34" spans="1:13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M34" s="22">
        <v>0</v>
      </c>
    </row>
    <row r="35" spans="1:13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M35" s="22">
        <v>0</v>
      </c>
    </row>
    <row r="36" spans="1:13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M36" s="22">
        <v>0</v>
      </c>
    </row>
    <row r="37" spans="1:13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M37" s="22">
        <v>0</v>
      </c>
    </row>
    <row r="38" spans="1:13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M38" s="22">
        <v>0</v>
      </c>
    </row>
    <row r="39" spans="1:13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M39" s="22">
        <v>0</v>
      </c>
    </row>
    <row r="40" spans="1:13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M40" s="22">
        <v>0</v>
      </c>
    </row>
    <row r="41" spans="1:13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M41" s="22">
        <v>0</v>
      </c>
    </row>
    <row r="42" spans="1:13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M42" s="22">
        <v>0</v>
      </c>
    </row>
    <row r="43" spans="1:13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M43" s="22">
        <v>0</v>
      </c>
    </row>
    <row r="44" spans="1:13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M44" s="22">
        <v>0</v>
      </c>
    </row>
    <row r="45" spans="1:13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M45" s="22">
        <v>0</v>
      </c>
    </row>
    <row r="46" spans="1:13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M46" s="22">
        <v>0</v>
      </c>
    </row>
    <row r="47" spans="1:13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M47" s="22">
        <v>0</v>
      </c>
    </row>
    <row r="48" spans="1:13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M48" s="22">
        <v>0</v>
      </c>
    </row>
    <row r="49" spans="1:13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M49" s="22">
        <v>0</v>
      </c>
    </row>
    <row r="50" spans="1:13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M50" s="22">
        <v>0</v>
      </c>
    </row>
    <row r="51" spans="1:13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M51" s="22">
        <v>0</v>
      </c>
    </row>
    <row r="52" spans="1:13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M52" s="22">
        <v>0</v>
      </c>
    </row>
    <row r="53" spans="1:13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M53" s="22">
        <v>0</v>
      </c>
    </row>
    <row r="54" spans="1:13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M54" s="22">
        <v>0</v>
      </c>
    </row>
    <row r="55" spans="1:13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M55" s="22">
        <v>0</v>
      </c>
    </row>
    <row r="56" spans="1:13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M56" s="22">
        <v>0</v>
      </c>
    </row>
    <row r="57" spans="1:13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M57" s="22">
        <v>0</v>
      </c>
    </row>
    <row r="58" spans="1:13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M58" s="22">
        <v>0</v>
      </c>
    </row>
    <row r="59" spans="1:13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M59" s="22">
        <v>0</v>
      </c>
    </row>
    <row r="60" spans="1:13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M60" s="22">
        <v>0</v>
      </c>
    </row>
    <row r="61" spans="1:13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M61" s="22">
        <v>0</v>
      </c>
    </row>
    <row r="62" spans="1:13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M62" s="22">
        <v>0</v>
      </c>
    </row>
    <row r="63" spans="1:13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M63" s="22">
        <v>0</v>
      </c>
    </row>
    <row r="64" spans="1:13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M64" s="22">
        <v>0</v>
      </c>
    </row>
    <row r="65" spans="1:13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M65" s="22">
        <v>0</v>
      </c>
    </row>
    <row r="66" spans="1:13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M66" s="22">
        <v>0</v>
      </c>
    </row>
    <row r="67" spans="1:13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M67" s="22">
        <v>0</v>
      </c>
    </row>
    <row r="68" spans="1:13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M68" s="22">
        <v>0</v>
      </c>
    </row>
    <row r="69" spans="1:13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M69" s="22">
        <v>0</v>
      </c>
    </row>
    <row r="70" spans="1:13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M70" s="22">
        <v>0</v>
      </c>
    </row>
    <row r="71" spans="1:13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M71" s="22">
        <v>0</v>
      </c>
    </row>
    <row r="72" spans="1:13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M72" s="22">
        <v>0</v>
      </c>
    </row>
    <row r="73" spans="1:13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M73" s="22">
        <v>0</v>
      </c>
    </row>
    <row r="74" spans="1:13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M74" s="22">
        <v>0</v>
      </c>
    </row>
    <row r="75" spans="1:13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M75" s="22">
        <v>0</v>
      </c>
    </row>
    <row r="76" spans="1:13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M76" s="22">
        <v>0</v>
      </c>
    </row>
    <row r="77" spans="1:13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M77" s="22">
        <v>0</v>
      </c>
    </row>
    <row r="78" spans="1:13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M78" s="22">
        <v>0</v>
      </c>
    </row>
    <row r="79" spans="1:13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M79" s="22">
        <v>0</v>
      </c>
    </row>
    <row r="80" spans="1:13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M80" s="22">
        <v>0</v>
      </c>
    </row>
    <row r="81" spans="1:13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M81" s="22">
        <v>0</v>
      </c>
    </row>
    <row r="82" spans="1:13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M82" s="22">
        <v>0</v>
      </c>
    </row>
    <row r="83" spans="1:13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M83" s="22">
        <v>0</v>
      </c>
    </row>
    <row r="84" spans="1:13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M84" s="22">
        <v>0</v>
      </c>
    </row>
    <row r="85" spans="1:13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M85" s="22">
        <v>0</v>
      </c>
    </row>
    <row r="86" spans="1:13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M86" s="22">
        <v>0</v>
      </c>
    </row>
    <row r="87" spans="1:13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M87" s="22">
        <v>0</v>
      </c>
    </row>
    <row r="88" spans="1:13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M88" s="22">
        <v>0</v>
      </c>
    </row>
    <row r="89" spans="1:13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M89" s="22">
        <v>0</v>
      </c>
    </row>
    <row r="90" spans="1:13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M90" s="22">
        <v>0</v>
      </c>
    </row>
    <row r="91" spans="1:13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M91" s="22">
        <v>0</v>
      </c>
    </row>
    <row r="92" spans="1:13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M92" s="22">
        <v>0</v>
      </c>
    </row>
    <row r="93" spans="1:13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M93" s="22">
        <v>0</v>
      </c>
    </row>
    <row r="94" spans="1:13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M94" s="22">
        <v>0</v>
      </c>
    </row>
    <row r="95" spans="1:13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M95" s="22">
        <v>0</v>
      </c>
    </row>
    <row r="96" spans="1:13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M96" s="22">
        <v>0</v>
      </c>
    </row>
    <row r="97" spans="1:13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M97" s="22">
        <v>0</v>
      </c>
    </row>
    <row r="98" spans="1:13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M98" s="22">
        <v>0</v>
      </c>
    </row>
    <row r="99" spans="1:13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M99" s="22">
        <v>0</v>
      </c>
    </row>
    <row r="100" spans="1:13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M100" s="22">
        <v>0</v>
      </c>
    </row>
    <row r="101" spans="1:13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M101" s="22">
        <v>0</v>
      </c>
    </row>
    <row r="102" spans="1:13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M102" s="22">
        <v>0</v>
      </c>
    </row>
    <row r="103" spans="1:13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M103" s="22">
        <v>0</v>
      </c>
    </row>
    <row r="104" spans="1:13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M104" s="22">
        <v>0</v>
      </c>
    </row>
    <row r="105" spans="1:13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M105" s="22">
        <v>0</v>
      </c>
    </row>
    <row r="106" spans="1:13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M106" s="22">
        <v>0</v>
      </c>
    </row>
    <row r="107" spans="1:13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M107" s="22">
        <v>0</v>
      </c>
    </row>
    <row r="108" spans="1:13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M108" s="22">
        <v>0</v>
      </c>
    </row>
    <row r="109" spans="1:13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M109" s="22">
        <v>0</v>
      </c>
    </row>
    <row r="110" spans="1:13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M110" s="22">
        <v>0</v>
      </c>
    </row>
    <row r="111" spans="1:13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M111" s="22">
        <v>0</v>
      </c>
    </row>
    <row r="112" spans="1:13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M112" s="22">
        <v>0</v>
      </c>
    </row>
    <row r="113" spans="1:13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M113" s="22">
        <v>0</v>
      </c>
    </row>
    <row r="114" spans="1:13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M114" s="22">
        <v>0</v>
      </c>
    </row>
    <row r="115" spans="1:13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M115" s="22">
        <v>0</v>
      </c>
    </row>
    <row r="116" spans="1:13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M116" s="22">
        <v>0</v>
      </c>
    </row>
    <row r="117" spans="1:13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M117" s="22">
        <v>0</v>
      </c>
    </row>
    <row r="118" spans="1:13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M118" s="22">
        <v>0</v>
      </c>
    </row>
    <row r="119" spans="1:13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M119" s="22">
        <v>0</v>
      </c>
    </row>
    <row r="120" spans="1:13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M120" s="22">
        <v>0</v>
      </c>
    </row>
    <row r="121" spans="1:13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M121" s="22">
        <v>0</v>
      </c>
    </row>
    <row r="122" spans="1:13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M122" s="22">
        <v>0</v>
      </c>
    </row>
    <row r="123" spans="1:13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M123" s="22">
        <v>0</v>
      </c>
    </row>
    <row r="124" spans="1:13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M124" s="22">
        <v>0</v>
      </c>
    </row>
    <row r="125" spans="1:13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M125" s="22">
        <v>0</v>
      </c>
    </row>
    <row r="126" spans="1:13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M126" s="22">
        <v>0</v>
      </c>
    </row>
    <row r="127" spans="1:13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M127" s="22">
        <v>0</v>
      </c>
    </row>
    <row r="128" spans="1:13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M128" s="22">
        <v>0</v>
      </c>
    </row>
    <row r="129" spans="1:13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M129" s="22">
        <v>0</v>
      </c>
    </row>
    <row r="130" spans="1:13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M130" s="22">
        <v>0</v>
      </c>
    </row>
    <row r="131" spans="1:13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M131" s="22">
        <v>0</v>
      </c>
    </row>
    <row r="132" spans="1:13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M132" s="22">
        <v>0</v>
      </c>
    </row>
    <row r="133" spans="1:13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M133" s="22">
        <v>0</v>
      </c>
    </row>
    <row r="134" spans="1:13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M134" s="22">
        <v>0</v>
      </c>
    </row>
    <row r="135" spans="1:13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M135" s="22">
        <v>0</v>
      </c>
    </row>
    <row r="136" spans="1:13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M136" s="22">
        <v>0</v>
      </c>
    </row>
    <row r="137" spans="1:13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M137" s="22">
        <v>0</v>
      </c>
    </row>
    <row r="138" spans="1:13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M138" s="22">
        <v>0</v>
      </c>
    </row>
    <row r="139" spans="1:13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M139" s="22">
        <v>0</v>
      </c>
    </row>
    <row r="140" spans="1:13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M140" s="22">
        <v>0</v>
      </c>
    </row>
    <row r="141" spans="1:13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M141" s="22">
        <v>0</v>
      </c>
    </row>
    <row r="142" spans="1:13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M142" s="22">
        <v>0</v>
      </c>
    </row>
    <row r="143" spans="1:13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M143" s="22">
        <v>0</v>
      </c>
    </row>
    <row r="144" spans="1:13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M144" s="22">
        <v>0</v>
      </c>
    </row>
    <row r="145" spans="1:13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M145" s="22">
        <v>0</v>
      </c>
    </row>
    <row r="146" spans="1:13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M146" s="22">
        <v>0</v>
      </c>
    </row>
    <row r="147" spans="1:13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M147" s="22">
        <v>0</v>
      </c>
    </row>
    <row r="148" spans="1:13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M148" s="22">
        <v>0</v>
      </c>
    </row>
    <row r="149" spans="1:13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M149" s="22">
        <v>0</v>
      </c>
    </row>
    <row r="150" spans="1:13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M150" s="22">
        <v>0</v>
      </c>
    </row>
    <row r="151" spans="1:13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M151" s="22">
        <v>0</v>
      </c>
    </row>
    <row r="152" spans="1:13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M152" s="22">
        <v>0</v>
      </c>
    </row>
    <row r="153" spans="1:13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M153" s="22">
        <v>0</v>
      </c>
    </row>
    <row r="154" spans="1:13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M154" s="22">
        <v>0</v>
      </c>
    </row>
    <row r="155" spans="1:13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M155" s="22">
        <v>0</v>
      </c>
    </row>
    <row r="156" spans="1:13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M156" s="22">
        <v>0</v>
      </c>
    </row>
    <row r="157" spans="1:13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M157" s="22">
        <v>0</v>
      </c>
    </row>
    <row r="158" spans="1:13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M158" s="22">
        <v>0</v>
      </c>
    </row>
    <row r="159" spans="1:13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M159" s="22">
        <v>0</v>
      </c>
    </row>
    <row r="160" spans="1:13" s="22" customFormat="1" x14ac:dyDescent="0.25">
      <c r="A160" s="14">
        <v>156</v>
      </c>
      <c r="B160" s="15">
        <v>4000017082</v>
      </c>
      <c r="C160" s="16" t="s">
        <v>170</v>
      </c>
      <c r="D160" s="44" t="s">
        <v>12</v>
      </c>
      <c r="M160" s="22">
        <v>0</v>
      </c>
    </row>
    <row r="161" spans="1:13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M161" s="22">
        <v>0</v>
      </c>
    </row>
    <row r="162" spans="1:13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M162" s="22">
        <v>0</v>
      </c>
    </row>
    <row r="163" spans="1:13" s="22" customFormat="1" x14ac:dyDescent="0.25">
      <c r="A163" s="14">
        <v>159</v>
      </c>
      <c r="B163" s="15">
        <v>4000017084</v>
      </c>
      <c r="C163" s="16" t="s">
        <v>173</v>
      </c>
      <c r="D163" s="44" t="s">
        <v>12</v>
      </c>
      <c r="M163" s="22">
        <v>0</v>
      </c>
    </row>
    <row r="164" spans="1:13" x14ac:dyDescent="0.25">
      <c r="A164" s="22">
        <v>160</v>
      </c>
      <c r="B164" s="22">
        <v>3000003029</v>
      </c>
      <c r="C164" t="s">
        <v>211</v>
      </c>
      <c r="D164" s="22" t="s">
        <v>12</v>
      </c>
      <c r="E164" s="22"/>
      <c r="M164" s="22">
        <v>0</v>
      </c>
    </row>
    <row r="165" spans="1:13" x14ac:dyDescent="0.25">
      <c r="A165" s="22">
        <v>161</v>
      </c>
      <c r="B165" s="22">
        <v>3000003029</v>
      </c>
      <c r="C165" t="s">
        <v>297</v>
      </c>
      <c r="D165" s="22" t="s">
        <v>12</v>
      </c>
      <c r="E165" s="22"/>
      <c r="M165" s="22">
        <v>0</v>
      </c>
    </row>
    <row r="166" spans="1:13" x14ac:dyDescent="0.25">
      <c r="A166" s="22">
        <v>162</v>
      </c>
      <c r="B166" s="22">
        <v>1000006010</v>
      </c>
      <c r="C166" t="s">
        <v>298</v>
      </c>
      <c r="D166" s="22" t="s">
        <v>12</v>
      </c>
      <c r="M166" s="22">
        <v>0</v>
      </c>
    </row>
    <row r="167" spans="1:13" x14ac:dyDescent="0.25">
      <c r="A167" s="22">
        <v>163</v>
      </c>
      <c r="B167" s="22">
        <v>3000001220</v>
      </c>
      <c r="C167" t="s">
        <v>300</v>
      </c>
      <c r="D167" s="22" t="s">
        <v>12</v>
      </c>
      <c r="M167" s="22">
        <v>0</v>
      </c>
    </row>
    <row r="168" spans="1:13" x14ac:dyDescent="0.25">
      <c r="A168" s="22">
        <v>164</v>
      </c>
      <c r="B168" s="22">
        <v>3000001221</v>
      </c>
      <c r="C168" t="s">
        <v>302</v>
      </c>
      <c r="D168" s="22" t="s">
        <v>12</v>
      </c>
      <c r="M168" s="22">
        <v>0</v>
      </c>
    </row>
    <row r="169" spans="1:13" x14ac:dyDescent="0.25">
      <c r="A169" s="22">
        <v>165</v>
      </c>
      <c r="B169" s="22">
        <v>3000001223</v>
      </c>
      <c r="C169" t="s">
        <v>304</v>
      </c>
      <c r="D169" s="22" t="s">
        <v>12</v>
      </c>
      <c r="M169" s="22">
        <v>0</v>
      </c>
    </row>
    <row r="170" spans="1:13" x14ac:dyDescent="0.25">
      <c r="A170" s="22">
        <v>166</v>
      </c>
      <c r="B170" s="22">
        <v>3000001224</v>
      </c>
      <c r="C170" t="s">
        <v>306</v>
      </c>
      <c r="D170" s="22" t="s">
        <v>12</v>
      </c>
      <c r="M170" s="22">
        <v>0</v>
      </c>
    </row>
    <row r="171" spans="1:13" x14ac:dyDescent="0.25">
      <c r="A171" s="22">
        <v>167</v>
      </c>
      <c r="B171" s="22">
        <v>3000003827</v>
      </c>
      <c r="C171" t="s">
        <v>446</v>
      </c>
      <c r="D171" s="22" t="s">
        <v>12</v>
      </c>
      <c r="M171" s="22">
        <v>0</v>
      </c>
    </row>
    <row r="172" spans="1:13" x14ac:dyDescent="0.25">
      <c r="A172" s="22">
        <v>168</v>
      </c>
      <c r="B172" s="22">
        <v>3000001802</v>
      </c>
      <c r="C172" t="s">
        <v>448</v>
      </c>
      <c r="D172" s="22" t="s">
        <v>12</v>
      </c>
      <c r="M172" s="22">
        <v>0</v>
      </c>
    </row>
    <row r="173" spans="1:13" x14ac:dyDescent="0.25">
      <c r="A173" s="22">
        <v>169</v>
      </c>
      <c r="B173" s="22" t="s">
        <v>35</v>
      </c>
      <c r="C173" t="s">
        <v>449</v>
      </c>
      <c r="D173" s="22" t="s">
        <v>12</v>
      </c>
      <c r="M173" s="22">
        <v>0</v>
      </c>
    </row>
    <row r="174" spans="1:13" x14ac:dyDescent="0.25">
      <c r="A174" s="22">
        <v>170</v>
      </c>
      <c r="B174" s="22" t="s">
        <v>35</v>
      </c>
      <c r="C174" t="s">
        <v>450</v>
      </c>
      <c r="D174" s="22" t="s">
        <v>12</v>
      </c>
      <c r="M174" s="22">
        <v>0</v>
      </c>
    </row>
    <row r="175" spans="1:13" x14ac:dyDescent="0.25">
      <c r="A175" s="22">
        <v>171</v>
      </c>
      <c r="B175" s="22" t="s">
        <v>35</v>
      </c>
      <c r="C175" t="s">
        <v>510</v>
      </c>
      <c r="D175" s="22" t="s">
        <v>12</v>
      </c>
      <c r="M175" s="22">
        <v>0</v>
      </c>
    </row>
    <row r="176" spans="1:13" x14ac:dyDescent="0.25">
      <c r="A176" s="22">
        <v>172</v>
      </c>
      <c r="B176" s="22" t="s">
        <v>35</v>
      </c>
      <c r="C176" t="s">
        <v>516</v>
      </c>
      <c r="D176" s="22" t="s">
        <v>12</v>
      </c>
      <c r="M176" s="22">
        <v>0</v>
      </c>
    </row>
    <row r="177" spans="1:13" x14ac:dyDescent="0.25">
      <c r="A177" s="22">
        <v>173</v>
      </c>
      <c r="B177" s="22" t="s">
        <v>35</v>
      </c>
      <c r="C177" t="s">
        <v>600</v>
      </c>
      <c r="D177" s="22" t="s">
        <v>12</v>
      </c>
      <c r="M177">
        <v>0</v>
      </c>
    </row>
    <row r="178" spans="1:13" x14ac:dyDescent="0.25">
      <c r="A178" s="22">
        <v>174</v>
      </c>
      <c r="B178" s="22" t="s">
        <v>35</v>
      </c>
      <c r="C178" t="s">
        <v>601</v>
      </c>
      <c r="D178" s="22" t="s">
        <v>12</v>
      </c>
      <c r="M178">
        <v>0</v>
      </c>
    </row>
    <row r="179" spans="1:13" x14ac:dyDescent="0.25">
      <c r="A179" s="22">
        <v>99</v>
      </c>
      <c r="B179" s="22" t="s">
        <v>35</v>
      </c>
      <c r="C179" t="s">
        <v>1383</v>
      </c>
      <c r="D179" s="22" t="s">
        <v>12</v>
      </c>
      <c r="M179">
        <v>0</v>
      </c>
    </row>
    <row r="180" spans="1:13" x14ac:dyDescent="0.25">
      <c r="A180" s="22">
        <v>99</v>
      </c>
      <c r="B180" s="22" t="s">
        <v>35</v>
      </c>
      <c r="C180" t="s">
        <v>1557</v>
      </c>
      <c r="D180" s="22" t="s">
        <v>12</v>
      </c>
      <c r="M180">
        <v>0</v>
      </c>
    </row>
    <row r="181" spans="1:13" x14ac:dyDescent="0.25">
      <c r="A181" s="22">
        <v>101</v>
      </c>
      <c r="B181" s="22">
        <v>3000000008</v>
      </c>
      <c r="C181" t="s">
        <v>1565</v>
      </c>
      <c r="D181" s="22" t="s">
        <v>12</v>
      </c>
      <c r="M181">
        <v>0</v>
      </c>
    </row>
    <row r="182" spans="1:13" x14ac:dyDescent="0.25">
      <c r="A182" s="22">
        <v>178</v>
      </c>
      <c r="B182" s="22" t="s">
        <v>35</v>
      </c>
      <c r="C182" t="s">
        <v>1662</v>
      </c>
      <c r="D182" s="22" t="s">
        <v>12</v>
      </c>
      <c r="M182">
        <v>0</v>
      </c>
    </row>
    <row r="183" spans="1:13" x14ac:dyDescent="0.25">
      <c r="A183" s="22">
        <v>80</v>
      </c>
      <c r="B183" s="22" t="s">
        <v>35</v>
      </c>
      <c r="C183" t="s">
        <v>1574</v>
      </c>
      <c r="D183" s="22" t="s">
        <v>12</v>
      </c>
      <c r="M183">
        <v>0</v>
      </c>
    </row>
    <row r="184" spans="1:13" x14ac:dyDescent="0.25">
      <c r="A184" s="22">
        <v>81</v>
      </c>
      <c r="B184" s="22">
        <v>1000014673</v>
      </c>
      <c r="C184" t="s">
        <v>1575</v>
      </c>
      <c r="D184" s="22" t="s">
        <v>12</v>
      </c>
      <c r="M184">
        <v>0</v>
      </c>
    </row>
    <row r="185" spans="1:13" x14ac:dyDescent="0.25">
      <c r="A185" s="22">
        <v>181</v>
      </c>
      <c r="B185" s="22">
        <v>4000021502</v>
      </c>
      <c r="C185" t="s">
        <v>1576</v>
      </c>
      <c r="D185" s="22" t="s">
        <v>12</v>
      </c>
      <c r="M185">
        <v>0</v>
      </c>
    </row>
    <row r="186" spans="1:13" x14ac:dyDescent="0.25">
      <c r="A186" s="22">
        <v>100</v>
      </c>
      <c r="B186" s="22">
        <v>3000002696</v>
      </c>
      <c r="C186" t="s">
        <v>1580</v>
      </c>
      <c r="D186" s="22" t="s">
        <v>12</v>
      </c>
      <c r="M186">
        <v>0</v>
      </c>
    </row>
    <row r="187" spans="1:13" x14ac:dyDescent="0.25">
      <c r="A187" s="22">
        <v>101</v>
      </c>
      <c r="B187" s="22">
        <v>3000000707</v>
      </c>
      <c r="C187" t="s">
        <v>1618</v>
      </c>
      <c r="D187" s="22" t="s">
        <v>12</v>
      </c>
      <c r="M187">
        <v>0</v>
      </c>
    </row>
  </sheetData>
  <autoFilter ref="A4:M4"/>
  <mergeCells count="3">
    <mergeCell ref="A1:A2"/>
    <mergeCell ref="B1:B2"/>
    <mergeCell ref="C1:C2"/>
  </mergeCells>
  <conditionalFormatting sqref="A158:XFD158">
    <cfRule type="expression" dxfId="371" priority="1" stopIfTrue="1">
      <formula>AND(ROW()&gt;=158,ROW()&lt;=158)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M187"/>
  <sheetViews>
    <sheetView showGridLines="0" workbookViewId="0">
      <pane xSplit="4" ySplit="4" topLeftCell="BD5" activePane="bottomRight" state="frozen"/>
      <selection pane="topRight" activeCell="E1" sqref="E1"/>
      <selection pane="bottomLeft" activeCell="A5" sqref="A5"/>
      <selection pane="bottomRight" activeCell="D1" activeCellId="1" sqref="A1:B1048576 D1:D1048576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10.85546875" style="22" bestFit="1" customWidth="1"/>
    <col min="5" max="5" width="9.140625" customWidth="1"/>
    <col min="6" max="12" width="18.42578125" bestFit="1" customWidth="1"/>
    <col min="13" max="13" width="18.42578125" customWidth="1"/>
    <col min="14" max="14" width="18.42578125" bestFit="1" customWidth="1"/>
    <col min="15" max="63" width="18.42578125" customWidth="1"/>
    <col min="64" max="64" width="13.85546875" customWidth="1"/>
    <col min="65" max="65" width="11" bestFit="1" customWidth="1"/>
    <col min="67" max="67" width="11" bestFit="1" customWidth="1"/>
    <col min="68" max="68" width="48" bestFit="1" customWidth="1"/>
    <col min="69" max="69" width="11" bestFit="1" customWidth="1"/>
  </cols>
  <sheetData>
    <row r="1" spans="1:65" s="42" customFormat="1" ht="36.75" customHeight="1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58</v>
      </c>
      <c r="E1" s="41" t="s">
        <v>188</v>
      </c>
      <c r="F1" s="80" t="s">
        <v>633</v>
      </c>
      <c r="G1" s="80" t="s">
        <v>633</v>
      </c>
      <c r="H1" s="80" t="s">
        <v>633</v>
      </c>
      <c r="I1" s="80" t="s">
        <v>633</v>
      </c>
      <c r="J1" s="80" t="s">
        <v>633</v>
      </c>
      <c r="K1" s="80" t="s">
        <v>633</v>
      </c>
      <c r="L1" s="80" t="s">
        <v>633</v>
      </c>
      <c r="M1" s="80" t="s">
        <v>633</v>
      </c>
      <c r="N1" s="80" t="s">
        <v>633</v>
      </c>
      <c r="O1" s="80" t="s">
        <v>633</v>
      </c>
      <c r="P1" s="80" t="s">
        <v>633</v>
      </c>
      <c r="Q1" s="80" t="s">
        <v>633</v>
      </c>
      <c r="R1" s="80" t="s">
        <v>633</v>
      </c>
      <c r="S1" s="80" t="s">
        <v>633</v>
      </c>
      <c r="T1" s="80" t="s">
        <v>633</v>
      </c>
      <c r="U1" s="80" t="s">
        <v>633</v>
      </c>
      <c r="V1" s="80" t="s">
        <v>633</v>
      </c>
      <c r="W1" s="80" t="s">
        <v>633</v>
      </c>
      <c r="X1" s="80" t="s">
        <v>633</v>
      </c>
      <c r="Y1" s="80" t="s">
        <v>633</v>
      </c>
      <c r="Z1" s="80" t="s">
        <v>633</v>
      </c>
      <c r="AA1" s="80" t="s">
        <v>633</v>
      </c>
      <c r="AB1" s="80" t="s">
        <v>633</v>
      </c>
      <c r="AC1" s="80" t="s">
        <v>633</v>
      </c>
      <c r="AD1" s="80" t="s">
        <v>633</v>
      </c>
      <c r="AE1" s="80" t="s">
        <v>633</v>
      </c>
      <c r="AF1" s="80" t="s">
        <v>633</v>
      </c>
      <c r="AG1" s="80" t="s">
        <v>633</v>
      </c>
      <c r="AH1" s="80" t="s">
        <v>633</v>
      </c>
      <c r="AI1" s="80" t="s">
        <v>633</v>
      </c>
      <c r="AJ1" s="80" t="s">
        <v>633</v>
      </c>
      <c r="AK1" s="80" t="s">
        <v>633</v>
      </c>
      <c r="AL1" s="80" t="s">
        <v>633</v>
      </c>
      <c r="AM1" s="80" t="s">
        <v>633</v>
      </c>
      <c r="AN1" s="80" t="s">
        <v>633</v>
      </c>
      <c r="AO1" s="80" t="s">
        <v>633</v>
      </c>
      <c r="AP1" s="80" t="s">
        <v>633</v>
      </c>
      <c r="AQ1" s="80" t="s">
        <v>633</v>
      </c>
      <c r="AR1" s="80" t="s">
        <v>633</v>
      </c>
      <c r="AS1" s="80" t="s">
        <v>633</v>
      </c>
      <c r="AT1" s="80" t="s">
        <v>633</v>
      </c>
      <c r="AU1" s="80" t="s">
        <v>633</v>
      </c>
      <c r="AV1" s="80" t="s">
        <v>633</v>
      </c>
      <c r="AW1" s="80" t="s">
        <v>633</v>
      </c>
      <c r="AX1" s="80" t="s">
        <v>633</v>
      </c>
      <c r="AY1" s="80" t="s">
        <v>633</v>
      </c>
      <c r="AZ1" s="80" t="s">
        <v>633</v>
      </c>
      <c r="BA1" s="80" t="s">
        <v>633</v>
      </c>
      <c r="BB1" s="80" t="s">
        <v>633</v>
      </c>
      <c r="BC1" s="80" t="s">
        <v>633</v>
      </c>
      <c r="BD1" s="80" t="s">
        <v>633</v>
      </c>
      <c r="BE1" s="80" t="s">
        <v>633</v>
      </c>
      <c r="BF1" s="80" t="s">
        <v>633</v>
      </c>
      <c r="BG1" s="80" t="s">
        <v>633</v>
      </c>
      <c r="BH1" s="80" t="s">
        <v>633</v>
      </c>
      <c r="BI1" s="80" t="s">
        <v>633</v>
      </c>
      <c r="BJ1" s="80" t="s">
        <v>633</v>
      </c>
      <c r="BK1" s="80" t="s">
        <v>633</v>
      </c>
      <c r="BL1" s="80"/>
      <c r="BM1" s="80" t="s">
        <v>177</v>
      </c>
    </row>
    <row r="2" spans="1:65" s="52" customFormat="1" ht="21" customHeight="1" thickBot="1" x14ac:dyDescent="0.3">
      <c r="A2" s="150"/>
      <c r="B2" s="150"/>
      <c r="C2" s="150"/>
      <c r="D2" s="131" t="s">
        <v>176</v>
      </c>
      <c r="E2" s="4" t="s">
        <v>186</v>
      </c>
      <c r="F2" s="25" t="s">
        <v>634</v>
      </c>
      <c r="G2" s="25" t="s">
        <v>635</v>
      </c>
      <c r="H2" s="25" t="s">
        <v>636</v>
      </c>
      <c r="I2" s="25" t="s">
        <v>637</v>
      </c>
      <c r="J2" s="25" t="s">
        <v>638</v>
      </c>
      <c r="K2" s="25" t="s">
        <v>639</v>
      </c>
      <c r="L2" s="25" t="s">
        <v>641</v>
      </c>
      <c r="M2" s="25" t="s">
        <v>642</v>
      </c>
      <c r="N2" s="25" t="s">
        <v>643</v>
      </c>
      <c r="O2" s="25" t="s">
        <v>644</v>
      </c>
      <c r="P2" s="25" t="s">
        <v>653</v>
      </c>
      <c r="Q2" s="25" t="s">
        <v>663</v>
      </c>
      <c r="R2" s="25" t="s">
        <v>664</v>
      </c>
      <c r="S2" s="25" t="s">
        <v>671</v>
      </c>
      <c r="T2" s="25" t="s">
        <v>672</v>
      </c>
      <c r="U2" s="25" t="s">
        <v>673</v>
      </c>
      <c r="V2" s="25" t="s">
        <v>675</v>
      </c>
      <c r="W2" s="25" t="s">
        <v>678</v>
      </c>
      <c r="X2" s="25" t="s">
        <v>676</v>
      </c>
      <c r="Y2" s="25" t="s">
        <v>677</v>
      </c>
      <c r="Z2" s="25" t="s">
        <v>679</v>
      </c>
      <c r="AA2" s="25" t="s">
        <v>680</v>
      </c>
      <c r="AB2" s="25" t="s">
        <v>681</v>
      </c>
      <c r="AC2" s="25" t="s">
        <v>1303</v>
      </c>
      <c r="AD2" s="25" t="s">
        <v>1304</v>
      </c>
      <c r="AE2" s="25" t="s">
        <v>1305</v>
      </c>
      <c r="AF2" s="25" t="s">
        <v>1306</v>
      </c>
      <c r="AG2" s="25" t="s">
        <v>1309</v>
      </c>
      <c r="AH2" s="25" t="s">
        <v>1310</v>
      </c>
      <c r="AI2" s="25" t="s">
        <v>1311</v>
      </c>
      <c r="AJ2" s="25" t="s">
        <v>1313</v>
      </c>
      <c r="AK2" s="25" t="s">
        <v>1314</v>
      </c>
      <c r="AL2" s="25" t="s">
        <v>1315</v>
      </c>
      <c r="AM2" s="25" t="s">
        <v>1316</v>
      </c>
      <c r="AN2" s="25" t="s">
        <v>1317</v>
      </c>
      <c r="AO2" s="25" t="s">
        <v>1327</v>
      </c>
      <c r="AP2" s="25" t="s">
        <v>1328</v>
      </c>
      <c r="AQ2" s="25" t="s">
        <v>1329</v>
      </c>
      <c r="AR2" s="25" t="s">
        <v>1330</v>
      </c>
      <c r="AS2" s="25" t="s">
        <v>1333</v>
      </c>
      <c r="AT2" s="25" t="s">
        <v>1334</v>
      </c>
      <c r="AU2" s="25" t="s">
        <v>1335</v>
      </c>
      <c r="AV2" s="25" t="s">
        <v>1336</v>
      </c>
      <c r="AW2" s="25" t="s">
        <v>1337</v>
      </c>
      <c r="AX2" s="25" t="s">
        <v>1338</v>
      </c>
      <c r="AY2" s="25" t="s">
        <v>1339</v>
      </c>
      <c r="AZ2" s="25" t="s">
        <v>1341</v>
      </c>
      <c r="BA2" s="25" t="s">
        <v>1342</v>
      </c>
      <c r="BB2" s="25" t="s">
        <v>1343</v>
      </c>
      <c r="BC2" s="25" t="s">
        <v>1344</v>
      </c>
      <c r="BD2" s="25" t="s">
        <v>1345</v>
      </c>
      <c r="BE2" s="25" t="s">
        <v>1346</v>
      </c>
      <c r="BF2" s="25" t="s">
        <v>1347</v>
      </c>
      <c r="BG2" s="25" t="s">
        <v>1348</v>
      </c>
      <c r="BH2" s="25" t="s">
        <v>1349</v>
      </c>
      <c r="BI2" s="25" t="s">
        <v>1350</v>
      </c>
      <c r="BJ2" s="25" t="s">
        <v>1351</v>
      </c>
      <c r="BK2" s="25" t="s">
        <v>1357</v>
      </c>
      <c r="BL2" s="25"/>
      <c r="BM2" s="25"/>
    </row>
    <row r="3" spans="1:65" s="52" customFormat="1" ht="18.75" x14ac:dyDescent="0.25">
      <c r="A3" s="26"/>
      <c r="B3" s="26"/>
      <c r="C3" s="26" t="s">
        <v>10</v>
      </c>
      <c r="D3" s="26"/>
      <c r="E3" s="38" t="s">
        <v>187</v>
      </c>
      <c r="F3" s="27">
        <v>45948</v>
      </c>
      <c r="G3" s="27">
        <v>45948</v>
      </c>
      <c r="H3" s="27">
        <v>45948</v>
      </c>
      <c r="I3" s="27">
        <v>45948</v>
      </c>
      <c r="J3" s="27">
        <v>45948</v>
      </c>
      <c r="K3" s="27">
        <v>45949</v>
      </c>
      <c r="L3" s="27">
        <v>45950</v>
      </c>
      <c r="M3" s="27">
        <v>45951</v>
      </c>
      <c r="N3" s="27">
        <v>45952</v>
      </c>
      <c r="O3" s="27">
        <v>45952</v>
      </c>
      <c r="P3" s="27">
        <v>45952</v>
      </c>
      <c r="Q3" s="27">
        <v>45952</v>
      </c>
      <c r="R3" s="27">
        <v>45952</v>
      </c>
      <c r="S3" s="27">
        <v>45953</v>
      </c>
      <c r="T3" s="27">
        <v>45953</v>
      </c>
      <c r="U3" s="27">
        <v>45955</v>
      </c>
      <c r="V3" s="27">
        <v>45955</v>
      </c>
      <c r="W3" s="27">
        <v>45955</v>
      </c>
      <c r="X3" s="27">
        <v>45955</v>
      </c>
      <c r="Y3" s="27">
        <v>45955</v>
      </c>
      <c r="Z3" s="27">
        <v>45955</v>
      </c>
      <c r="AA3" s="27">
        <v>45956</v>
      </c>
      <c r="AB3" s="27">
        <v>45956</v>
      </c>
      <c r="AC3" s="27">
        <v>45969</v>
      </c>
      <c r="AD3" s="27">
        <v>45969</v>
      </c>
      <c r="AE3" s="27">
        <v>45969</v>
      </c>
      <c r="AF3" s="27">
        <v>45969</v>
      </c>
      <c r="AG3" s="27">
        <v>45970</v>
      </c>
      <c r="AH3" s="27">
        <v>45970</v>
      </c>
      <c r="AI3" s="27">
        <v>45970</v>
      </c>
      <c r="AJ3" s="27">
        <v>45970</v>
      </c>
      <c r="AK3" s="27">
        <v>45971</v>
      </c>
      <c r="AL3" s="27">
        <v>45971</v>
      </c>
      <c r="AM3" s="27">
        <v>45971</v>
      </c>
      <c r="AN3" s="27">
        <v>45971</v>
      </c>
      <c r="AO3" s="27">
        <v>45972</v>
      </c>
      <c r="AP3" s="27">
        <v>45972</v>
      </c>
      <c r="AQ3" s="27">
        <v>45972</v>
      </c>
      <c r="AR3" s="27">
        <v>45972</v>
      </c>
      <c r="AS3" s="27">
        <v>45973</v>
      </c>
      <c r="AT3" s="27">
        <v>45973</v>
      </c>
      <c r="AU3" s="27">
        <v>45973</v>
      </c>
      <c r="AV3" s="27">
        <v>45973</v>
      </c>
      <c r="AW3" s="27">
        <v>45974</v>
      </c>
      <c r="AX3" s="27">
        <v>45974</v>
      </c>
      <c r="AY3" s="27">
        <v>45974</v>
      </c>
      <c r="AZ3" s="27">
        <v>45974</v>
      </c>
      <c r="BA3" s="27">
        <v>45974</v>
      </c>
      <c r="BB3" s="27">
        <v>45976</v>
      </c>
      <c r="BC3" s="27">
        <v>45976</v>
      </c>
      <c r="BD3" s="27">
        <v>45976</v>
      </c>
      <c r="BE3" s="27">
        <v>45976</v>
      </c>
      <c r="BF3" s="27">
        <v>45977</v>
      </c>
      <c r="BG3" s="27">
        <v>45977</v>
      </c>
      <c r="BH3" s="27">
        <v>45977</v>
      </c>
      <c r="BI3" s="27">
        <v>45977</v>
      </c>
      <c r="BJ3" s="27">
        <v>45978</v>
      </c>
      <c r="BK3" s="27">
        <v>45978</v>
      </c>
      <c r="BL3" s="27"/>
      <c r="BM3" s="27"/>
    </row>
    <row r="4" spans="1:65" s="42" customFormat="1" ht="11.25" customHeight="1" x14ac:dyDescent="0.25">
      <c r="A4" s="23"/>
      <c r="B4" s="23"/>
      <c r="C4" s="24"/>
      <c r="D4" s="23"/>
      <c r="E4" s="23"/>
      <c r="F4" s="32" t="s">
        <v>1407</v>
      </c>
      <c r="G4" s="32" t="s">
        <v>1407</v>
      </c>
      <c r="H4" s="32" t="s">
        <v>1407</v>
      </c>
      <c r="I4" s="32" t="s">
        <v>1407</v>
      </c>
      <c r="J4" s="32" t="s">
        <v>1407</v>
      </c>
      <c r="K4" s="32" t="s">
        <v>1407</v>
      </c>
      <c r="L4" s="32" t="s">
        <v>1407</v>
      </c>
      <c r="M4" s="32" t="s">
        <v>1407</v>
      </c>
      <c r="N4" s="32" t="s">
        <v>1407</v>
      </c>
      <c r="O4" s="32" t="s">
        <v>1407</v>
      </c>
      <c r="P4" s="32" t="s">
        <v>1407</v>
      </c>
      <c r="Q4" s="32" t="s">
        <v>1407</v>
      </c>
      <c r="R4" s="32" t="s">
        <v>1407</v>
      </c>
      <c r="S4" s="32" t="s">
        <v>1407</v>
      </c>
      <c r="T4" s="32" t="s">
        <v>1407</v>
      </c>
      <c r="U4" s="32" t="s">
        <v>1407</v>
      </c>
      <c r="V4" s="32" t="s">
        <v>1407</v>
      </c>
      <c r="W4" s="32" t="s">
        <v>1407</v>
      </c>
      <c r="X4" s="32" t="s">
        <v>1407</v>
      </c>
      <c r="Y4" s="32" t="s">
        <v>1407</v>
      </c>
      <c r="Z4" s="32" t="s">
        <v>1407</v>
      </c>
      <c r="AA4" s="32" t="s">
        <v>1407</v>
      </c>
      <c r="AB4" s="32" t="s">
        <v>1407</v>
      </c>
      <c r="AC4" s="32" t="s">
        <v>1407</v>
      </c>
      <c r="AD4" s="32" t="s">
        <v>1407</v>
      </c>
      <c r="AE4" s="32" t="s">
        <v>1407</v>
      </c>
      <c r="AF4" s="32" t="s">
        <v>1407</v>
      </c>
      <c r="AG4" s="32" t="s">
        <v>1407</v>
      </c>
      <c r="AH4" s="32" t="s">
        <v>1407</v>
      </c>
      <c r="AI4" s="32" t="s">
        <v>1407</v>
      </c>
      <c r="AJ4" s="32" t="s">
        <v>1407</v>
      </c>
      <c r="AK4" s="32" t="s">
        <v>1407</v>
      </c>
      <c r="AL4" s="32" t="s">
        <v>1407</v>
      </c>
      <c r="AM4" s="32" t="s">
        <v>1407</v>
      </c>
      <c r="AN4" s="32" t="s">
        <v>1407</v>
      </c>
      <c r="AO4" s="32" t="s">
        <v>1407</v>
      </c>
      <c r="AP4" s="32" t="s">
        <v>1407</v>
      </c>
      <c r="AQ4" s="32" t="s">
        <v>1407</v>
      </c>
      <c r="AR4" s="32" t="s">
        <v>1407</v>
      </c>
      <c r="AS4" s="32" t="s">
        <v>1407</v>
      </c>
      <c r="AT4" s="32" t="s">
        <v>1407</v>
      </c>
      <c r="AU4" s="32" t="s">
        <v>1407</v>
      </c>
      <c r="AV4" s="32" t="s">
        <v>1407</v>
      </c>
      <c r="AW4" s="32" t="s">
        <v>1407</v>
      </c>
      <c r="AX4" s="32" t="s">
        <v>1407</v>
      </c>
      <c r="AY4" s="32" t="s">
        <v>1407</v>
      </c>
      <c r="AZ4" s="32" t="s">
        <v>1407</v>
      </c>
      <c r="BA4" s="32" t="s">
        <v>1407</v>
      </c>
      <c r="BB4" s="32" t="s">
        <v>1407</v>
      </c>
      <c r="BC4" s="32" t="s">
        <v>1407</v>
      </c>
      <c r="BD4" s="32" t="s">
        <v>1407</v>
      </c>
      <c r="BE4" s="32" t="s">
        <v>1407</v>
      </c>
      <c r="BF4" s="32" t="s">
        <v>1407</v>
      </c>
      <c r="BG4" s="32" t="s">
        <v>1407</v>
      </c>
      <c r="BH4" s="32" t="s">
        <v>1407</v>
      </c>
      <c r="BI4" s="32" t="s">
        <v>1407</v>
      </c>
      <c r="BJ4" s="32" t="s">
        <v>1407</v>
      </c>
      <c r="BK4" s="32" t="s">
        <v>1407</v>
      </c>
      <c r="BL4" s="23"/>
      <c r="BM4" s="23"/>
    </row>
    <row r="5" spans="1:65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BM5" s="22">
        <v>0</v>
      </c>
    </row>
    <row r="6" spans="1:65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BM6" s="22">
        <v>0</v>
      </c>
    </row>
    <row r="7" spans="1:65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BM7" s="22">
        <v>0</v>
      </c>
    </row>
    <row r="8" spans="1:65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BM8" s="22">
        <v>0</v>
      </c>
    </row>
    <row r="9" spans="1:65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Z9" s="22">
        <v>50</v>
      </c>
      <c r="BM9" s="22">
        <v>50</v>
      </c>
    </row>
    <row r="10" spans="1:65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BM10" s="22">
        <v>0</v>
      </c>
    </row>
    <row r="11" spans="1:65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BK11" s="22">
        <v>14</v>
      </c>
      <c r="BM11" s="22">
        <v>14</v>
      </c>
    </row>
    <row r="12" spans="1:65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BM12" s="22">
        <v>0</v>
      </c>
    </row>
    <row r="13" spans="1:65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BM13" s="22">
        <v>0</v>
      </c>
    </row>
    <row r="14" spans="1:65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BM14" s="22">
        <v>0</v>
      </c>
    </row>
    <row r="15" spans="1:65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BM15" s="22">
        <v>0</v>
      </c>
    </row>
    <row r="16" spans="1:65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BM16" s="22">
        <v>0</v>
      </c>
    </row>
    <row r="17" spans="1:65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BM17" s="22">
        <v>0</v>
      </c>
    </row>
    <row r="18" spans="1:65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BM18" s="22">
        <v>0</v>
      </c>
    </row>
    <row r="19" spans="1:65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H19" s="22">
        <v>300</v>
      </c>
      <c r="BM19" s="22">
        <v>300</v>
      </c>
    </row>
    <row r="20" spans="1:65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BM20" s="22">
        <v>0</v>
      </c>
    </row>
    <row r="21" spans="1:65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F21" s="22">
        <v>6200</v>
      </c>
      <c r="G21" s="22">
        <v>8105</v>
      </c>
      <c r="H21" s="22">
        <v>4900</v>
      </c>
      <c r="BM21" s="22">
        <v>19205</v>
      </c>
    </row>
    <row r="22" spans="1:65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BM22" s="22">
        <v>0</v>
      </c>
    </row>
    <row r="23" spans="1:65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O23" s="22">
        <v>250</v>
      </c>
      <c r="BM23" s="22">
        <v>250</v>
      </c>
    </row>
    <row r="24" spans="1:65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O24" s="22">
        <v>100</v>
      </c>
      <c r="BM24" s="22">
        <v>100</v>
      </c>
    </row>
    <row r="25" spans="1:65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M25" s="22">
        <v>360</v>
      </c>
      <c r="P25" s="22">
        <v>360</v>
      </c>
      <c r="Q25" s="22">
        <v>360</v>
      </c>
      <c r="R25" s="22">
        <v>360</v>
      </c>
      <c r="U25" s="22">
        <v>360</v>
      </c>
      <c r="V25" s="22">
        <v>360</v>
      </c>
      <c r="Y25" s="22">
        <v>340</v>
      </c>
      <c r="BM25" s="22">
        <v>2500</v>
      </c>
    </row>
    <row r="26" spans="1:65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BM26" s="22">
        <v>0</v>
      </c>
    </row>
    <row r="27" spans="1:65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F27" s="22">
        <v>6200</v>
      </c>
      <c r="G27" s="22">
        <v>9316</v>
      </c>
      <c r="H27" s="22">
        <v>6200</v>
      </c>
      <c r="BM27" s="22">
        <v>21716</v>
      </c>
    </row>
    <row r="28" spans="1:65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BM28" s="22">
        <v>0</v>
      </c>
    </row>
    <row r="29" spans="1:65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BM29" s="22">
        <v>0</v>
      </c>
    </row>
    <row r="30" spans="1:65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BM30" s="22">
        <v>0</v>
      </c>
    </row>
    <row r="31" spans="1:65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BM31" s="22">
        <v>0</v>
      </c>
    </row>
    <row r="32" spans="1:65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BM32" s="22">
        <v>0</v>
      </c>
    </row>
    <row r="33" spans="1:65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BM33" s="22">
        <v>0</v>
      </c>
    </row>
    <row r="34" spans="1:65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BM34" s="22">
        <v>0</v>
      </c>
    </row>
    <row r="35" spans="1:65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BM35" s="22">
        <v>0</v>
      </c>
    </row>
    <row r="36" spans="1:65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BM36" s="22">
        <v>0</v>
      </c>
    </row>
    <row r="37" spans="1:65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BM37" s="22">
        <v>0</v>
      </c>
    </row>
    <row r="38" spans="1:65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BM38" s="22">
        <v>0</v>
      </c>
    </row>
    <row r="39" spans="1:65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BM39" s="22">
        <v>0</v>
      </c>
    </row>
    <row r="40" spans="1:65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BM40" s="22">
        <v>0</v>
      </c>
    </row>
    <row r="41" spans="1:65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BM41" s="22">
        <v>0</v>
      </c>
    </row>
    <row r="42" spans="1:65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BM42" s="22">
        <v>0</v>
      </c>
    </row>
    <row r="43" spans="1:65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BM43" s="22">
        <v>0</v>
      </c>
    </row>
    <row r="44" spans="1:65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BM44" s="22">
        <v>0</v>
      </c>
    </row>
    <row r="45" spans="1:65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BM45" s="22">
        <v>0</v>
      </c>
    </row>
    <row r="46" spans="1:65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BM46" s="22">
        <v>0</v>
      </c>
    </row>
    <row r="47" spans="1:65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BM47" s="22">
        <v>0</v>
      </c>
    </row>
    <row r="48" spans="1:65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BM48" s="22">
        <v>0</v>
      </c>
    </row>
    <row r="49" spans="1:65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BM49" s="22">
        <v>0</v>
      </c>
    </row>
    <row r="50" spans="1:65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BM50" s="22">
        <v>0</v>
      </c>
    </row>
    <row r="51" spans="1:65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BM51" s="22">
        <v>0</v>
      </c>
    </row>
    <row r="52" spans="1:65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BM52" s="22">
        <v>0</v>
      </c>
    </row>
    <row r="53" spans="1:65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BM53" s="22">
        <v>0</v>
      </c>
    </row>
    <row r="54" spans="1:65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F54" s="22">
        <v>4400</v>
      </c>
      <c r="G54" s="22">
        <v>1500</v>
      </c>
      <c r="H54" s="22">
        <v>3100</v>
      </c>
      <c r="BM54" s="22">
        <v>9000</v>
      </c>
    </row>
    <row r="55" spans="1:65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BM55" s="22">
        <v>0</v>
      </c>
    </row>
    <row r="56" spans="1:65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BM56" s="22">
        <v>0</v>
      </c>
    </row>
    <row r="57" spans="1:65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BM57" s="22">
        <v>0</v>
      </c>
    </row>
    <row r="58" spans="1:65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BM58" s="22">
        <v>0</v>
      </c>
    </row>
    <row r="59" spans="1:65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BM59" s="22">
        <v>0</v>
      </c>
    </row>
    <row r="60" spans="1:65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BM60" s="22">
        <v>0</v>
      </c>
    </row>
    <row r="61" spans="1:65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BM61" s="22">
        <v>0</v>
      </c>
    </row>
    <row r="62" spans="1:65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BM62" s="22">
        <v>0</v>
      </c>
    </row>
    <row r="63" spans="1:65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BM63" s="22">
        <v>0</v>
      </c>
    </row>
    <row r="64" spans="1:65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BM64" s="22">
        <v>0</v>
      </c>
    </row>
    <row r="65" spans="1:65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BM65" s="22">
        <v>0</v>
      </c>
    </row>
    <row r="66" spans="1:65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BM66" s="22">
        <v>0</v>
      </c>
    </row>
    <row r="67" spans="1:65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I67" s="22">
        <v>1500</v>
      </c>
      <c r="Z67" s="22">
        <v>3042</v>
      </c>
      <c r="BM67" s="22">
        <v>4542</v>
      </c>
    </row>
    <row r="68" spans="1:65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BM68" s="22">
        <v>0</v>
      </c>
    </row>
    <row r="69" spans="1:65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AH69" s="22">
        <v>875</v>
      </c>
      <c r="AI69" s="22">
        <v>2800</v>
      </c>
      <c r="AN69" s="22">
        <v>261</v>
      </c>
      <c r="BM69" s="22">
        <v>3936</v>
      </c>
    </row>
    <row r="70" spans="1:65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BM70" s="22">
        <v>0</v>
      </c>
    </row>
    <row r="71" spans="1:65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I71" s="22">
        <v>900</v>
      </c>
      <c r="J71" s="22">
        <v>325</v>
      </c>
      <c r="AC71" s="22">
        <v>1750</v>
      </c>
      <c r="AD71" s="22">
        <v>1750</v>
      </c>
      <c r="AH71" s="22">
        <v>632</v>
      </c>
      <c r="BM71" s="22">
        <v>5357</v>
      </c>
    </row>
    <row r="72" spans="1:65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J72" s="22">
        <v>900</v>
      </c>
      <c r="K72" s="22">
        <v>1600</v>
      </c>
      <c r="L72" s="22">
        <v>1600</v>
      </c>
      <c r="S72" s="22">
        <v>200</v>
      </c>
      <c r="T72" s="22">
        <v>1600</v>
      </c>
      <c r="W72" s="22">
        <v>1600</v>
      </c>
      <c r="X72" s="22">
        <v>1600</v>
      </c>
      <c r="AA72" s="22">
        <v>1600</v>
      </c>
      <c r="AB72" s="22">
        <v>1600</v>
      </c>
      <c r="AE72" s="22">
        <v>1600</v>
      </c>
      <c r="AF72" s="22">
        <v>1600</v>
      </c>
      <c r="AG72" s="22">
        <v>1600</v>
      </c>
      <c r="AH72" s="22">
        <v>600</v>
      </c>
      <c r="AJ72" s="22">
        <v>1600</v>
      </c>
      <c r="AK72" s="22">
        <v>1600</v>
      </c>
      <c r="AL72" s="22">
        <v>1600</v>
      </c>
      <c r="AM72" s="22">
        <v>1600</v>
      </c>
      <c r="AN72" s="22">
        <v>1400</v>
      </c>
      <c r="AO72" s="22">
        <v>1600</v>
      </c>
      <c r="AP72" s="22">
        <v>1600</v>
      </c>
      <c r="AQ72" s="22">
        <v>1600</v>
      </c>
      <c r="AR72" s="22">
        <v>1600</v>
      </c>
      <c r="AS72" s="22">
        <v>1600</v>
      </c>
      <c r="AT72" s="22">
        <v>1600</v>
      </c>
      <c r="AU72" s="22">
        <v>1600</v>
      </c>
      <c r="AV72" s="22">
        <v>1600</v>
      </c>
      <c r="AW72" s="22">
        <v>1600</v>
      </c>
      <c r="AX72" s="22">
        <v>1600</v>
      </c>
      <c r="AY72" s="22">
        <v>1600</v>
      </c>
      <c r="AZ72" s="22">
        <v>1600</v>
      </c>
      <c r="BA72" s="22">
        <v>1600</v>
      </c>
      <c r="BB72" s="22">
        <v>1600</v>
      </c>
      <c r="BC72" s="22">
        <v>1600</v>
      </c>
      <c r="BD72" s="22">
        <v>1600</v>
      </c>
      <c r="BE72" s="22">
        <v>1600</v>
      </c>
      <c r="BF72" s="22">
        <v>1600</v>
      </c>
      <c r="BG72" s="22">
        <v>1600</v>
      </c>
      <c r="BH72" s="22">
        <v>1600</v>
      </c>
      <c r="BI72" s="22">
        <v>1600</v>
      </c>
      <c r="BJ72" s="22">
        <v>1600</v>
      </c>
      <c r="BK72" s="22">
        <v>845</v>
      </c>
      <c r="BM72" s="22">
        <v>61545</v>
      </c>
    </row>
    <row r="73" spans="1:65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BM73" s="22">
        <v>0</v>
      </c>
    </row>
    <row r="74" spans="1:65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BM74" s="22">
        <v>0</v>
      </c>
    </row>
    <row r="75" spans="1:65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BM75" s="22">
        <v>0</v>
      </c>
    </row>
    <row r="76" spans="1:65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BM76" s="22">
        <v>0</v>
      </c>
    </row>
    <row r="77" spans="1:65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BM77" s="22">
        <v>0</v>
      </c>
    </row>
    <row r="78" spans="1:65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BM78" s="22">
        <v>0</v>
      </c>
    </row>
    <row r="79" spans="1:65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BM79" s="22">
        <v>0</v>
      </c>
    </row>
    <row r="80" spans="1:65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BM80" s="22">
        <v>0</v>
      </c>
    </row>
    <row r="81" spans="1:65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BM81" s="22">
        <v>0</v>
      </c>
    </row>
    <row r="82" spans="1:65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BM82" s="22">
        <v>0</v>
      </c>
    </row>
    <row r="83" spans="1:65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BM83" s="22">
        <v>0</v>
      </c>
    </row>
    <row r="84" spans="1:65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BM84" s="22">
        <v>0</v>
      </c>
    </row>
    <row r="85" spans="1:65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BM85" s="22">
        <v>0</v>
      </c>
    </row>
    <row r="86" spans="1:65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BM86" s="22">
        <v>0</v>
      </c>
    </row>
    <row r="87" spans="1:65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BM87" s="22">
        <v>0</v>
      </c>
    </row>
    <row r="88" spans="1:65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BM88" s="22">
        <v>0</v>
      </c>
    </row>
    <row r="89" spans="1:65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BM89" s="22">
        <v>0</v>
      </c>
    </row>
    <row r="90" spans="1:65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BM90" s="22">
        <v>0</v>
      </c>
    </row>
    <row r="91" spans="1:65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BM91" s="22">
        <v>0</v>
      </c>
    </row>
    <row r="92" spans="1:65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BM92" s="22">
        <v>0</v>
      </c>
    </row>
    <row r="93" spans="1:65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BM93" s="22">
        <v>0</v>
      </c>
    </row>
    <row r="94" spans="1:65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BM94" s="22">
        <v>0</v>
      </c>
    </row>
    <row r="95" spans="1:65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BM95" s="22">
        <v>0</v>
      </c>
    </row>
    <row r="96" spans="1:65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BM96" s="22">
        <v>0</v>
      </c>
    </row>
    <row r="97" spans="1:65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BM97" s="22">
        <v>0</v>
      </c>
    </row>
    <row r="98" spans="1:65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BM98" s="22">
        <v>0</v>
      </c>
    </row>
    <row r="99" spans="1:65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BM99" s="22">
        <v>0</v>
      </c>
    </row>
    <row r="100" spans="1:65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BM100" s="22">
        <v>0</v>
      </c>
    </row>
    <row r="101" spans="1:65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BM101" s="22">
        <v>0</v>
      </c>
    </row>
    <row r="102" spans="1:65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BM102" s="22">
        <v>0</v>
      </c>
    </row>
    <row r="103" spans="1:65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BM103" s="22">
        <v>0</v>
      </c>
    </row>
    <row r="104" spans="1:65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BM104" s="22">
        <v>0</v>
      </c>
    </row>
    <row r="105" spans="1:65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BM105" s="22">
        <v>0</v>
      </c>
    </row>
    <row r="106" spans="1:65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F106" s="22">
        <v>8600</v>
      </c>
      <c r="G106" s="22">
        <v>6700</v>
      </c>
      <c r="H106" s="22">
        <v>3100</v>
      </c>
      <c r="O106" s="22">
        <v>6600</v>
      </c>
      <c r="BM106" s="22">
        <v>25000</v>
      </c>
    </row>
    <row r="107" spans="1:65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BM107" s="22">
        <v>0</v>
      </c>
    </row>
    <row r="108" spans="1:65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BM108" s="22">
        <v>0</v>
      </c>
    </row>
    <row r="109" spans="1:65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N109" s="22">
        <v>24300</v>
      </c>
      <c r="S109" s="22">
        <v>15700</v>
      </c>
      <c r="BM109" s="22">
        <v>40000</v>
      </c>
    </row>
    <row r="110" spans="1:65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BM110" s="22">
        <v>0</v>
      </c>
    </row>
    <row r="111" spans="1:65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BM111" s="22">
        <v>0</v>
      </c>
    </row>
    <row r="112" spans="1:65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BM112" s="22">
        <v>0</v>
      </c>
    </row>
    <row r="113" spans="1:65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BM113" s="22">
        <v>0</v>
      </c>
    </row>
    <row r="114" spans="1:65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BM114" s="22">
        <v>0</v>
      </c>
    </row>
    <row r="115" spans="1:65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BM115" s="22">
        <v>0</v>
      </c>
    </row>
    <row r="116" spans="1:65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BM116" s="22">
        <v>0</v>
      </c>
    </row>
    <row r="117" spans="1:65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BM117" s="22">
        <v>0</v>
      </c>
    </row>
    <row r="118" spans="1:65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BM118" s="22">
        <v>0</v>
      </c>
    </row>
    <row r="119" spans="1:65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BM119" s="22">
        <v>0</v>
      </c>
    </row>
    <row r="120" spans="1:65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BM120" s="22">
        <v>0</v>
      </c>
    </row>
    <row r="121" spans="1:65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BM121" s="22">
        <v>0</v>
      </c>
    </row>
    <row r="122" spans="1:65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BM122" s="22">
        <v>0</v>
      </c>
    </row>
    <row r="123" spans="1:65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BM123" s="22">
        <v>0</v>
      </c>
    </row>
    <row r="124" spans="1:65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BM124" s="22">
        <v>0</v>
      </c>
    </row>
    <row r="125" spans="1:65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BM125" s="22">
        <v>0</v>
      </c>
    </row>
    <row r="126" spans="1:65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BM126" s="22">
        <v>0</v>
      </c>
    </row>
    <row r="127" spans="1:65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BM127" s="22">
        <v>0</v>
      </c>
    </row>
    <row r="128" spans="1:65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BM128" s="22">
        <v>0</v>
      </c>
    </row>
    <row r="129" spans="1:65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BM129" s="22">
        <v>0</v>
      </c>
    </row>
    <row r="130" spans="1:65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BM130" s="22">
        <v>0</v>
      </c>
    </row>
    <row r="131" spans="1:65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BM131" s="22">
        <v>0</v>
      </c>
    </row>
    <row r="132" spans="1:65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BM132" s="22">
        <v>0</v>
      </c>
    </row>
    <row r="133" spans="1:65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BM133" s="22">
        <v>0</v>
      </c>
    </row>
    <row r="134" spans="1:65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BM134" s="22">
        <v>0</v>
      </c>
    </row>
    <row r="135" spans="1:65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BM135" s="22">
        <v>0</v>
      </c>
    </row>
    <row r="136" spans="1:65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BM136" s="22">
        <v>0</v>
      </c>
    </row>
    <row r="137" spans="1:65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BM137" s="22">
        <v>0</v>
      </c>
    </row>
    <row r="138" spans="1:65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BM138" s="22">
        <v>0</v>
      </c>
    </row>
    <row r="139" spans="1:65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BM139" s="22">
        <v>0</v>
      </c>
    </row>
    <row r="140" spans="1:65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BM140" s="22">
        <v>0</v>
      </c>
    </row>
    <row r="141" spans="1:65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BM141" s="22">
        <v>0</v>
      </c>
    </row>
    <row r="142" spans="1:65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BM142" s="22">
        <v>0</v>
      </c>
    </row>
    <row r="143" spans="1:65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S143" s="22">
        <v>4242</v>
      </c>
      <c r="BM143" s="22">
        <v>4242</v>
      </c>
    </row>
    <row r="144" spans="1:65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BM144" s="22">
        <v>0</v>
      </c>
    </row>
    <row r="145" spans="1:65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BM145" s="22">
        <v>0</v>
      </c>
    </row>
    <row r="146" spans="1:65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BM146" s="22">
        <v>0</v>
      </c>
    </row>
    <row r="147" spans="1:65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BM147" s="22">
        <v>0</v>
      </c>
    </row>
    <row r="148" spans="1:65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BM148" s="22">
        <v>0</v>
      </c>
    </row>
    <row r="149" spans="1:65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BM149" s="22">
        <v>0</v>
      </c>
    </row>
    <row r="150" spans="1:65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BM150" s="22">
        <v>0</v>
      </c>
    </row>
    <row r="151" spans="1:65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BM151" s="22">
        <v>0</v>
      </c>
    </row>
    <row r="152" spans="1:65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BM152" s="22">
        <v>0</v>
      </c>
    </row>
    <row r="153" spans="1:65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BM153" s="22">
        <v>0</v>
      </c>
    </row>
    <row r="154" spans="1:65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BM154" s="22">
        <v>0</v>
      </c>
    </row>
    <row r="155" spans="1:65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BM155" s="22">
        <v>0</v>
      </c>
    </row>
    <row r="156" spans="1:65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BM156" s="22">
        <v>0</v>
      </c>
    </row>
    <row r="157" spans="1:65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BM157" s="22">
        <v>0</v>
      </c>
    </row>
    <row r="158" spans="1:65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BM158" s="22">
        <v>0</v>
      </c>
    </row>
    <row r="159" spans="1:65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BM159" s="22">
        <v>0</v>
      </c>
    </row>
    <row r="160" spans="1:65" s="22" customFormat="1" x14ac:dyDescent="0.25">
      <c r="A160" s="14">
        <v>156</v>
      </c>
      <c r="B160" s="15">
        <v>4000017082</v>
      </c>
      <c r="C160" s="16" t="s">
        <v>170</v>
      </c>
      <c r="D160" s="44" t="s">
        <v>12</v>
      </c>
      <c r="BM160" s="22">
        <v>0</v>
      </c>
    </row>
    <row r="161" spans="1:65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BM161" s="22">
        <v>0</v>
      </c>
    </row>
    <row r="162" spans="1:65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BM162" s="22">
        <v>0</v>
      </c>
    </row>
    <row r="163" spans="1:65" s="22" customFormat="1" x14ac:dyDescent="0.25">
      <c r="A163" s="14">
        <v>159</v>
      </c>
      <c r="B163" s="15">
        <v>4000017084</v>
      </c>
      <c r="C163" s="16" t="s">
        <v>173</v>
      </c>
      <c r="D163" s="44" t="s">
        <v>12</v>
      </c>
      <c r="BM163" s="22">
        <v>0</v>
      </c>
    </row>
    <row r="164" spans="1:65" x14ac:dyDescent="0.25">
      <c r="A164" s="22">
        <v>160</v>
      </c>
      <c r="B164" s="22">
        <v>3000003029</v>
      </c>
      <c r="C164" t="s">
        <v>211</v>
      </c>
      <c r="D164" s="22" t="s">
        <v>12</v>
      </c>
      <c r="E164" s="22"/>
      <c r="BM164" s="22">
        <v>0</v>
      </c>
    </row>
    <row r="165" spans="1:65" x14ac:dyDescent="0.25">
      <c r="A165" s="22">
        <v>161</v>
      </c>
      <c r="B165" s="22">
        <v>3000003029</v>
      </c>
      <c r="C165" t="s">
        <v>297</v>
      </c>
      <c r="D165" s="22" t="s">
        <v>12</v>
      </c>
      <c r="E165" s="22"/>
      <c r="BM165" s="22">
        <v>0</v>
      </c>
    </row>
    <row r="166" spans="1:65" x14ac:dyDescent="0.25">
      <c r="A166" s="22">
        <v>162</v>
      </c>
      <c r="B166" s="22">
        <v>1000006010</v>
      </c>
      <c r="C166" t="s">
        <v>298</v>
      </c>
      <c r="D166" s="22" t="s">
        <v>12</v>
      </c>
      <c r="BM166" s="22">
        <v>0</v>
      </c>
    </row>
    <row r="167" spans="1:65" x14ac:dyDescent="0.25">
      <c r="A167" s="22">
        <v>163</v>
      </c>
      <c r="B167" s="22">
        <v>3000001220</v>
      </c>
      <c r="C167" t="s">
        <v>300</v>
      </c>
      <c r="D167" s="22" t="s">
        <v>12</v>
      </c>
      <c r="BM167" s="22">
        <v>0</v>
      </c>
    </row>
    <row r="168" spans="1:65" x14ac:dyDescent="0.25">
      <c r="A168" s="22">
        <v>164</v>
      </c>
      <c r="B168" s="22">
        <v>3000001221</v>
      </c>
      <c r="C168" t="s">
        <v>302</v>
      </c>
      <c r="D168" s="22" t="s">
        <v>12</v>
      </c>
      <c r="BM168" s="22">
        <v>0</v>
      </c>
    </row>
    <row r="169" spans="1:65" x14ac:dyDescent="0.25">
      <c r="A169" s="22">
        <v>165</v>
      </c>
      <c r="B169" s="22">
        <v>3000001223</v>
      </c>
      <c r="C169" t="s">
        <v>304</v>
      </c>
      <c r="D169" s="22" t="s">
        <v>12</v>
      </c>
      <c r="BM169" s="22">
        <v>0</v>
      </c>
    </row>
    <row r="170" spans="1:65" x14ac:dyDescent="0.25">
      <c r="A170" s="22">
        <v>166</v>
      </c>
      <c r="B170" s="22">
        <v>3000001224</v>
      </c>
      <c r="C170" t="s">
        <v>306</v>
      </c>
      <c r="D170" s="22" t="s">
        <v>12</v>
      </c>
      <c r="BM170" s="22">
        <v>0</v>
      </c>
    </row>
    <row r="171" spans="1:65" x14ac:dyDescent="0.25">
      <c r="A171" s="22">
        <v>167</v>
      </c>
      <c r="B171" s="22">
        <v>3000003827</v>
      </c>
      <c r="C171" t="s">
        <v>446</v>
      </c>
      <c r="D171" s="22" t="s">
        <v>12</v>
      </c>
      <c r="BM171" s="22">
        <v>0</v>
      </c>
    </row>
    <row r="172" spans="1:65" x14ac:dyDescent="0.25">
      <c r="A172" s="22">
        <v>168</v>
      </c>
      <c r="B172" s="22">
        <v>3000001802</v>
      </c>
      <c r="C172" t="s">
        <v>448</v>
      </c>
      <c r="D172" s="22" t="s">
        <v>12</v>
      </c>
      <c r="BM172" s="22">
        <v>0</v>
      </c>
    </row>
    <row r="173" spans="1:65" x14ac:dyDescent="0.25">
      <c r="A173" s="22">
        <v>169</v>
      </c>
      <c r="B173" s="22" t="s">
        <v>35</v>
      </c>
      <c r="C173" t="s">
        <v>449</v>
      </c>
      <c r="D173" s="22" t="s">
        <v>12</v>
      </c>
      <c r="BM173" s="22">
        <v>0</v>
      </c>
    </row>
    <row r="174" spans="1:65" x14ac:dyDescent="0.25">
      <c r="A174" s="22">
        <v>170</v>
      </c>
      <c r="B174" s="22" t="s">
        <v>35</v>
      </c>
      <c r="C174" t="s">
        <v>450</v>
      </c>
      <c r="D174" s="22" t="s">
        <v>12</v>
      </c>
      <c r="BM174" s="22">
        <v>0</v>
      </c>
    </row>
    <row r="175" spans="1:65" x14ac:dyDescent="0.25">
      <c r="A175" s="22">
        <v>171</v>
      </c>
      <c r="B175" s="22" t="s">
        <v>35</v>
      </c>
      <c r="C175" t="s">
        <v>510</v>
      </c>
      <c r="D175" s="22" t="s">
        <v>12</v>
      </c>
      <c r="BM175" s="22">
        <v>0</v>
      </c>
    </row>
    <row r="176" spans="1:65" x14ac:dyDescent="0.25">
      <c r="A176" s="22">
        <v>172</v>
      </c>
      <c r="B176" s="22" t="s">
        <v>35</v>
      </c>
      <c r="C176" t="s">
        <v>516</v>
      </c>
      <c r="D176" s="22" t="s">
        <v>12</v>
      </c>
      <c r="BM176" s="22">
        <v>0</v>
      </c>
    </row>
    <row r="177" spans="1:65" x14ac:dyDescent="0.25">
      <c r="A177" s="22">
        <v>173</v>
      </c>
      <c r="B177" s="22" t="s">
        <v>35</v>
      </c>
      <c r="C177" t="s">
        <v>600</v>
      </c>
      <c r="D177" s="22" t="s">
        <v>12</v>
      </c>
      <c r="BM177">
        <v>0</v>
      </c>
    </row>
    <row r="178" spans="1:65" x14ac:dyDescent="0.25">
      <c r="A178" s="22">
        <v>174</v>
      </c>
      <c r="B178" s="22" t="s">
        <v>35</v>
      </c>
      <c r="C178" t="s">
        <v>601</v>
      </c>
      <c r="D178" s="22" t="s">
        <v>12</v>
      </c>
      <c r="BM178">
        <v>0</v>
      </c>
    </row>
    <row r="179" spans="1:65" x14ac:dyDescent="0.25">
      <c r="A179" s="22">
        <v>99</v>
      </c>
      <c r="B179" s="22" t="s">
        <v>35</v>
      </c>
      <c r="C179" t="s">
        <v>1383</v>
      </c>
      <c r="D179" s="22" t="s">
        <v>12</v>
      </c>
      <c r="BM179">
        <v>0</v>
      </c>
    </row>
    <row r="180" spans="1:65" x14ac:dyDescent="0.25">
      <c r="A180" s="22">
        <v>99</v>
      </c>
      <c r="B180" s="22" t="s">
        <v>35</v>
      </c>
      <c r="C180" t="s">
        <v>1557</v>
      </c>
      <c r="D180" s="22" t="s">
        <v>12</v>
      </c>
      <c r="BM180">
        <v>0</v>
      </c>
    </row>
    <row r="181" spans="1:65" x14ac:dyDescent="0.25">
      <c r="A181" s="22">
        <v>101</v>
      </c>
      <c r="B181" s="22">
        <v>3000000008</v>
      </c>
      <c r="C181" t="s">
        <v>1565</v>
      </c>
      <c r="D181" s="22" t="s">
        <v>12</v>
      </c>
      <c r="BM181">
        <v>0</v>
      </c>
    </row>
    <row r="182" spans="1:65" x14ac:dyDescent="0.25">
      <c r="A182" s="22">
        <v>178</v>
      </c>
      <c r="B182" s="22" t="s">
        <v>35</v>
      </c>
      <c r="C182" t="s">
        <v>1662</v>
      </c>
      <c r="D182" s="22" t="s">
        <v>12</v>
      </c>
      <c r="BM182">
        <v>0</v>
      </c>
    </row>
    <row r="183" spans="1:65" x14ac:dyDescent="0.25">
      <c r="A183" s="22">
        <v>80</v>
      </c>
      <c r="B183" s="22" t="s">
        <v>35</v>
      </c>
      <c r="C183" t="s">
        <v>1574</v>
      </c>
      <c r="D183" s="22" t="s">
        <v>12</v>
      </c>
      <c r="BM183">
        <v>0</v>
      </c>
    </row>
    <row r="184" spans="1:65" x14ac:dyDescent="0.25">
      <c r="A184" s="22">
        <v>81</v>
      </c>
      <c r="B184" s="22">
        <v>1000014673</v>
      </c>
      <c r="C184" t="s">
        <v>1575</v>
      </c>
      <c r="D184" s="22" t="s">
        <v>12</v>
      </c>
      <c r="BM184">
        <v>0</v>
      </c>
    </row>
    <row r="185" spans="1:65" x14ac:dyDescent="0.25">
      <c r="A185" s="22">
        <v>181</v>
      </c>
      <c r="B185" s="22">
        <v>4000021502</v>
      </c>
      <c r="C185" t="s">
        <v>1576</v>
      </c>
      <c r="D185" s="22" t="s">
        <v>12</v>
      </c>
      <c r="BM185">
        <v>0</v>
      </c>
    </row>
    <row r="186" spans="1:65" x14ac:dyDescent="0.25">
      <c r="A186" s="22">
        <v>100</v>
      </c>
      <c r="B186" s="22">
        <v>3000002696</v>
      </c>
      <c r="C186" t="s">
        <v>1580</v>
      </c>
      <c r="D186" s="22" t="s">
        <v>12</v>
      </c>
      <c r="BM186">
        <v>0</v>
      </c>
    </row>
    <row r="187" spans="1:65" x14ac:dyDescent="0.25">
      <c r="A187" s="22">
        <v>101</v>
      </c>
      <c r="B187" s="22">
        <v>3000000707</v>
      </c>
      <c r="C187" t="s">
        <v>1618</v>
      </c>
      <c r="D187" s="22" t="s">
        <v>12</v>
      </c>
      <c r="BM187">
        <v>0</v>
      </c>
    </row>
  </sheetData>
  <autoFilter ref="A4:BM4"/>
  <mergeCells count="3">
    <mergeCell ref="A1:A2"/>
    <mergeCell ref="B1:B2"/>
    <mergeCell ref="C1:C2"/>
  </mergeCells>
  <conditionalFormatting sqref="A1:XFD1048576">
    <cfRule type="expression" dxfId="370" priority="1" stopIfTrue="1">
      <formula>AND(ROW()&gt;=1,ROW()&lt;=1048576)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87"/>
  <sheetViews>
    <sheetView topLeftCell="A163" workbookViewId="0">
      <pane xSplit="5" topLeftCell="F1" activePane="topRight" state="frozen"/>
      <selection pane="topRight" activeCell="D1" activeCellId="1" sqref="A1:B1048576 D1:D1048576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10" width="9.140625" style="22" customWidth="1"/>
    <col min="11" max="11" width="9.140625" customWidth="1"/>
    <col min="12" max="12" width="9.140625" style="22"/>
  </cols>
  <sheetData>
    <row r="1" spans="1:12" ht="26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6"/>
      <c r="G1" s="26"/>
      <c r="H1" s="26"/>
      <c r="I1" s="26"/>
      <c r="J1" s="26"/>
      <c r="K1" s="26"/>
      <c r="L1" s="25" t="s">
        <v>177</v>
      </c>
    </row>
    <row r="2" spans="1:12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/>
      <c r="G2" s="25"/>
      <c r="H2" s="25"/>
      <c r="I2" s="25"/>
      <c r="J2" s="25"/>
      <c r="K2" s="25"/>
      <c r="L2" s="25"/>
    </row>
    <row r="3" spans="1:12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27"/>
      <c r="G3" s="27"/>
      <c r="H3" s="27"/>
      <c r="I3" s="27"/>
      <c r="J3" s="27"/>
      <c r="K3" s="27"/>
      <c r="L3" s="27"/>
    </row>
    <row r="4" spans="1:12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</row>
    <row r="5" spans="1:12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L5" s="22">
        <v>0</v>
      </c>
    </row>
    <row r="6" spans="1:12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L6" s="22">
        <v>0</v>
      </c>
    </row>
    <row r="7" spans="1:12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L7" s="22">
        <v>0</v>
      </c>
    </row>
    <row r="8" spans="1:12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L8" s="22">
        <v>0</v>
      </c>
    </row>
    <row r="9" spans="1:12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L9" s="22">
        <v>0</v>
      </c>
    </row>
    <row r="10" spans="1:12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L10" s="22">
        <v>0</v>
      </c>
    </row>
    <row r="11" spans="1:12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L11" s="22">
        <v>0</v>
      </c>
    </row>
    <row r="12" spans="1:12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L12" s="22">
        <v>0</v>
      </c>
    </row>
    <row r="13" spans="1:12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L13" s="22">
        <v>0</v>
      </c>
    </row>
    <row r="14" spans="1:12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L14" s="22">
        <v>0</v>
      </c>
    </row>
    <row r="15" spans="1:12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L15" s="22">
        <v>0</v>
      </c>
    </row>
    <row r="16" spans="1:12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L16" s="22">
        <v>0</v>
      </c>
    </row>
    <row r="17" spans="1:12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L17" s="22">
        <v>0</v>
      </c>
    </row>
    <row r="18" spans="1:12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L18" s="22">
        <v>0</v>
      </c>
    </row>
    <row r="19" spans="1:12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L19" s="22">
        <v>0</v>
      </c>
    </row>
    <row r="20" spans="1:12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L20" s="22">
        <v>0</v>
      </c>
    </row>
    <row r="21" spans="1:12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L21" s="22">
        <v>0</v>
      </c>
    </row>
    <row r="22" spans="1:12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L22" s="22">
        <v>0</v>
      </c>
    </row>
    <row r="23" spans="1:12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L23" s="22">
        <v>0</v>
      </c>
    </row>
    <row r="24" spans="1:12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L24" s="22">
        <v>0</v>
      </c>
    </row>
    <row r="25" spans="1:12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L25" s="22">
        <v>0</v>
      </c>
    </row>
    <row r="26" spans="1:12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L26" s="22">
        <v>0</v>
      </c>
    </row>
    <row r="27" spans="1:12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L27" s="22">
        <v>0</v>
      </c>
    </row>
    <row r="28" spans="1:12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L28" s="22">
        <v>0</v>
      </c>
    </row>
    <row r="29" spans="1:12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L29" s="22">
        <v>0</v>
      </c>
    </row>
    <row r="30" spans="1:12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L30" s="22">
        <v>0</v>
      </c>
    </row>
    <row r="31" spans="1:12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L31" s="22">
        <v>0</v>
      </c>
    </row>
    <row r="32" spans="1:12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L32" s="22">
        <v>0</v>
      </c>
    </row>
    <row r="33" spans="1:12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L33" s="22">
        <v>0</v>
      </c>
    </row>
    <row r="34" spans="1:12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L34" s="22">
        <v>0</v>
      </c>
    </row>
    <row r="35" spans="1:12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L35" s="22">
        <v>0</v>
      </c>
    </row>
    <row r="36" spans="1:12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L36" s="22">
        <v>0</v>
      </c>
    </row>
    <row r="37" spans="1:12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L37" s="22">
        <v>0</v>
      </c>
    </row>
    <row r="38" spans="1:12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L38" s="22">
        <v>0</v>
      </c>
    </row>
    <row r="39" spans="1:12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L39" s="22">
        <v>0</v>
      </c>
    </row>
    <row r="40" spans="1:12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L40" s="22">
        <v>0</v>
      </c>
    </row>
    <row r="41" spans="1:12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L41" s="22">
        <v>0</v>
      </c>
    </row>
    <row r="42" spans="1:12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L42" s="22">
        <v>0</v>
      </c>
    </row>
    <row r="43" spans="1:12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L43" s="22">
        <v>0</v>
      </c>
    </row>
    <row r="44" spans="1:12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L44" s="22">
        <v>0</v>
      </c>
    </row>
    <row r="45" spans="1:12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L45" s="22">
        <v>0</v>
      </c>
    </row>
    <row r="46" spans="1:12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L46" s="22">
        <v>0</v>
      </c>
    </row>
    <row r="47" spans="1:12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L47" s="22">
        <v>0</v>
      </c>
    </row>
    <row r="48" spans="1:12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L48" s="22">
        <v>0</v>
      </c>
    </row>
    <row r="49" spans="1:12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L49" s="22">
        <v>0</v>
      </c>
    </row>
    <row r="50" spans="1:12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L50" s="22">
        <v>0</v>
      </c>
    </row>
    <row r="51" spans="1:12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L51" s="22">
        <v>0</v>
      </c>
    </row>
    <row r="52" spans="1:12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L52" s="22">
        <v>0</v>
      </c>
    </row>
    <row r="53" spans="1:12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L53" s="22">
        <v>0</v>
      </c>
    </row>
    <row r="54" spans="1:12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L54" s="22">
        <v>0</v>
      </c>
    </row>
    <row r="55" spans="1:12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L55" s="22">
        <v>0</v>
      </c>
    </row>
    <row r="56" spans="1:12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L56" s="22">
        <v>0</v>
      </c>
    </row>
    <row r="57" spans="1:12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L57" s="22">
        <v>0</v>
      </c>
    </row>
    <row r="58" spans="1:12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L58" s="22">
        <v>0</v>
      </c>
    </row>
    <row r="59" spans="1:12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L59" s="22">
        <v>0</v>
      </c>
    </row>
    <row r="60" spans="1:12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L60" s="22">
        <v>0</v>
      </c>
    </row>
    <row r="61" spans="1:12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L61" s="22">
        <v>0</v>
      </c>
    </row>
    <row r="62" spans="1:12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L62" s="22">
        <v>0</v>
      </c>
    </row>
    <row r="63" spans="1:12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L63" s="22">
        <v>0</v>
      </c>
    </row>
    <row r="64" spans="1:12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L64" s="22">
        <v>0</v>
      </c>
    </row>
    <row r="65" spans="1:12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L65" s="22">
        <v>0</v>
      </c>
    </row>
    <row r="66" spans="1:12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L66" s="22">
        <v>0</v>
      </c>
    </row>
    <row r="67" spans="1:12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L67" s="22">
        <v>0</v>
      </c>
    </row>
    <row r="68" spans="1:12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L68" s="22">
        <v>0</v>
      </c>
    </row>
    <row r="69" spans="1:12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L69" s="22">
        <v>0</v>
      </c>
    </row>
    <row r="70" spans="1:12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L70" s="22">
        <v>0</v>
      </c>
    </row>
    <row r="71" spans="1:12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L71" s="22">
        <v>0</v>
      </c>
    </row>
    <row r="72" spans="1:12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L72" s="22">
        <v>0</v>
      </c>
    </row>
    <row r="73" spans="1:12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L73" s="22">
        <v>0</v>
      </c>
    </row>
    <row r="74" spans="1:12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L74" s="22">
        <v>0</v>
      </c>
    </row>
    <row r="75" spans="1:12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L75" s="22">
        <v>0</v>
      </c>
    </row>
    <row r="76" spans="1:12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L76" s="22">
        <v>0</v>
      </c>
    </row>
    <row r="77" spans="1:12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L77" s="22">
        <v>0</v>
      </c>
    </row>
    <row r="78" spans="1:12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L78" s="22">
        <v>0</v>
      </c>
    </row>
    <row r="79" spans="1:12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L79" s="22">
        <v>0</v>
      </c>
    </row>
    <row r="80" spans="1:12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L80" s="22">
        <v>0</v>
      </c>
    </row>
    <row r="81" spans="1:12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L81" s="22">
        <v>0</v>
      </c>
    </row>
    <row r="82" spans="1:12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L82" s="22">
        <v>0</v>
      </c>
    </row>
    <row r="83" spans="1:12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L83" s="22">
        <v>0</v>
      </c>
    </row>
    <row r="84" spans="1:12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L84" s="22">
        <v>0</v>
      </c>
    </row>
    <row r="85" spans="1:12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L85" s="22">
        <v>0</v>
      </c>
    </row>
    <row r="86" spans="1:12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L86" s="22">
        <v>0</v>
      </c>
    </row>
    <row r="87" spans="1:12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L87" s="22">
        <v>0</v>
      </c>
    </row>
    <row r="88" spans="1:12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L88" s="22">
        <v>0</v>
      </c>
    </row>
    <row r="89" spans="1:12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L89" s="22">
        <v>0</v>
      </c>
    </row>
    <row r="90" spans="1:12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L90" s="22">
        <v>0</v>
      </c>
    </row>
    <row r="91" spans="1:12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L91" s="22">
        <v>0</v>
      </c>
    </row>
    <row r="92" spans="1:12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L92" s="22">
        <v>0</v>
      </c>
    </row>
    <row r="93" spans="1:12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L93" s="22">
        <v>0</v>
      </c>
    </row>
    <row r="94" spans="1:12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L94" s="22">
        <v>0</v>
      </c>
    </row>
    <row r="95" spans="1:12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L95" s="22">
        <v>0</v>
      </c>
    </row>
    <row r="96" spans="1:12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L96" s="22">
        <v>0</v>
      </c>
    </row>
    <row r="97" spans="1:12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L97" s="22">
        <v>0</v>
      </c>
    </row>
    <row r="98" spans="1:12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L98" s="22">
        <v>0</v>
      </c>
    </row>
    <row r="99" spans="1:12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L99" s="22">
        <v>0</v>
      </c>
    </row>
    <row r="100" spans="1:12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L100" s="22">
        <v>0</v>
      </c>
    </row>
    <row r="101" spans="1:12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L101" s="22">
        <v>0</v>
      </c>
    </row>
    <row r="102" spans="1:12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L102" s="22">
        <v>0</v>
      </c>
    </row>
    <row r="103" spans="1:12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L103" s="22">
        <v>0</v>
      </c>
    </row>
    <row r="104" spans="1:12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L104" s="22">
        <v>0</v>
      </c>
    </row>
    <row r="105" spans="1:12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L105" s="22">
        <v>0</v>
      </c>
    </row>
    <row r="106" spans="1:12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L106" s="22">
        <v>0</v>
      </c>
    </row>
    <row r="107" spans="1:12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L107" s="22">
        <v>0</v>
      </c>
    </row>
    <row r="108" spans="1:12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L108" s="22">
        <v>0</v>
      </c>
    </row>
    <row r="109" spans="1:12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L109" s="22">
        <v>0</v>
      </c>
    </row>
    <row r="110" spans="1:12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L110" s="22">
        <v>0</v>
      </c>
    </row>
    <row r="111" spans="1:12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L111" s="22">
        <v>0</v>
      </c>
    </row>
    <row r="112" spans="1:12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L112" s="22">
        <v>0</v>
      </c>
    </row>
    <row r="113" spans="1:12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L113" s="22">
        <v>0</v>
      </c>
    </row>
    <row r="114" spans="1:12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L114" s="22">
        <v>0</v>
      </c>
    </row>
    <row r="115" spans="1:12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L115" s="22">
        <v>0</v>
      </c>
    </row>
    <row r="116" spans="1:12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L116" s="22">
        <v>0</v>
      </c>
    </row>
    <row r="117" spans="1:12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L117" s="22">
        <v>0</v>
      </c>
    </row>
    <row r="118" spans="1:12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L118" s="22">
        <v>0</v>
      </c>
    </row>
    <row r="119" spans="1:12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L119" s="22">
        <v>0</v>
      </c>
    </row>
    <row r="120" spans="1:12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L120" s="22">
        <v>0</v>
      </c>
    </row>
    <row r="121" spans="1:12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L121" s="22">
        <v>0</v>
      </c>
    </row>
    <row r="122" spans="1:12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L122" s="22">
        <v>0</v>
      </c>
    </row>
    <row r="123" spans="1:12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L123" s="22">
        <v>0</v>
      </c>
    </row>
    <row r="124" spans="1:12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L124" s="22">
        <v>0</v>
      </c>
    </row>
    <row r="125" spans="1:12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L125" s="22">
        <v>0</v>
      </c>
    </row>
    <row r="126" spans="1:12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L126" s="22">
        <v>0</v>
      </c>
    </row>
    <row r="127" spans="1:12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L127" s="22">
        <v>0</v>
      </c>
    </row>
    <row r="128" spans="1:12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L128" s="22">
        <v>0</v>
      </c>
    </row>
    <row r="129" spans="1:12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L129" s="22">
        <v>0</v>
      </c>
    </row>
    <row r="130" spans="1:12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L130" s="22">
        <v>0</v>
      </c>
    </row>
    <row r="131" spans="1:12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L131" s="22">
        <v>0</v>
      </c>
    </row>
    <row r="132" spans="1:12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L132" s="22">
        <v>0</v>
      </c>
    </row>
    <row r="133" spans="1:12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L133" s="22">
        <v>0</v>
      </c>
    </row>
    <row r="134" spans="1:12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L134" s="22">
        <v>0</v>
      </c>
    </row>
    <row r="135" spans="1:12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L135" s="22">
        <v>0</v>
      </c>
    </row>
    <row r="136" spans="1:12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L136" s="22">
        <v>0</v>
      </c>
    </row>
    <row r="137" spans="1:12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L137" s="22">
        <v>0</v>
      </c>
    </row>
    <row r="138" spans="1:12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L138" s="22">
        <v>0</v>
      </c>
    </row>
    <row r="139" spans="1:12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L139" s="22">
        <v>0</v>
      </c>
    </row>
    <row r="140" spans="1:12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L140" s="22">
        <v>0</v>
      </c>
    </row>
    <row r="141" spans="1:12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L141" s="22">
        <v>0</v>
      </c>
    </row>
    <row r="142" spans="1:12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L142" s="22">
        <v>0</v>
      </c>
    </row>
    <row r="143" spans="1:12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L143" s="22">
        <v>0</v>
      </c>
    </row>
    <row r="144" spans="1:12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L144" s="22">
        <v>0</v>
      </c>
    </row>
    <row r="145" spans="1:12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L145" s="22">
        <v>0</v>
      </c>
    </row>
    <row r="146" spans="1:12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L146" s="22">
        <v>0</v>
      </c>
    </row>
    <row r="147" spans="1:12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L147" s="22">
        <v>0</v>
      </c>
    </row>
    <row r="148" spans="1:12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L148" s="22">
        <v>0</v>
      </c>
    </row>
    <row r="149" spans="1:12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L149" s="22">
        <v>0</v>
      </c>
    </row>
    <row r="150" spans="1:12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L150" s="22">
        <v>0</v>
      </c>
    </row>
    <row r="151" spans="1:12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L151" s="22">
        <v>0</v>
      </c>
    </row>
    <row r="152" spans="1:12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L152" s="22">
        <v>0</v>
      </c>
    </row>
    <row r="153" spans="1:12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L153" s="22">
        <v>0</v>
      </c>
    </row>
    <row r="154" spans="1:12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L154" s="22">
        <v>0</v>
      </c>
    </row>
    <row r="155" spans="1:12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L155" s="22">
        <v>0</v>
      </c>
    </row>
    <row r="156" spans="1:12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L156" s="22">
        <v>0</v>
      </c>
    </row>
    <row r="157" spans="1:12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L157" s="22">
        <v>0</v>
      </c>
    </row>
    <row r="158" spans="1:12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L158" s="22">
        <v>0</v>
      </c>
    </row>
    <row r="159" spans="1:12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L159" s="22">
        <v>0</v>
      </c>
    </row>
    <row r="160" spans="1:12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L160" s="22">
        <v>0</v>
      </c>
    </row>
    <row r="161" spans="1:12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L161" s="22">
        <v>0</v>
      </c>
    </row>
    <row r="162" spans="1:12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L162" s="22">
        <v>0</v>
      </c>
    </row>
    <row r="163" spans="1:12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L163" s="22">
        <v>0</v>
      </c>
    </row>
    <row r="164" spans="1:12" x14ac:dyDescent="0.25">
      <c r="A164" s="22">
        <v>160</v>
      </c>
      <c r="B164" s="22">
        <v>3000003029</v>
      </c>
      <c r="C164" t="s">
        <v>211</v>
      </c>
      <c r="D164" s="22" t="s">
        <v>12</v>
      </c>
      <c r="L164" s="22">
        <v>0</v>
      </c>
    </row>
    <row r="165" spans="1:12" x14ac:dyDescent="0.25">
      <c r="A165" s="22">
        <v>161</v>
      </c>
      <c r="B165" s="22">
        <v>3000003029</v>
      </c>
      <c r="C165" t="s">
        <v>297</v>
      </c>
      <c r="D165" s="22" t="s">
        <v>12</v>
      </c>
      <c r="L165" s="22">
        <v>0</v>
      </c>
    </row>
    <row r="166" spans="1:12" x14ac:dyDescent="0.25">
      <c r="A166" s="22">
        <v>162</v>
      </c>
      <c r="B166" s="22">
        <v>1000006010</v>
      </c>
      <c r="C166" t="s">
        <v>298</v>
      </c>
      <c r="D166" s="22" t="s">
        <v>12</v>
      </c>
      <c r="L166" s="22">
        <v>0</v>
      </c>
    </row>
    <row r="167" spans="1:12" x14ac:dyDescent="0.25">
      <c r="A167" s="22">
        <v>163</v>
      </c>
      <c r="B167" s="22">
        <v>3000001220</v>
      </c>
      <c r="C167" t="s">
        <v>300</v>
      </c>
      <c r="D167" s="22" t="s">
        <v>12</v>
      </c>
      <c r="L167" s="22">
        <v>0</v>
      </c>
    </row>
    <row r="168" spans="1:12" x14ac:dyDescent="0.25">
      <c r="A168" s="22">
        <v>164</v>
      </c>
      <c r="B168" s="22">
        <v>3000001221</v>
      </c>
      <c r="C168" t="s">
        <v>302</v>
      </c>
      <c r="D168" s="22" t="s">
        <v>12</v>
      </c>
      <c r="L168" s="22">
        <v>0</v>
      </c>
    </row>
    <row r="169" spans="1:12" x14ac:dyDescent="0.25">
      <c r="A169" s="22">
        <v>165</v>
      </c>
      <c r="B169" s="22">
        <v>3000001223</v>
      </c>
      <c r="C169" t="s">
        <v>304</v>
      </c>
      <c r="D169" s="22" t="s">
        <v>12</v>
      </c>
      <c r="L169" s="22">
        <v>0</v>
      </c>
    </row>
    <row r="170" spans="1:12" x14ac:dyDescent="0.25">
      <c r="A170" s="22">
        <v>166</v>
      </c>
      <c r="B170" s="22">
        <v>3000001224</v>
      </c>
      <c r="C170" t="s">
        <v>306</v>
      </c>
      <c r="D170" s="22" t="s">
        <v>12</v>
      </c>
      <c r="L170" s="22">
        <v>0</v>
      </c>
    </row>
    <row r="171" spans="1:12" x14ac:dyDescent="0.25">
      <c r="A171" s="22">
        <v>167</v>
      </c>
      <c r="B171" s="22">
        <v>3000003827</v>
      </c>
      <c r="C171" t="s">
        <v>446</v>
      </c>
      <c r="D171" s="22" t="s">
        <v>12</v>
      </c>
      <c r="L171" s="22">
        <v>0</v>
      </c>
    </row>
    <row r="172" spans="1:12" x14ac:dyDescent="0.25">
      <c r="A172" s="22">
        <v>168</v>
      </c>
      <c r="B172" s="22">
        <v>3000001802</v>
      </c>
      <c r="C172" t="s">
        <v>448</v>
      </c>
      <c r="D172" s="22" t="s">
        <v>12</v>
      </c>
      <c r="L172" s="22">
        <v>0</v>
      </c>
    </row>
    <row r="173" spans="1:12" x14ac:dyDescent="0.25">
      <c r="A173" s="22">
        <v>169</v>
      </c>
      <c r="B173" s="22" t="s">
        <v>35</v>
      </c>
      <c r="C173" t="s">
        <v>449</v>
      </c>
      <c r="D173" s="22" t="s">
        <v>12</v>
      </c>
      <c r="L173" s="22">
        <v>0</v>
      </c>
    </row>
    <row r="174" spans="1:12" x14ac:dyDescent="0.25">
      <c r="A174" s="22">
        <v>170</v>
      </c>
      <c r="B174" s="22" t="s">
        <v>35</v>
      </c>
      <c r="C174" t="s">
        <v>450</v>
      </c>
      <c r="D174" s="22" t="s">
        <v>12</v>
      </c>
      <c r="L174" s="22">
        <v>0</v>
      </c>
    </row>
    <row r="175" spans="1:12" x14ac:dyDescent="0.25">
      <c r="A175" s="22">
        <v>171</v>
      </c>
      <c r="B175" s="22" t="s">
        <v>35</v>
      </c>
      <c r="C175" t="s">
        <v>510</v>
      </c>
      <c r="D175" s="22" t="s">
        <v>12</v>
      </c>
      <c r="L175" s="22">
        <v>0</v>
      </c>
    </row>
    <row r="176" spans="1:12" x14ac:dyDescent="0.25">
      <c r="A176" s="22">
        <v>172</v>
      </c>
      <c r="B176" s="22" t="s">
        <v>35</v>
      </c>
      <c r="C176" t="s">
        <v>516</v>
      </c>
      <c r="D176" s="22" t="s">
        <v>12</v>
      </c>
      <c r="L176" s="22">
        <v>0</v>
      </c>
    </row>
    <row r="177" spans="1:12" x14ac:dyDescent="0.25">
      <c r="A177" s="22">
        <v>173</v>
      </c>
      <c r="B177" s="22" t="s">
        <v>35</v>
      </c>
      <c r="C177" t="s">
        <v>600</v>
      </c>
      <c r="D177" s="22" t="s">
        <v>12</v>
      </c>
      <c r="L177" s="22">
        <v>0</v>
      </c>
    </row>
    <row r="178" spans="1:12" x14ac:dyDescent="0.25">
      <c r="A178" s="22">
        <v>174</v>
      </c>
      <c r="B178" s="22" t="s">
        <v>35</v>
      </c>
      <c r="C178" t="s">
        <v>601</v>
      </c>
      <c r="D178" s="22" t="s">
        <v>12</v>
      </c>
      <c r="L178" s="22">
        <v>0</v>
      </c>
    </row>
    <row r="179" spans="1:12" x14ac:dyDescent="0.25">
      <c r="A179" s="22">
        <v>99</v>
      </c>
      <c r="B179" s="22" t="s">
        <v>35</v>
      </c>
      <c r="C179" t="s">
        <v>1383</v>
      </c>
      <c r="D179" s="22" t="s">
        <v>12</v>
      </c>
      <c r="L179" s="22">
        <v>0</v>
      </c>
    </row>
    <row r="180" spans="1:12" x14ac:dyDescent="0.25">
      <c r="A180" s="22">
        <v>99</v>
      </c>
      <c r="B180" s="22" t="s">
        <v>35</v>
      </c>
      <c r="C180" t="s">
        <v>1557</v>
      </c>
      <c r="D180" s="22" t="s">
        <v>12</v>
      </c>
      <c r="L180" s="22">
        <v>0</v>
      </c>
    </row>
    <row r="181" spans="1:12" x14ac:dyDescent="0.25">
      <c r="A181" s="22">
        <v>101</v>
      </c>
      <c r="B181" s="22">
        <v>3000000008</v>
      </c>
      <c r="C181" t="s">
        <v>1565</v>
      </c>
      <c r="D181" s="22" t="s">
        <v>12</v>
      </c>
      <c r="L181" s="22">
        <v>0</v>
      </c>
    </row>
    <row r="182" spans="1:12" x14ac:dyDescent="0.25">
      <c r="A182" s="22">
        <v>178</v>
      </c>
      <c r="B182" s="22" t="s">
        <v>35</v>
      </c>
      <c r="C182" t="s">
        <v>1662</v>
      </c>
      <c r="D182" s="22" t="s">
        <v>12</v>
      </c>
      <c r="L182" s="22">
        <v>0</v>
      </c>
    </row>
    <row r="183" spans="1:12" x14ac:dyDescent="0.25">
      <c r="A183" s="22">
        <v>80</v>
      </c>
      <c r="B183" s="22" t="s">
        <v>35</v>
      </c>
      <c r="C183" t="s">
        <v>1574</v>
      </c>
      <c r="D183" s="22" t="s">
        <v>12</v>
      </c>
      <c r="L183" s="22">
        <v>0</v>
      </c>
    </row>
    <row r="184" spans="1:12" x14ac:dyDescent="0.25">
      <c r="A184" s="22">
        <v>81</v>
      </c>
      <c r="B184" s="22">
        <v>1000014673</v>
      </c>
      <c r="C184" t="s">
        <v>1575</v>
      </c>
      <c r="D184" s="22" t="s">
        <v>12</v>
      </c>
      <c r="L184" s="22">
        <v>0</v>
      </c>
    </row>
    <row r="185" spans="1:12" x14ac:dyDescent="0.25">
      <c r="A185" s="22">
        <v>181</v>
      </c>
      <c r="B185" s="22">
        <v>4000021502</v>
      </c>
      <c r="C185" t="s">
        <v>1576</v>
      </c>
      <c r="D185" s="22" t="s">
        <v>12</v>
      </c>
      <c r="L185" s="22">
        <v>0</v>
      </c>
    </row>
    <row r="186" spans="1:12" x14ac:dyDescent="0.25">
      <c r="A186" s="22">
        <v>100</v>
      </c>
      <c r="B186" s="22">
        <v>3000002696</v>
      </c>
      <c r="C186" t="s">
        <v>1580</v>
      </c>
      <c r="D186" s="22" t="s">
        <v>12</v>
      </c>
      <c r="L186" s="22">
        <v>0</v>
      </c>
    </row>
    <row r="187" spans="1:12" x14ac:dyDescent="0.25">
      <c r="A187" s="22">
        <v>101</v>
      </c>
      <c r="B187" s="22">
        <v>3000000707</v>
      </c>
      <c r="C187" t="s">
        <v>1618</v>
      </c>
      <c r="D187" s="22" t="s">
        <v>12</v>
      </c>
      <c r="L187" s="22">
        <v>0</v>
      </c>
    </row>
  </sheetData>
  <autoFilter ref="A4:K163"/>
  <mergeCells count="3">
    <mergeCell ref="A1:A2"/>
    <mergeCell ref="B1:B2"/>
    <mergeCell ref="C1:C2"/>
  </mergeCells>
  <conditionalFormatting sqref="A1:XFD1048576">
    <cfRule type="expression" dxfId="369" priority="1" stopIfTrue="1">
      <formula>AND(ROW()&gt;=1,ROW()&lt;=1048576)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87"/>
  <sheetViews>
    <sheetView workbookViewId="0">
      <pane xSplit="5" topLeftCell="F1" activePane="topRight" state="frozen"/>
      <selection pane="topRight" activeCell="G11" sqref="G11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7" width="11" style="22" customWidth="1"/>
    <col min="8" max="8" width="11" style="22" bestFit="1" customWidth="1"/>
    <col min="9" max="23" width="9.140625" style="22" customWidth="1"/>
    <col min="24" max="24" width="9.140625" customWidth="1"/>
    <col min="25" max="25" width="9.140625" style="22"/>
  </cols>
  <sheetData>
    <row r="1" spans="1:25" ht="26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3</v>
      </c>
      <c r="E1" s="27" t="s">
        <v>188</v>
      </c>
      <c r="F1" s="26" t="s">
        <v>208</v>
      </c>
      <c r="G1" s="26" t="s">
        <v>208</v>
      </c>
      <c r="H1" s="26" t="s">
        <v>208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5" t="s">
        <v>177</v>
      </c>
    </row>
    <row r="2" spans="1:25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209</v>
      </c>
      <c r="G2" s="25" t="s">
        <v>210</v>
      </c>
      <c r="H2" s="25" t="s">
        <v>212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</row>
    <row r="3" spans="1:25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34">
        <v>45761</v>
      </c>
      <c r="G3" s="34">
        <v>45761</v>
      </c>
      <c r="H3" s="34">
        <v>45774</v>
      </c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</row>
    <row r="4" spans="1:25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Y5" s="22">
        <v>0</v>
      </c>
    </row>
    <row r="6" spans="1:25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Y6" s="22">
        <v>0</v>
      </c>
    </row>
    <row r="7" spans="1:25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Y7" s="22">
        <v>0</v>
      </c>
    </row>
    <row r="8" spans="1:25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Y8" s="22">
        <v>0</v>
      </c>
    </row>
    <row r="9" spans="1:25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Y9" s="22">
        <v>0</v>
      </c>
    </row>
    <row r="10" spans="1:25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F10" s="22">
        <v>20</v>
      </c>
      <c r="Y10" s="22">
        <v>20</v>
      </c>
    </row>
    <row r="11" spans="1:25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Y11" s="22">
        <v>0</v>
      </c>
    </row>
    <row r="12" spans="1:25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Y12" s="22">
        <v>0</v>
      </c>
    </row>
    <row r="13" spans="1:25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Y13" s="22">
        <v>0</v>
      </c>
    </row>
    <row r="14" spans="1:25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Y14" s="22">
        <v>0</v>
      </c>
    </row>
    <row r="15" spans="1:25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Y15" s="22">
        <v>0</v>
      </c>
    </row>
    <row r="16" spans="1:25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Y16" s="22">
        <v>0</v>
      </c>
    </row>
    <row r="17" spans="1:25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Y17" s="22">
        <v>0</v>
      </c>
    </row>
    <row r="18" spans="1:25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Y18" s="22">
        <v>0</v>
      </c>
    </row>
    <row r="19" spans="1:25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H19" s="22">
        <v>124</v>
      </c>
      <c r="Y19" s="22">
        <v>124</v>
      </c>
    </row>
    <row r="20" spans="1:25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Y20" s="22">
        <v>0</v>
      </c>
    </row>
    <row r="21" spans="1:25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Y21" s="22">
        <v>0</v>
      </c>
    </row>
    <row r="22" spans="1:25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Y22" s="22">
        <v>0</v>
      </c>
    </row>
    <row r="23" spans="1:25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Y23" s="22">
        <v>0</v>
      </c>
    </row>
    <row r="24" spans="1:25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Y24" s="22">
        <v>0</v>
      </c>
    </row>
    <row r="25" spans="1:25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Y25" s="22">
        <v>0</v>
      </c>
    </row>
    <row r="26" spans="1:25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Y26" s="22">
        <v>0</v>
      </c>
    </row>
    <row r="27" spans="1:25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F27" s="22">
        <v>250</v>
      </c>
      <c r="Y27" s="22">
        <v>250</v>
      </c>
    </row>
    <row r="28" spans="1:25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Y28" s="22">
        <v>0</v>
      </c>
    </row>
    <row r="29" spans="1:25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Y29" s="22">
        <v>0</v>
      </c>
    </row>
    <row r="30" spans="1:25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Y30" s="22">
        <v>0</v>
      </c>
    </row>
    <row r="31" spans="1:25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Y31" s="22">
        <v>0</v>
      </c>
    </row>
    <row r="32" spans="1:25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Y32" s="22">
        <v>0</v>
      </c>
    </row>
    <row r="33" spans="1:25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Y33" s="22">
        <v>0</v>
      </c>
    </row>
    <row r="34" spans="1:25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Y34" s="22">
        <v>0</v>
      </c>
    </row>
    <row r="35" spans="1:25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Y35" s="22">
        <v>0</v>
      </c>
    </row>
    <row r="36" spans="1:25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Y36" s="22">
        <v>0</v>
      </c>
    </row>
    <row r="37" spans="1:25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Y37" s="22">
        <v>0</v>
      </c>
    </row>
    <row r="38" spans="1:25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Y38" s="22">
        <v>0</v>
      </c>
    </row>
    <row r="39" spans="1:25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Y39" s="22">
        <v>0</v>
      </c>
    </row>
    <row r="40" spans="1:25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Y40" s="22">
        <v>0</v>
      </c>
    </row>
    <row r="41" spans="1:25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Y41" s="22">
        <v>0</v>
      </c>
    </row>
    <row r="42" spans="1:25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Y42" s="22">
        <v>0</v>
      </c>
    </row>
    <row r="43" spans="1:25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Y43" s="22">
        <v>0</v>
      </c>
    </row>
    <row r="44" spans="1:25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Y44" s="22">
        <v>0</v>
      </c>
    </row>
    <row r="45" spans="1:25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Y45" s="22">
        <v>0</v>
      </c>
    </row>
    <row r="46" spans="1:25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Y46" s="22">
        <v>0</v>
      </c>
    </row>
    <row r="47" spans="1:25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Y47" s="22">
        <v>0</v>
      </c>
    </row>
    <row r="48" spans="1:25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Y48" s="22">
        <v>0</v>
      </c>
    </row>
    <row r="49" spans="1:25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Y49" s="22">
        <v>0</v>
      </c>
    </row>
    <row r="50" spans="1:25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Y50" s="22">
        <v>0</v>
      </c>
    </row>
    <row r="51" spans="1:25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Y51" s="22">
        <v>0</v>
      </c>
    </row>
    <row r="52" spans="1:25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Y52" s="22">
        <v>0</v>
      </c>
    </row>
    <row r="53" spans="1:25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Y53" s="22">
        <v>0</v>
      </c>
    </row>
    <row r="54" spans="1:25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Y54" s="22">
        <v>0</v>
      </c>
    </row>
    <row r="55" spans="1:25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Y55" s="22">
        <v>0</v>
      </c>
    </row>
    <row r="56" spans="1:25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Y56" s="22">
        <v>0</v>
      </c>
    </row>
    <row r="57" spans="1:25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Y57" s="22">
        <v>0</v>
      </c>
    </row>
    <row r="58" spans="1:25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Y58" s="22">
        <v>0</v>
      </c>
    </row>
    <row r="59" spans="1:25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Y59" s="22">
        <v>0</v>
      </c>
    </row>
    <row r="60" spans="1:25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Y60" s="22">
        <v>0</v>
      </c>
    </row>
    <row r="61" spans="1:25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Y61" s="22">
        <v>0</v>
      </c>
    </row>
    <row r="62" spans="1:25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Y62" s="22">
        <v>0</v>
      </c>
    </row>
    <row r="63" spans="1:25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Y63" s="22">
        <v>0</v>
      </c>
    </row>
    <row r="64" spans="1:25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Y64" s="22">
        <v>0</v>
      </c>
    </row>
    <row r="65" spans="1:25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Y65" s="22">
        <v>0</v>
      </c>
    </row>
    <row r="66" spans="1:25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Y66" s="22">
        <v>0</v>
      </c>
    </row>
    <row r="67" spans="1:25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Y67" s="22">
        <v>0</v>
      </c>
    </row>
    <row r="68" spans="1:25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F68" s="22">
        <v>100</v>
      </c>
      <c r="Y68" s="22">
        <v>100</v>
      </c>
    </row>
    <row r="69" spans="1:25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H69" s="22">
        <v>100</v>
      </c>
      <c r="Y69" s="22">
        <v>100</v>
      </c>
    </row>
    <row r="70" spans="1:25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Y70" s="22">
        <v>0</v>
      </c>
    </row>
    <row r="71" spans="1:25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H71" s="22">
        <v>200</v>
      </c>
      <c r="Y71" s="22">
        <v>200</v>
      </c>
    </row>
    <row r="72" spans="1:25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Y72" s="22">
        <v>0</v>
      </c>
    </row>
    <row r="73" spans="1:25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Y73" s="22">
        <v>0</v>
      </c>
    </row>
    <row r="74" spans="1:25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Y74" s="22">
        <v>0</v>
      </c>
    </row>
    <row r="75" spans="1:25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Y75" s="22">
        <v>0</v>
      </c>
    </row>
    <row r="76" spans="1:25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Y76" s="22">
        <v>0</v>
      </c>
    </row>
    <row r="77" spans="1:25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Y77" s="22">
        <v>0</v>
      </c>
    </row>
    <row r="78" spans="1:25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Y78" s="22">
        <v>0</v>
      </c>
    </row>
    <row r="79" spans="1:25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Y79" s="22">
        <v>0</v>
      </c>
    </row>
    <row r="80" spans="1:25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Y80" s="22">
        <v>0</v>
      </c>
    </row>
    <row r="81" spans="1:25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Y81" s="22">
        <v>0</v>
      </c>
    </row>
    <row r="82" spans="1:25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Y82" s="22">
        <v>0</v>
      </c>
    </row>
    <row r="83" spans="1:25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Y83" s="22">
        <v>0</v>
      </c>
    </row>
    <row r="84" spans="1:25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Y84" s="22">
        <v>0</v>
      </c>
    </row>
    <row r="85" spans="1:25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Y85" s="22">
        <v>0</v>
      </c>
    </row>
    <row r="86" spans="1:25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Y86" s="22">
        <v>0</v>
      </c>
    </row>
    <row r="87" spans="1:25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Y87" s="22">
        <v>0</v>
      </c>
    </row>
    <row r="88" spans="1:25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Y88" s="22">
        <v>0</v>
      </c>
    </row>
    <row r="89" spans="1:25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Y89" s="22">
        <v>0</v>
      </c>
    </row>
    <row r="90" spans="1:25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Y90" s="22">
        <v>0</v>
      </c>
    </row>
    <row r="91" spans="1:25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Y91" s="22">
        <v>0</v>
      </c>
    </row>
    <row r="92" spans="1:25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Y92" s="22">
        <v>0</v>
      </c>
    </row>
    <row r="93" spans="1:25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Y93" s="22">
        <v>0</v>
      </c>
    </row>
    <row r="94" spans="1:25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Y94" s="22">
        <v>0</v>
      </c>
    </row>
    <row r="95" spans="1:25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Y95" s="22">
        <v>0</v>
      </c>
    </row>
    <row r="96" spans="1:25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Y96" s="22">
        <v>0</v>
      </c>
    </row>
    <row r="97" spans="1:25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Y97" s="22">
        <v>0</v>
      </c>
    </row>
    <row r="98" spans="1:25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Y98" s="22">
        <v>0</v>
      </c>
    </row>
    <row r="99" spans="1:25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Y99" s="22">
        <v>0</v>
      </c>
    </row>
    <row r="100" spans="1:25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Y100" s="22">
        <v>0</v>
      </c>
    </row>
    <row r="101" spans="1:25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Y101" s="22">
        <v>0</v>
      </c>
    </row>
    <row r="102" spans="1:25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Y102" s="22">
        <v>0</v>
      </c>
    </row>
    <row r="103" spans="1:25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Y103" s="22">
        <v>0</v>
      </c>
    </row>
    <row r="104" spans="1:25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Y104" s="22">
        <v>0</v>
      </c>
    </row>
    <row r="105" spans="1:25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Y105" s="22">
        <v>0</v>
      </c>
    </row>
    <row r="106" spans="1:25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G106" s="22">
        <v>250</v>
      </c>
      <c r="Y106" s="22">
        <v>250</v>
      </c>
    </row>
    <row r="107" spans="1:25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Y107" s="22">
        <v>0</v>
      </c>
    </row>
    <row r="108" spans="1:25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Y108" s="22">
        <v>0</v>
      </c>
    </row>
    <row r="109" spans="1:25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F109" s="22">
        <v>500</v>
      </c>
      <c r="Y109" s="22">
        <v>500</v>
      </c>
    </row>
    <row r="110" spans="1:25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Y110" s="22">
        <v>0</v>
      </c>
    </row>
    <row r="111" spans="1:25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Y111" s="22">
        <v>0</v>
      </c>
    </row>
    <row r="112" spans="1:25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Y112" s="22">
        <v>0</v>
      </c>
    </row>
    <row r="113" spans="1:25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Y113" s="22">
        <v>0</v>
      </c>
    </row>
    <row r="114" spans="1:25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Y114" s="22">
        <v>0</v>
      </c>
    </row>
    <row r="115" spans="1:25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Y115" s="22">
        <v>0</v>
      </c>
    </row>
    <row r="116" spans="1:25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Y116" s="22">
        <v>0</v>
      </c>
    </row>
    <row r="117" spans="1:25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Y117" s="22">
        <v>0</v>
      </c>
    </row>
    <row r="118" spans="1:25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Y118" s="22">
        <v>0</v>
      </c>
    </row>
    <row r="119" spans="1:25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Y119" s="22">
        <v>0</v>
      </c>
    </row>
    <row r="120" spans="1:25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Y120" s="22">
        <v>0</v>
      </c>
    </row>
    <row r="121" spans="1:25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Y121" s="22">
        <v>0</v>
      </c>
    </row>
    <row r="122" spans="1:25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Y122" s="22">
        <v>0</v>
      </c>
    </row>
    <row r="123" spans="1:25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Y123" s="22">
        <v>0</v>
      </c>
    </row>
    <row r="124" spans="1:25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Y124" s="22">
        <v>0</v>
      </c>
    </row>
    <row r="125" spans="1:25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Y125" s="22">
        <v>0</v>
      </c>
    </row>
    <row r="126" spans="1:25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G126" s="22">
        <v>100</v>
      </c>
      <c r="Y126" s="22">
        <v>100</v>
      </c>
    </row>
    <row r="127" spans="1:25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G127" s="22">
        <v>6</v>
      </c>
      <c r="Y127" s="22">
        <v>6</v>
      </c>
    </row>
    <row r="128" spans="1:25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Y128" s="22">
        <v>0</v>
      </c>
    </row>
    <row r="129" spans="1:25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F129" s="22">
        <v>75</v>
      </c>
      <c r="Y129" s="22">
        <v>75</v>
      </c>
    </row>
    <row r="130" spans="1:25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F130" s="22">
        <v>75</v>
      </c>
      <c r="Y130" s="22">
        <v>75</v>
      </c>
    </row>
    <row r="131" spans="1:25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Y131" s="22">
        <v>0</v>
      </c>
    </row>
    <row r="132" spans="1:25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Y132" s="22">
        <v>0</v>
      </c>
    </row>
    <row r="133" spans="1:25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Y133" s="22">
        <v>0</v>
      </c>
    </row>
    <row r="134" spans="1:25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Y134" s="22">
        <v>0</v>
      </c>
    </row>
    <row r="135" spans="1:25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G135" s="22">
        <v>50</v>
      </c>
      <c r="Y135" s="22">
        <v>50</v>
      </c>
    </row>
    <row r="136" spans="1:25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Y136" s="22">
        <v>0</v>
      </c>
    </row>
    <row r="137" spans="1:25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Y137" s="22">
        <v>0</v>
      </c>
    </row>
    <row r="138" spans="1:25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Y138" s="22">
        <v>0</v>
      </c>
    </row>
    <row r="139" spans="1:25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Y139" s="22">
        <v>0</v>
      </c>
    </row>
    <row r="140" spans="1:25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Y140" s="22">
        <v>0</v>
      </c>
    </row>
    <row r="141" spans="1:25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Y141" s="22">
        <v>0</v>
      </c>
    </row>
    <row r="142" spans="1:25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Y142" s="22">
        <v>0</v>
      </c>
    </row>
    <row r="143" spans="1:25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F143" s="22">
        <v>250</v>
      </c>
      <c r="Y143" s="22">
        <v>250</v>
      </c>
    </row>
    <row r="144" spans="1:25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Y144" s="22">
        <v>0</v>
      </c>
    </row>
    <row r="145" spans="1:25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F145" s="22">
        <v>200</v>
      </c>
      <c r="Y145" s="22">
        <v>200</v>
      </c>
    </row>
    <row r="146" spans="1:25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Y146" s="22">
        <v>0</v>
      </c>
    </row>
    <row r="147" spans="1:25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Y147" s="22">
        <v>0</v>
      </c>
    </row>
    <row r="148" spans="1:25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F148" s="22">
        <v>100</v>
      </c>
      <c r="Y148" s="22">
        <v>100</v>
      </c>
    </row>
    <row r="149" spans="1:25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Y149" s="22">
        <v>0</v>
      </c>
    </row>
    <row r="150" spans="1:25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F150" s="22">
        <v>155</v>
      </c>
      <c r="Y150" s="22">
        <v>155</v>
      </c>
    </row>
    <row r="151" spans="1:25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Y151" s="22">
        <v>0</v>
      </c>
    </row>
    <row r="152" spans="1:25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Y152" s="22">
        <v>0</v>
      </c>
    </row>
    <row r="153" spans="1:25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Y153" s="22">
        <v>0</v>
      </c>
    </row>
    <row r="154" spans="1:25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Y154" s="22">
        <v>0</v>
      </c>
    </row>
    <row r="155" spans="1:25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Y155" s="22">
        <v>0</v>
      </c>
    </row>
    <row r="156" spans="1:25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Y156" s="22">
        <v>0</v>
      </c>
    </row>
    <row r="157" spans="1:25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Y157" s="22">
        <v>0</v>
      </c>
    </row>
    <row r="158" spans="1:25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F158" s="22">
        <v>89</v>
      </c>
      <c r="H158" s="22">
        <v>40</v>
      </c>
      <c r="Y158" s="22">
        <v>129</v>
      </c>
    </row>
    <row r="159" spans="1:25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F159" s="22">
        <v>21</v>
      </c>
      <c r="Y159" s="22">
        <v>21</v>
      </c>
    </row>
    <row r="160" spans="1:25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Y160" s="22">
        <v>0</v>
      </c>
    </row>
    <row r="161" spans="1:25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Y161" s="22">
        <v>0</v>
      </c>
    </row>
    <row r="162" spans="1:25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Y162" s="22">
        <v>0</v>
      </c>
    </row>
    <row r="163" spans="1:25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Y163" s="22">
        <v>0</v>
      </c>
    </row>
    <row r="164" spans="1:25" x14ac:dyDescent="0.25">
      <c r="A164" s="22">
        <v>160</v>
      </c>
      <c r="B164" s="22">
        <v>3000003029</v>
      </c>
      <c r="C164" s="12" t="s">
        <v>211</v>
      </c>
      <c r="D164" s="22" t="s">
        <v>12</v>
      </c>
      <c r="G164" s="22">
        <v>6</v>
      </c>
      <c r="Y164" s="22">
        <v>6</v>
      </c>
    </row>
    <row r="165" spans="1:25" x14ac:dyDescent="0.25">
      <c r="A165" s="22">
        <v>161</v>
      </c>
      <c r="B165" s="22">
        <v>3000003029</v>
      </c>
      <c r="C165" t="s">
        <v>297</v>
      </c>
      <c r="D165" s="22" t="s">
        <v>12</v>
      </c>
      <c r="Y165" s="22">
        <v>0</v>
      </c>
    </row>
    <row r="166" spans="1:25" x14ac:dyDescent="0.25">
      <c r="A166" s="22">
        <v>162</v>
      </c>
      <c r="B166" s="22">
        <v>1000006010</v>
      </c>
      <c r="C166" t="s">
        <v>298</v>
      </c>
      <c r="D166" s="22" t="s">
        <v>12</v>
      </c>
      <c r="Y166" s="22">
        <v>0</v>
      </c>
    </row>
    <row r="167" spans="1:25" x14ac:dyDescent="0.25">
      <c r="A167" s="22">
        <v>163</v>
      </c>
      <c r="B167" s="22">
        <v>3000001220</v>
      </c>
      <c r="C167" t="s">
        <v>300</v>
      </c>
      <c r="D167" s="22" t="s">
        <v>12</v>
      </c>
      <c r="Y167" s="22">
        <v>0</v>
      </c>
    </row>
    <row r="168" spans="1:25" x14ac:dyDescent="0.25">
      <c r="A168" s="22">
        <v>164</v>
      </c>
      <c r="B168" s="22">
        <v>3000001221</v>
      </c>
      <c r="C168" t="s">
        <v>302</v>
      </c>
      <c r="D168" s="22" t="s">
        <v>12</v>
      </c>
      <c r="Y168" s="22">
        <v>0</v>
      </c>
    </row>
    <row r="169" spans="1:25" x14ac:dyDescent="0.25">
      <c r="A169" s="22">
        <v>165</v>
      </c>
      <c r="B169" s="22">
        <v>3000001223</v>
      </c>
      <c r="C169" t="s">
        <v>304</v>
      </c>
      <c r="D169" s="22" t="s">
        <v>12</v>
      </c>
      <c r="Y169" s="22">
        <v>0</v>
      </c>
    </row>
    <row r="170" spans="1:25" x14ac:dyDescent="0.25">
      <c r="A170" s="22">
        <v>166</v>
      </c>
      <c r="B170" s="22">
        <v>3000001224</v>
      </c>
      <c r="C170" t="s">
        <v>306</v>
      </c>
      <c r="D170" s="22" t="s">
        <v>12</v>
      </c>
      <c r="Y170" s="22">
        <v>0</v>
      </c>
    </row>
    <row r="171" spans="1:25" x14ac:dyDescent="0.25">
      <c r="A171" s="22">
        <v>167</v>
      </c>
      <c r="B171" s="22">
        <v>3000003827</v>
      </c>
      <c r="C171" t="s">
        <v>446</v>
      </c>
      <c r="D171" s="22" t="s">
        <v>12</v>
      </c>
      <c r="Y171" s="22">
        <v>0</v>
      </c>
    </row>
    <row r="172" spans="1:25" x14ac:dyDescent="0.25">
      <c r="A172" s="22">
        <v>168</v>
      </c>
      <c r="B172" s="22">
        <v>3000001802</v>
      </c>
      <c r="C172" t="s">
        <v>448</v>
      </c>
      <c r="D172" s="22" t="s">
        <v>12</v>
      </c>
      <c r="Y172" s="22">
        <v>0</v>
      </c>
    </row>
    <row r="173" spans="1:25" x14ac:dyDescent="0.25">
      <c r="A173" s="22">
        <v>169</v>
      </c>
      <c r="B173" s="22" t="s">
        <v>35</v>
      </c>
      <c r="C173" t="s">
        <v>449</v>
      </c>
      <c r="D173" s="22" t="s">
        <v>12</v>
      </c>
      <c r="Y173" s="22">
        <v>0</v>
      </c>
    </row>
    <row r="174" spans="1:25" x14ac:dyDescent="0.25">
      <c r="A174" s="22">
        <v>170</v>
      </c>
      <c r="B174" s="22" t="s">
        <v>35</v>
      </c>
      <c r="C174" t="s">
        <v>450</v>
      </c>
      <c r="D174" s="22" t="s">
        <v>12</v>
      </c>
      <c r="Y174" s="22">
        <v>0</v>
      </c>
    </row>
    <row r="175" spans="1:25" x14ac:dyDescent="0.25">
      <c r="A175" s="22">
        <v>171</v>
      </c>
      <c r="B175" s="22" t="s">
        <v>35</v>
      </c>
      <c r="C175" t="s">
        <v>510</v>
      </c>
      <c r="D175" s="22" t="s">
        <v>12</v>
      </c>
      <c r="Y175" s="22">
        <v>0</v>
      </c>
    </row>
    <row r="176" spans="1:25" x14ac:dyDescent="0.25">
      <c r="A176" s="22">
        <v>172</v>
      </c>
      <c r="B176" s="22" t="s">
        <v>35</v>
      </c>
      <c r="C176" t="s">
        <v>516</v>
      </c>
      <c r="D176" s="22" t="s">
        <v>12</v>
      </c>
      <c r="Y176" s="22">
        <v>0</v>
      </c>
    </row>
    <row r="177" spans="1:25" x14ac:dyDescent="0.25">
      <c r="A177" s="22">
        <v>173</v>
      </c>
      <c r="B177" s="22" t="s">
        <v>35</v>
      </c>
      <c r="C177" t="s">
        <v>600</v>
      </c>
      <c r="D177" s="22" t="s">
        <v>12</v>
      </c>
      <c r="Y177" s="22">
        <v>0</v>
      </c>
    </row>
    <row r="178" spans="1:25" x14ac:dyDescent="0.25">
      <c r="A178" s="22">
        <v>174</v>
      </c>
      <c r="B178" s="22" t="s">
        <v>35</v>
      </c>
      <c r="C178" t="s">
        <v>601</v>
      </c>
      <c r="D178" s="22" t="s">
        <v>12</v>
      </c>
      <c r="Y178" s="22">
        <v>0</v>
      </c>
    </row>
    <row r="179" spans="1:25" x14ac:dyDescent="0.25">
      <c r="A179" s="22">
        <v>99</v>
      </c>
      <c r="B179" s="22" t="s">
        <v>35</v>
      </c>
      <c r="C179" t="s">
        <v>1383</v>
      </c>
      <c r="D179" s="22" t="s">
        <v>12</v>
      </c>
      <c r="Y179" s="22">
        <v>0</v>
      </c>
    </row>
    <row r="180" spans="1:25" x14ac:dyDescent="0.25">
      <c r="A180" s="22">
        <v>99</v>
      </c>
      <c r="B180" s="22" t="s">
        <v>35</v>
      </c>
      <c r="C180" t="s">
        <v>1557</v>
      </c>
      <c r="D180" s="22" t="s">
        <v>12</v>
      </c>
      <c r="Y180" s="22">
        <v>0</v>
      </c>
    </row>
    <row r="181" spans="1:25" x14ac:dyDescent="0.25">
      <c r="A181" s="22">
        <v>101</v>
      </c>
      <c r="B181" s="22">
        <v>3000000008</v>
      </c>
      <c r="C181" t="s">
        <v>1565</v>
      </c>
      <c r="D181" s="22" t="s">
        <v>12</v>
      </c>
      <c r="Y181" s="22">
        <v>0</v>
      </c>
    </row>
    <row r="182" spans="1:25" x14ac:dyDescent="0.25">
      <c r="A182" s="22">
        <v>178</v>
      </c>
      <c r="B182" s="22" t="s">
        <v>35</v>
      </c>
      <c r="C182" t="s">
        <v>1662</v>
      </c>
      <c r="D182" s="22" t="s">
        <v>12</v>
      </c>
      <c r="Y182" s="22">
        <v>0</v>
      </c>
    </row>
    <row r="183" spans="1:25" x14ac:dyDescent="0.25">
      <c r="A183" s="22">
        <v>80</v>
      </c>
      <c r="B183" s="22" t="s">
        <v>35</v>
      </c>
      <c r="C183" t="s">
        <v>1574</v>
      </c>
      <c r="D183" s="22" t="s">
        <v>12</v>
      </c>
      <c r="Y183" s="22">
        <v>0</v>
      </c>
    </row>
    <row r="184" spans="1:25" x14ac:dyDescent="0.25">
      <c r="A184" s="22">
        <v>81</v>
      </c>
      <c r="B184" s="22">
        <v>1000014673</v>
      </c>
      <c r="C184" t="s">
        <v>1575</v>
      </c>
      <c r="D184" s="22" t="s">
        <v>12</v>
      </c>
      <c r="Y184" s="22">
        <v>0</v>
      </c>
    </row>
    <row r="185" spans="1:25" x14ac:dyDescent="0.25">
      <c r="A185" s="22">
        <v>181</v>
      </c>
      <c r="B185" s="22">
        <v>4000021502</v>
      </c>
      <c r="C185" t="s">
        <v>1576</v>
      </c>
      <c r="D185" s="22" t="s">
        <v>12</v>
      </c>
      <c r="Y185" s="22">
        <v>0</v>
      </c>
    </row>
    <row r="186" spans="1:25" x14ac:dyDescent="0.25">
      <c r="A186" s="22">
        <v>100</v>
      </c>
      <c r="B186" s="22">
        <v>3000002696</v>
      </c>
      <c r="C186" t="s">
        <v>1580</v>
      </c>
      <c r="D186" s="22" t="s">
        <v>12</v>
      </c>
      <c r="Y186" s="22">
        <v>0</v>
      </c>
    </row>
    <row r="187" spans="1:25" x14ac:dyDescent="0.25">
      <c r="A187" s="22">
        <v>101</v>
      </c>
      <c r="B187" s="22">
        <v>3000000707</v>
      </c>
      <c r="C187" t="s">
        <v>1618</v>
      </c>
      <c r="D187" s="22" t="s">
        <v>12</v>
      </c>
      <c r="Y187" s="22">
        <v>0</v>
      </c>
    </row>
  </sheetData>
  <autoFilter ref="A4:X163"/>
  <mergeCells count="3">
    <mergeCell ref="A1:A2"/>
    <mergeCell ref="B1:B2"/>
    <mergeCell ref="C1:C2"/>
  </mergeCells>
  <conditionalFormatting sqref="A11:XFD11">
    <cfRule type="expression" dxfId="368" priority="1" stopIfTrue="1">
      <formula>AND(ROW()&gt;=11,ROW()&lt;=11)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187"/>
  <sheetViews>
    <sheetView workbookViewId="0">
      <pane xSplit="5" ySplit="4" topLeftCell="J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11.140625" customWidth="1"/>
    <col min="6" max="28" width="9.85546875" style="22" customWidth="1"/>
    <col min="29" max="30" width="9.140625" style="22" customWidth="1"/>
  </cols>
  <sheetData>
    <row r="1" spans="1:30" ht="24.75" customHeight="1" thickBot="1" x14ac:dyDescent="0.3">
      <c r="A1" s="149" t="s">
        <v>1</v>
      </c>
      <c r="B1" s="149" t="s">
        <v>174</v>
      </c>
      <c r="C1" s="160" t="s">
        <v>175</v>
      </c>
      <c r="D1" s="80">
        <f>COUNTA(F1:XFD1)-1</f>
        <v>21</v>
      </c>
      <c r="E1" s="27" t="s">
        <v>188</v>
      </c>
      <c r="F1" s="27" t="s">
        <v>438</v>
      </c>
      <c r="G1" s="27" t="s">
        <v>438</v>
      </c>
      <c r="H1" s="27" t="s">
        <v>438</v>
      </c>
      <c r="I1" s="27" t="s">
        <v>438</v>
      </c>
      <c r="J1" s="27" t="s">
        <v>438</v>
      </c>
      <c r="K1" s="27" t="s">
        <v>438</v>
      </c>
      <c r="L1" s="27" t="s">
        <v>438</v>
      </c>
      <c r="M1" s="27" t="s">
        <v>438</v>
      </c>
      <c r="N1" s="27" t="s">
        <v>438</v>
      </c>
      <c r="O1" s="27" t="s">
        <v>438</v>
      </c>
      <c r="P1" s="27" t="s">
        <v>438</v>
      </c>
      <c r="Q1" s="27" t="s">
        <v>438</v>
      </c>
      <c r="R1" s="27" t="s">
        <v>438</v>
      </c>
      <c r="S1" s="27" t="s">
        <v>438</v>
      </c>
      <c r="T1" s="27" t="s">
        <v>438</v>
      </c>
      <c r="U1" s="27" t="s">
        <v>438</v>
      </c>
      <c r="V1" s="27" t="s">
        <v>438</v>
      </c>
      <c r="W1" s="27" t="s">
        <v>438</v>
      </c>
      <c r="X1" s="27" t="s">
        <v>438</v>
      </c>
      <c r="Y1" s="27" t="s">
        <v>438</v>
      </c>
      <c r="Z1" s="27" t="s">
        <v>438</v>
      </c>
      <c r="AA1" s="27"/>
      <c r="AB1" s="27"/>
      <c r="AC1" s="27"/>
      <c r="AD1" s="25" t="s">
        <v>177</v>
      </c>
    </row>
    <row r="2" spans="1:30" s="42" customFormat="1" ht="29.25" customHeight="1" thickBot="1" x14ac:dyDescent="0.3">
      <c r="A2" s="150"/>
      <c r="B2" s="150"/>
      <c r="C2" s="161"/>
      <c r="D2" s="132" t="s">
        <v>176</v>
      </c>
      <c r="E2" s="4" t="s">
        <v>186</v>
      </c>
      <c r="F2" s="41" t="s">
        <v>1783</v>
      </c>
      <c r="G2" s="41" t="s">
        <v>1784</v>
      </c>
      <c r="H2" s="41" t="s">
        <v>1785</v>
      </c>
      <c r="I2" s="41" t="s">
        <v>1786</v>
      </c>
      <c r="J2" s="41" t="s">
        <v>1787</v>
      </c>
      <c r="K2" s="41" t="s">
        <v>1788</v>
      </c>
      <c r="L2" s="41" t="s">
        <v>1789</v>
      </c>
      <c r="M2" s="41" t="s">
        <v>1790</v>
      </c>
      <c r="N2" s="41" t="s">
        <v>1791</v>
      </c>
      <c r="O2" s="41" t="s">
        <v>1792</v>
      </c>
      <c r="P2" s="41" t="s">
        <v>1793</v>
      </c>
      <c r="Q2" s="41" t="s">
        <v>1794</v>
      </c>
      <c r="R2" s="41" t="s">
        <v>1795</v>
      </c>
      <c r="S2" s="41" t="s">
        <v>1796</v>
      </c>
      <c r="T2" s="41" t="s">
        <v>1797</v>
      </c>
      <c r="U2" s="41" t="s">
        <v>1798</v>
      </c>
      <c r="V2" s="41" t="s">
        <v>1799</v>
      </c>
      <c r="W2" s="41" t="s">
        <v>1800</v>
      </c>
      <c r="X2" s="41" t="s">
        <v>1801</v>
      </c>
      <c r="Y2" s="41" t="s">
        <v>1802</v>
      </c>
      <c r="Z2" s="41" t="s">
        <v>1803</v>
      </c>
      <c r="AA2" s="41"/>
      <c r="AB2" s="41"/>
      <c r="AC2" s="41"/>
      <c r="AD2" s="41"/>
    </row>
    <row r="3" spans="1:30" s="28" customFormat="1" ht="12" customHeight="1" x14ac:dyDescent="0.25">
      <c r="A3" s="26"/>
      <c r="B3" s="26"/>
      <c r="C3" s="26" t="s">
        <v>10</v>
      </c>
      <c r="D3" s="40"/>
      <c r="E3" s="38" t="s">
        <v>187</v>
      </c>
      <c r="F3" s="27">
        <v>46023</v>
      </c>
      <c r="G3" s="27">
        <v>46023</v>
      </c>
      <c r="H3" s="27">
        <v>46023</v>
      </c>
      <c r="I3" s="27">
        <v>46023</v>
      </c>
      <c r="J3" s="27">
        <v>46023</v>
      </c>
      <c r="K3" s="27">
        <v>46023</v>
      </c>
      <c r="L3" s="27">
        <v>46026</v>
      </c>
      <c r="M3" s="27">
        <v>46026</v>
      </c>
      <c r="N3" s="27">
        <v>46026</v>
      </c>
      <c r="O3" s="27">
        <v>46026</v>
      </c>
      <c r="P3" s="27">
        <v>46026</v>
      </c>
      <c r="Q3" s="27">
        <v>46029</v>
      </c>
      <c r="R3" s="27">
        <v>46029</v>
      </c>
      <c r="S3" s="27">
        <v>46029</v>
      </c>
      <c r="T3" s="27">
        <v>46029</v>
      </c>
      <c r="U3" s="27">
        <v>46029</v>
      </c>
      <c r="V3" s="27">
        <v>46033</v>
      </c>
      <c r="W3" s="27">
        <v>46033</v>
      </c>
      <c r="X3" s="27">
        <v>46033</v>
      </c>
      <c r="Y3" s="27">
        <v>46033</v>
      </c>
      <c r="Z3" s="27">
        <v>46033</v>
      </c>
      <c r="AA3" s="27"/>
      <c r="AB3" s="27"/>
      <c r="AC3" s="27"/>
      <c r="AD3" s="27"/>
    </row>
    <row r="4" spans="1:30" ht="12" customHeight="1" x14ac:dyDescent="0.25">
      <c r="A4" s="23"/>
      <c r="B4" s="23"/>
      <c r="C4" s="24"/>
      <c r="D4" s="23"/>
      <c r="E4" s="43" t="s">
        <v>248</v>
      </c>
      <c r="F4" s="39" t="s">
        <v>1546</v>
      </c>
      <c r="G4" s="39" t="s">
        <v>1559</v>
      </c>
      <c r="H4" s="39" t="s">
        <v>1560</v>
      </c>
      <c r="I4" s="39" t="s">
        <v>1561</v>
      </c>
      <c r="J4" s="39" t="s">
        <v>1562</v>
      </c>
      <c r="K4" s="39" t="s">
        <v>1563</v>
      </c>
      <c r="L4" s="39" t="s">
        <v>1588</v>
      </c>
      <c r="M4" s="39" t="s">
        <v>1589</v>
      </c>
      <c r="N4" s="39" t="s">
        <v>1590</v>
      </c>
      <c r="O4" s="39" t="s">
        <v>1591</v>
      </c>
      <c r="P4" s="39" t="s">
        <v>1592</v>
      </c>
      <c r="Q4" s="39" t="s">
        <v>1600</v>
      </c>
      <c r="R4" s="39" t="s">
        <v>1599</v>
      </c>
      <c r="S4" s="39" t="s">
        <v>1601</v>
      </c>
      <c r="T4" s="39" t="s">
        <v>1602</v>
      </c>
      <c r="U4" s="39" t="s">
        <v>1603</v>
      </c>
      <c r="V4" s="39" t="s">
        <v>1628</v>
      </c>
      <c r="W4" s="39" t="s">
        <v>1629</v>
      </c>
      <c r="X4" s="39" t="s">
        <v>1630</v>
      </c>
      <c r="Y4" s="39" t="s">
        <v>1631</v>
      </c>
      <c r="Z4" s="39" t="s">
        <v>1632</v>
      </c>
      <c r="AA4" s="39"/>
      <c r="AB4" s="39"/>
      <c r="AC4" s="32"/>
      <c r="AD4" s="32"/>
    </row>
    <row r="5" spans="1:30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AD5" s="22">
        <v>0</v>
      </c>
    </row>
    <row r="6" spans="1:30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AD6" s="22">
        <v>0</v>
      </c>
    </row>
    <row r="7" spans="1:30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AD7" s="22">
        <v>0</v>
      </c>
    </row>
    <row r="8" spans="1:30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AD8" s="22">
        <v>0</v>
      </c>
    </row>
    <row r="9" spans="1:30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AD9" s="22">
        <v>0</v>
      </c>
    </row>
    <row r="10" spans="1:30" x14ac:dyDescent="0.25">
      <c r="A10" s="5">
        <v>6</v>
      </c>
      <c r="B10" s="9">
        <v>4000015244</v>
      </c>
      <c r="C10" s="12" t="s">
        <v>17</v>
      </c>
      <c r="D10" s="9" t="s">
        <v>12</v>
      </c>
      <c r="E10" s="36"/>
      <c r="AD10" s="22">
        <v>0</v>
      </c>
    </row>
    <row r="11" spans="1:30" x14ac:dyDescent="0.25">
      <c r="A11" s="5">
        <v>7</v>
      </c>
      <c r="B11" s="9">
        <v>4000015245</v>
      </c>
      <c r="C11" s="12" t="s">
        <v>18</v>
      </c>
      <c r="D11" s="9" t="s">
        <v>12</v>
      </c>
      <c r="E11" s="36"/>
      <c r="AD11" s="22">
        <v>0</v>
      </c>
    </row>
    <row r="12" spans="1:30" x14ac:dyDescent="0.25">
      <c r="A12" s="5">
        <v>8</v>
      </c>
      <c r="B12" s="9">
        <v>4000000224</v>
      </c>
      <c r="C12" s="12" t="s">
        <v>19</v>
      </c>
      <c r="D12" s="9" t="s">
        <v>12</v>
      </c>
      <c r="E12" s="36"/>
      <c r="AD12" s="22">
        <v>0</v>
      </c>
    </row>
    <row r="13" spans="1:30" x14ac:dyDescent="0.25">
      <c r="A13" s="5">
        <v>9</v>
      </c>
      <c r="B13" s="9">
        <v>3000002332</v>
      </c>
      <c r="C13" s="12" t="s">
        <v>20</v>
      </c>
      <c r="D13" s="9" t="s">
        <v>12</v>
      </c>
      <c r="E13" s="36"/>
      <c r="AD13" s="22">
        <v>0</v>
      </c>
    </row>
    <row r="14" spans="1:30" x14ac:dyDescent="0.25">
      <c r="A14" s="5">
        <v>10</v>
      </c>
      <c r="B14" s="9">
        <v>3000000010</v>
      </c>
      <c r="C14" s="12" t="s">
        <v>21</v>
      </c>
      <c r="D14" s="9" t="s">
        <v>12</v>
      </c>
      <c r="E14" s="36"/>
      <c r="AD14" s="22">
        <v>0</v>
      </c>
    </row>
    <row r="15" spans="1:30" x14ac:dyDescent="0.25">
      <c r="A15" s="5">
        <v>11</v>
      </c>
      <c r="B15" s="9">
        <v>3000002338</v>
      </c>
      <c r="C15" s="12" t="s">
        <v>22</v>
      </c>
      <c r="D15" s="9" t="s">
        <v>12</v>
      </c>
      <c r="E15" s="36"/>
      <c r="AD15" s="22">
        <v>0</v>
      </c>
    </row>
    <row r="16" spans="1:30" x14ac:dyDescent="0.25">
      <c r="A16" s="5">
        <v>12</v>
      </c>
      <c r="B16" s="9">
        <v>3000002322</v>
      </c>
      <c r="C16" s="12" t="s">
        <v>23</v>
      </c>
      <c r="D16" s="9" t="s">
        <v>12</v>
      </c>
      <c r="E16" s="36"/>
      <c r="AD16" s="22">
        <v>0</v>
      </c>
    </row>
    <row r="17" spans="1:30" x14ac:dyDescent="0.25">
      <c r="A17" s="5">
        <v>13</v>
      </c>
      <c r="B17" s="9">
        <v>3000002330</v>
      </c>
      <c r="C17" s="12" t="s">
        <v>24</v>
      </c>
      <c r="D17" s="9" t="s">
        <v>12</v>
      </c>
      <c r="E17" s="36"/>
      <c r="AD17" s="22">
        <v>0</v>
      </c>
    </row>
    <row r="18" spans="1:30" x14ac:dyDescent="0.25">
      <c r="A18" s="5">
        <v>14</v>
      </c>
      <c r="B18" s="9">
        <v>3000000012</v>
      </c>
      <c r="C18" s="12" t="s">
        <v>25</v>
      </c>
      <c r="D18" s="9" t="s">
        <v>12</v>
      </c>
      <c r="E18" s="36"/>
      <c r="AD18" s="22">
        <v>0</v>
      </c>
    </row>
    <row r="19" spans="1:30" x14ac:dyDescent="0.25">
      <c r="A19" s="5">
        <v>15</v>
      </c>
      <c r="B19" s="9">
        <v>3000000701</v>
      </c>
      <c r="C19" s="12" t="s">
        <v>26</v>
      </c>
      <c r="D19" s="9" t="s">
        <v>12</v>
      </c>
      <c r="E19" s="36"/>
      <c r="AD19" s="22">
        <v>0</v>
      </c>
    </row>
    <row r="20" spans="1:30" x14ac:dyDescent="0.25">
      <c r="A20" s="5">
        <v>16</v>
      </c>
      <c r="B20" s="9">
        <v>1000006667</v>
      </c>
      <c r="C20" s="12" t="s">
        <v>27</v>
      </c>
      <c r="D20" s="9" t="s">
        <v>12</v>
      </c>
      <c r="E20" s="36"/>
      <c r="AD20" s="22">
        <v>0</v>
      </c>
    </row>
    <row r="21" spans="1:30" x14ac:dyDescent="0.25">
      <c r="A21" s="5">
        <v>17</v>
      </c>
      <c r="B21" s="9">
        <v>3000000061</v>
      </c>
      <c r="C21" s="12" t="s">
        <v>28</v>
      </c>
      <c r="D21" s="9" t="s">
        <v>12</v>
      </c>
      <c r="E21" s="36"/>
      <c r="AD21" s="22">
        <v>0</v>
      </c>
    </row>
    <row r="22" spans="1:30" x14ac:dyDescent="0.25">
      <c r="A22" s="5">
        <v>18</v>
      </c>
      <c r="B22" s="9">
        <v>3000000064</v>
      </c>
      <c r="C22" s="12" t="s">
        <v>29</v>
      </c>
      <c r="D22" s="9" t="s">
        <v>12</v>
      </c>
      <c r="E22" s="36"/>
      <c r="AD22" s="22">
        <v>0</v>
      </c>
    </row>
    <row r="23" spans="1:30" x14ac:dyDescent="0.25">
      <c r="A23" s="5">
        <v>19</v>
      </c>
      <c r="B23" s="9">
        <v>3000000062</v>
      </c>
      <c r="C23" s="12" t="s">
        <v>30</v>
      </c>
      <c r="D23" s="9" t="s">
        <v>12</v>
      </c>
      <c r="E23" s="36"/>
      <c r="AD23" s="22">
        <v>0</v>
      </c>
    </row>
    <row r="24" spans="1:30" x14ac:dyDescent="0.25">
      <c r="A24" s="5">
        <v>20</v>
      </c>
      <c r="B24" s="9">
        <v>3000000063</v>
      </c>
      <c r="C24" s="12" t="s">
        <v>31</v>
      </c>
      <c r="D24" s="9" t="s">
        <v>12</v>
      </c>
      <c r="E24" s="36"/>
      <c r="AD24" s="22">
        <v>0</v>
      </c>
    </row>
    <row r="25" spans="1:30" x14ac:dyDescent="0.25">
      <c r="A25" s="5">
        <v>21</v>
      </c>
      <c r="B25" s="9">
        <v>3000002688</v>
      </c>
      <c r="C25" s="12" t="s">
        <v>32</v>
      </c>
      <c r="D25" s="9" t="s">
        <v>12</v>
      </c>
      <c r="E25" s="36"/>
      <c r="AD25" s="22">
        <v>0</v>
      </c>
    </row>
    <row r="26" spans="1:30" x14ac:dyDescent="0.25">
      <c r="A26" s="5">
        <v>22</v>
      </c>
      <c r="B26" s="9">
        <v>3000002869</v>
      </c>
      <c r="C26" s="12" t="s">
        <v>33</v>
      </c>
      <c r="D26" s="9" t="s">
        <v>12</v>
      </c>
      <c r="E26" s="36"/>
      <c r="F26" s="22">
        <v>180</v>
      </c>
      <c r="G26" s="22">
        <v>180</v>
      </c>
      <c r="H26" s="22">
        <v>180</v>
      </c>
      <c r="I26" s="22">
        <v>180</v>
      </c>
      <c r="J26" s="22">
        <v>180</v>
      </c>
      <c r="L26" s="22">
        <v>180</v>
      </c>
      <c r="Q26" s="22">
        <v>180</v>
      </c>
      <c r="R26" s="22">
        <v>180</v>
      </c>
      <c r="S26" s="22">
        <v>180</v>
      </c>
      <c r="T26" s="22">
        <v>180</v>
      </c>
      <c r="U26" s="22">
        <v>180</v>
      </c>
      <c r="V26" s="22">
        <v>180</v>
      </c>
      <c r="W26" s="22">
        <v>180</v>
      </c>
      <c r="X26" s="22">
        <v>180</v>
      </c>
      <c r="Y26" s="22">
        <v>180</v>
      </c>
      <c r="Z26" s="22">
        <v>180</v>
      </c>
      <c r="AD26" s="22">
        <v>2880</v>
      </c>
    </row>
    <row r="27" spans="1:30" x14ac:dyDescent="0.25">
      <c r="A27" s="5">
        <v>23</v>
      </c>
      <c r="B27" s="9">
        <v>3000000068</v>
      </c>
      <c r="C27" s="12" t="s">
        <v>34</v>
      </c>
      <c r="D27" s="9" t="s">
        <v>12</v>
      </c>
      <c r="E27" s="36"/>
      <c r="AD27" s="22">
        <v>0</v>
      </c>
    </row>
    <row r="28" spans="1:30" x14ac:dyDescent="0.25">
      <c r="A28" s="5">
        <v>24</v>
      </c>
      <c r="B28" s="9" t="s">
        <v>35</v>
      </c>
      <c r="C28" s="12" t="s">
        <v>602</v>
      </c>
      <c r="D28" s="9" t="s">
        <v>12</v>
      </c>
      <c r="E28" s="36"/>
      <c r="AD28" s="22">
        <v>0</v>
      </c>
    </row>
    <row r="29" spans="1:30" x14ac:dyDescent="0.25">
      <c r="A29" s="5">
        <v>25</v>
      </c>
      <c r="B29" s="9">
        <v>3000001221</v>
      </c>
      <c r="C29" s="12" t="s">
        <v>302</v>
      </c>
      <c r="D29" s="9" t="s">
        <v>12</v>
      </c>
      <c r="E29" s="36"/>
      <c r="AD29" s="22">
        <v>0</v>
      </c>
    </row>
    <row r="30" spans="1:30" x14ac:dyDescent="0.25">
      <c r="A30" s="5">
        <v>26</v>
      </c>
      <c r="B30" s="9">
        <v>3000001223</v>
      </c>
      <c r="C30" s="12" t="s">
        <v>304</v>
      </c>
      <c r="D30" s="9" t="s">
        <v>12</v>
      </c>
      <c r="E30" s="36"/>
      <c r="AD30" s="22">
        <v>0</v>
      </c>
    </row>
    <row r="31" spans="1:30" x14ac:dyDescent="0.25">
      <c r="A31" s="5">
        <v>27</v>
      </c>
      <c r="B31" s="9">
        <v>3000008524</v>
      </c>
      <c r="C31" s="12" t="s">
        <v>39</v>
      </c>
      <c r="D31" s="9" t="s">
        <v>12</v>
      </c>
      <c r="E31" s="36"/>
      <c r="AD31" s="22">
        <v>0</v>
      </c>
    </row>
    <row r="32" spans="1:30" x14ac:dyDescent="0.25">
      <c r="A32" s="5">
        <v>28</v>
      </c>
      <c r="B32" s="9">
        <v>3000000628</v>
      </c>
      <c r="C32" s="12" t="s">
        <v>40</v>
      </c>
      <c r="D32" s="9" t="s">
        <v>12</v>
      </c>
      <c r="E32" s="36"/>
      <c r="AD32" s="22">
        <v>0</v>
      </c>
    </row>
    <row r="33" spans="1:30" x14ac:dyDescent="0.25">
      <c r="A33" s="5">
        <v>29</v>
      </c>
      <c r="B33" s="9">
        <v>5000000013</v>
      </c>
      <c r="C33" s="12" t="s">
        <v>41</v>
      </c>
      <c r="D33" s="9" t="s">
        <v>12</v>
      </c>
      <c r="E33" s="36"/>
      <c r="AD33" s="22">
        <v>0</v>
      </c>
    </row>
    <row r="34" spans="1:30" x14ac:dyDescent="0.25">
      <c r="A34" s="5">
        <v>30</v>
      </c>
      <c r="B34" s="9">
        <v>5000000014</v>
      </c>
      <c r="C34" s="12" t="s">
        <v>42</v>
      </c>
      <c r="D34" s="9" t="s">
        <v>12</v>
      </c>
      <c r="E34" s="36"/>
      <c r="AD34" s="22">
        <v>0</v>
      </c>
    </row>
    <row r="35" spans="1:30" x14ac:dyDescent="0.25">
      <c r="A35" s="5">
        <v>31</v>
      </c>
      <c r="B35" s="9">
        <v>5000000011</v>
      </c>
      <c r="C35" s="12" t="s">
        <v>43</v>
      </c>
      <c r="D35" s="9" t="s">
        <v>12</v>
      </c>
      <c r="E35" s="36"/>
      <c r="AD35" s="22">
        <v>0</v>
      </c>
    </row>
    <row r="36" spans="1:30" x14ac:dyDescent="0.25">
      <c r="A36" s="5">
        <v>32</v>
      </c>
      <c r="B36" s="9">
        <v>5000000012</v>
      </c>
      <c r="C36" s="12" t="s">
        <v>44</v>
      </c>
      <c r="D36" s="9" t="s">
        <v>12</v>
      </c>
      <c r="E36" s="36"/>
      <c r="AD36" s="22">
        <v>0</v>
      </c>
    </row>
    <row r="37" spans="1:30" x14ac:dyDescent="0.25">
      <c r="A37" s="5">
        <v>33</v>
      </c>
      <c r="B37" s="9">
        <v>3000002635</v>
      </c>
      <c r="C37" s="12" t="s">
        <v>45</v>
      </c>
      <c r="D37" s="9" t="s">
        <v>12</v>
      </c>
      <c r="E37" s="36"/>
      <c r="AD37" s="22">
        <v>0</v>
      </c>
    </row>
    <row r="38" spans="1:30" x14ac:dyDescent="0.25">
      <c r="A38" s="5">
        <v>34</v>
      </c>
      <c r="B38" s="9">
        <v>3000000345</v>
      </c>
      <c r="C38" s="12" t="s">
        <v>46</v>
      </c>
      <c r="D38" s="9" t="s">
        <v>12</v>
      </c>
      <c r="E38" s="36"/>
      <c r="AD38" s="22">
        <v>0</v>
      </c>
    </row>
    <row r="39" spans="1:30" x14ac:dyDescent="0.25">
      <c r="A39" s="5">
        <v>35</v>
      </c>
      <c r="B39" s="9">
        <v>3000000346</v>
      </c>
      <c r="C39" s="12" t="s">
        <v>47</v>
      </c>
      <c r="D39" s="9" t="s">
        <v>12</v>
      </c>
      <c r="E39" s="36"/>
      <c r="AD39" s="22">
        <v>0</v>
      </c>
    </row>
    <row r="40" spans="1:30" x14ac:dyDescent="0.25">
      <c r="A40" s="5">
        <v>36</v>
      </c>
      <c r="B40" s="9">
        <v>3000000347</v>
      </c>
      <c r="C40" s="12" t="s">
        <v>48</v>
      </c>
      <c r="D40" s="9" t="s">
        <v>12</v>
      </c>
      <c r="E40" s="36"/>
      <c r="AD40" s="22">
        <v>0</v>
      </c>
    </row>
    <row r="41" spans="1:30" x14ac:dyDescent="0.25">
      <c r="A41" s="5">
        <v>37</v>
      </c>
      <c r="B41" s="9">
        <v>3000000348</v>
      </c>
      <c r="C41" s="12" t="s">
        <v>49</v>
      </c>
      <c r="D41" s="9" t="s">
        <v>12</v>
      </c>
      <c r="E41" s="36"/>
      <c r="AD41" s="22">
        <v>0</v>
      </c>
    </row>
    <row r="42" spans="1:30" x14ac:dyDescent="0.25">
      <c r="A42" s="5">
        <v>38</v>
      </c>
      <c r="B42" s="9">
        <v>3000000349</v>
      </c>
      <c r="C42" s="12" t="s">
        <v>50</v>
      </c>
      <c r="D42" s="9" t="s">
        <v>12</v>
      </c>
      <c r="E42" s="36"/>
      <c r="AD42" s="22">
        <v>0</v>
      </c>
    </row>
    <row r="43" spans="1:30" x14ac:dyDescent="0.25">
      <c r="A43" s="5">
        <v>39</v>
      </c>
      <c r="B43" s="9">
        <v>3000004464</v>
      </c>
      <c r="C43" s="12" t="s">
        <v>51</v>
      </c>
      <c r="D43" s="9" t="s">
        <v>12</v>
      </c>
      <c r="E43" s="36"/>
      <c r="AD43" s="22">
        <v>0</v>
      </c>
    </row>
    <row r="44" spans="1:30" x14ac:dyDescent="0.25">
      <c r="A44" s="5">
        <v>40</v>
      </c>
      <c r="B44" s="9">
        <v>3000000352</v>
      </c>
      <c r="C44" s="12" t="s">
        <v>52</v>
      </c>
      <c r="D44" s="9" t="s">
        <v>12</v>
      </c>
      <c r="E44" s="36"/>
      <c r="AD44" s="22">
        <v>0</v>
      </c>
    </row>
    <row r="45" spans="1:30" x14ac:dyDescent="0.25">
      <c r="A45" s="5">
        <v>41</v>
      </c>
      <c r="B45" s="9">
        <v>5000000007</v>
      </c>
      <c r="C45" s="12" t="s">
        <v>53</v>
      </c>
      <c r="D45" s="9" t="s">
        <v>12</v>
      </c>
      <c r="E45" s="36"/>
      <c r="AD45" s="22">
        <v>0</v>
      </c>
    </row>
    <row r="46" spans="1:30" x14ac:dyDescent="0.25">
      <c r="A46" s="5">
        <v>42</v>
      </c>
      <c r="B46" s="9">
        <v>5000000004</v>
      </c>
      <c r="C46" s="12" t="s">
        <v>54</v>
      </c>
      <c r="D46" s="9" t="s">
        <v>12</v>
      </c>
      <c r="E46" s="36"/>
      <c r="AD46" s="22">
        <v>0</v>
      </c>
    </row>
    <row r="47" spans="1:30" x14ac:dyDescent="0.25">
      <c r="A47" s="5">
        <v>43</v>
      </c>
      <c r="B47" s="9">
        <v>5000000006</v>
      </c>
      <c r="C47" s="12" t="s">
        <v>55</v>
      </c>
      <c r="D47" s="9" t="s">
        <v>12</v>
      </c>
      <c r="E47" s="36"/>
      <c r="AD47" s="22">
        <v>0</v>
      </c>
    </row>
    <row r="48" spans="1:30" x14ac:dyDescent="0.25">
      <c r="A48" s="5">
        <v>44</v>
      </c>
      <c r="B48" s="9" t="s">
        <v>35</v>
      </c>
      <c r="C48" s="12" t="s">
        <v>56</v>
      </c>
      <c r="D48" s="9" t="s">
        <v>12</v>
      </c>
      <c r="E48" s="36"/>
      <c r="AD48" s="22">
        <v>0</v>
      </c>
    </row>
    <row r="49" spans="1:30" x14ac:dyDescent="0.25">
      <c r="A49" s="5">
        <v>45</v>
      </c>
      <c r="B49" s="9">
        <v>3000000354</v>
      </c>
      <c r="C49" s="12" t="s">
        <v>57</v>
      </c>
      <c r="D49" s="9" t="s">
        <v>12</v>
      </c>
      <c r="E49" s="36"/>
      <c r="AD49" s="22">
        <v>0</v>
      </c>
    </row>
    <row r="50" spans="1:30" x14ac:dyDescent="0.25">
      <c r="A50" s="5">
        <v>46</v>
      </c>
      <c r="B50" s="9">
        <v>3000000355</v>
      </c>
      <c r="C50" s="12" t="s">
        <v>58</v>
      </c>
      <c r="D50" s="9" t="s">
        <v>12</v>
      </c>
      <c r="E50" s="36"/>
      <c r="AD50" s="22">
        <v>0</v>
      </c>
    </row>
    <row r="51" spans="1:30" x14ac:dyDescent="0.25">
      <c r="A51" s="5">
        <v>47</v>
      </c>
      <c r="B51" s="9">
        <v>3000000060</v>
      </c>
      <c r="C51" s="12" t="s">
        <v>295</v>
      </c>
      <c r="D51" s="9" t="s">
        <v>12</v>
      </c>
      <c r="E51" s="36"/>
      <c r="AD51" s="22">
        <v>0</v>
      </c>
    </row>
    <row r="52" spans="1:30" x14ac:dyDescent="0.25">
      <c r="A52" s="5">
        <v>48</v>
      </c>
      <c r="B52" s="9">
        <v>3000000356</v>
      </c>
      <c r="C52" s="12" t="s">
        <v>60</v>
      </c>
      <c r="D52" s="9" t="s">
        <v>12</v>
      </c>
      <c r="E52" s="36"/>
      <c r="AD52" s="22">
        <v>0</v>
      </c>
    </row>
    <row r="53" spans="1:30" x14ac:dyDescent="0.25">
      <c r="A53" s="5">
        <v>49</v>
      </c>
      <c r="B53" s="9">
        <v>3000000353</v>
      </c>
      <c r="C53" s="12" t="s">
        <v>61</v>
      </c>
      <c r="D53" s="9" t="s">
        <v>12</v>
      </c>
      <c r="E53" s="36"/>
      <c r="AD53" s="22">
        <v>0</v>
      </c>
    </row>
    <row r="54" spans="1:30" x14ac:dyDescent="0.25">
      <c r="A54" s="5">
        <v>50</v>
      </c>
      <c r="B54" s="9">
        <v>3000000437</v>
      </c>
      <c r="C54" s="12" t="s">
        <v>62</v>
      </c>
      <c r="D54" s="9" t="s">
        <v>12</v>
      </c>
      <c r="E54" s="36"/>
      <c r="AD54" s="22">
        <v>0</v>
      </c>
    </row>
    <row r="55" spans="1:30" x14ac:dyDescent="0.25">
      <c r="A55" s="5">
        <v>51</v>
      </c>
      <c r="B55" s="9">
        <v>1000005010</v>
      </c>
      <c r="C55" s="12" t="s">
        <v>63</v>
      </c>
      <c r="D55" s="9" t="s">
        <v>12</v>
      </c>
      <c r="E55" s="36"/>
      <c r="AD55" s="22">
        <v>0</v>
      </c>
    </row>
    <row r="56" spans="1:30" x14ac:dyDescent="0.25">
      <c r="A56" s="5">
        <v>52</v>
      </c>
      <c r="B56" s="9">
        <v>1000005004</v>
      </c>
      <c r="C56" s="12" t="s">
        <v>64</v>
      </c>
      <c r="D56" s="9" t="s">
        <v>12</v>
      </c>
      <c r="E56" s="36"/>
      <c r="AD56" s="22">
        <v>0</v>
      </c>
    </row>
    <row r="57" spans="1:30" x14ac:dyDescent="0.25">
      <c r="A57" s="5">
        <v>53</v>
      </c>
      <c r="B57" s="9">
        <v>1000005006</v>
      </c>
      <c r="C57" s="12" t="s">
        <v>65</v>
      </c>
      <c r="D57" s="9" t="s">
        <v>12</v>
      </c>
      <c r="E57" s="36"/>
      <c r="AD57" s="22">
        <v>0</v>
      </c>
    </row>
    <row r="58" spans="1:30" x14ac:dyDescent="0.25">
      <c r="A58" s="5">
        <v>54</v>
      </c>
      <c r="B58" s="9">
        <v>1000005005</v>
      </c>
      <c r="C58" s="12" t="s">
        <v>66</v>
      </c>
      <c r="D58" s="9" t="s">
        <v>12</v>
      </c>
      <c r="E58" s="36"/>
      <c r="AD58" s="22">
        <v>0</v>
      </c>
    </row>
    <row r="59" spans="1:30" x14ac:dyDescent="0.25">
      <c r="A59" s="5">
        <v>55</v>
      </c>
      <c r="B59" s="9">
        <v>1000006424</v>
      </c>
      <c r="C59" s="12" t="s">
        <v>67</v>
      </c>
      <c r="D59" s="9" t="s">
        <v>12</v>
      </c>
      <c r="E59" s="36"/>
      <c r="AD59" s="22">
        <v>0</v>
      </c>
    </row>
    <row r="60" spans="1:30" x14ac:dyDescent="0.25">
      <c r="A60" s="5">
        <v>56</v>
      </c>
      <c r="B60" s="9">
        <v>1000005009</v>
      </c>
      <c r="C60" s="12" t="s">
        <v>68</v>
      </c>
      <c r="D60" s="9" t="s">
        <v>12</v>
      </c>
      <c r="E60" s="36"/>
      <c r="AD60" s="22">
        <v>0</v>
      </c>
    </row>
    <row r="61" spans="1:30" x14ac:dyDescent="0.25">
      <c r="A61" s="5">
        <v>57</v>
      </c>
      <c r="B61" s="9">
        <v>1000005008</v>
      </c>
      <c r="C61" s="12" t="s">
        <v>69</v>
      </c>
      <c r="D61" s="9" t="s">
        <v>12</v>
      </c>
      <c r="E61" s="36"/>
      <c r="AD61" s="22">
        <v>0</v>
      </c>
    </row>
    <row r="62" spans="1:30" x14ac:dyDescent="0.25">
      <c r="A62" s="5">
        <v>58</v>
      </c>
      <c r="B62" s="9">
        <v>1000005007</v>
      </c>
      <c r="C62" s="12" t="s">
        <v>70</v>
      </c>
      <c r="D62" s="9" t="s">
        <v>12</v>
      </c>
      <c r="E62" s="36"/>
      <c r="AD62" s="22">
        <v>0</v>
      </c>
    </row>
    <row r="63" spans="1:30" x14ac:dyDescent="0.25">
      <c r="A63" s="5">
        <v>59</v>
      </c>
      <c r="B63" s="9">
        <v>1000005003</v>
      </c>
      <c r="C63" s="12" t="s">
        <v>71</v>
      </c>
      <c r="D63" s="9" t="s">
        <v>12</v>
      </c>
      <c r="E63" s="36"/>
      <c r="AD63" s="22">
        <v>0</v>
      </c>
    </row>
    <row r="64" spans="1:30" x14ac:dyDescent="0.25">
      <c r="A64" s="5">
        <v>60</v>
      </c>
      <c r="B64" s="9">
        <v>1000005001</v>
      </c>
      <c r="C64" s="12" t="s">
        <v>72</v>
      </c>
      <c r="D64" s="9" t="s">
        <v>12</v>
      </c>
      <c r="E64" s="36"/>
      <c r="AD64" s="22">
        <v>0</v>
      </c>
    </row>
    <row r="65" spans="1:30" x14ac:dyDescent="0.25">
      <c r="A65" s="5">
        <v>61</v>
      </c>
      <c r="B65" s="9">
        <v>1000005002</v>
      </c>
      <c r="C65" s="12" t="s">
        <v>73</v>
      </c>
      <c r="D65" s="9" t="s">
        <v>12</v>
      </c>
      <c r="E65" s="36"/>
      <c r="AD65" s="22">
        <v>0</v>
      </c>
    </row>
    <row r="66" spans="1:30" x14ac:dyDescent="0.25">
      <c r="A66" s="5">
        <v>62</v>
      </c>
      <c r="B66" s="9">
        <v>1000005000</v>
      </c>
      <c r="C66" s="12" t="s">
        <v>74</v>
      </c>
      <c r="D66" s="9" t="s">
        <v>12</v>
      </c>
      <c r="E66" s="36"/>
      <c r="AD66" s="22">
        <v>0</v>
      </c>
    </row>
    <row r="67" spans="1:30" x14ac:dyDescent="0.25">
      <c r="A67" s="5">
        <v>63</v>
      </c>
      <c r="B67" s="9">
        <v>3000002340</v>
      </c>
      <c r="C67" s="12" t="s">
        <v>75</v>
      </c>
      <c r="D67" s="9" t="s">
        <v>12</v>
      </c>
      <c r="E67" s="36"/>
      <c r="Q67" s="22">
        <v>1400</v>
      </c>
      <c r="R67" s="22">
        <v>1400</v>
      </c>
      <c r="AD67" s="22">
        <v>2800</v>
      </c>
    </row>
    <row r="68" spans="1:30" x14ac:dyDescent="0.25">
      <c r="A68" s="5">
        <v>64</v>
      </c>
      <c r="B68" s="9">
        <v>3000001211</v>
      </c>
      <c r="C68" s="12" t="s">
        <v>76</v>
      </c>
      <c r="D68" s="9" t="s">
        <v>12</v>
      </c>
      <c r="E68" s="36"/>
      <c r="AD68" s="22">
        <v>0</v>
      </c>
    </row>
    <row r="69" spans="1:30" x14ac:dyDescent="0.25">
      <c r="A69" s="5">
        <v>65</v>
      </c>
      <c r="B69" s="9">
        <v>3000001212</v>
      </c>
      <c r="C69" s="12" t="s">
        <v>77</v>
      </c>
      <c r="D69" s="9" t="s">
        <v>12</v>
      </c>
      <c r="E69" s="36"/>
      <c r="AD69" s="22">
        <v>0</v>
      </c>
    </row>
    <row r="70" spans="1:30" x14ac:dyDescent="0.25">
      <c r="A70" s="5">
        <v>66</v>
      </c>
      <c r="B70" s="9">
        <v>3000002341</v>
      </c>
      <c r="C70" s="12" t="s">
        <v>78</v>
      </c>
      <c r="D70" s="9" t="s">
        <v>12</v>
      </c>
      <c r="E70" s="36"/>
      <c r="S70" s="22">
        <v>700</v>
      </c>
      <c r="T70" s="22">
        <v>700</v>
      </c>
      <c r="U70" s="22">
        <v>700</v>
      </c>
      <c r="W70" s="22">
        <v>700</v>
      </c>
      <c r="X70" s="22">
        <v>700</v>
      </c>
      <c r="AD70" s="22">
        <v>3500</v>
      </c>
    </row>
    <row r="71" spans="1:30" x14ac:dyDescent="0.25">
      <c r="A71" s="5">
        <v>67</v>
      </c>
      <c r="B71" s="9">
        <v>3000001214</v>
      </c>
      <c r="C71" s="12" t="s">
        <v>79</v>
      </c>
      <c r="D71" s="9" t="s">
        <v>12</v>
      </c>
      <c r="E71" s="36"/>
      <c r="AD71" s="22">
        <v>0</v>
      </c>
    </row>
    <row r="72" spans="1:30" x14ac:dyDescent="0.25">
      <c r="A72" s="5">
        <v>68</v>
      </c>
      <c r="B72" s="9">
        <v>3000001215</v>
      </c>
      <c r="C72" s="12" t="s">
        <v>80</v>
      </c>
      <c r="D72" s="9" t="s">
        <v>12</v>
      </c>
      <c r="E72" s="36"/>
      <c r="F72" s="22">
        <v>400</v>
      </c>
      <c r="G72" s="22">
        <v>400</v>
      </c>
      <c r="H72" s="22">
        <v>400</v>
      </c>
      <c r="I72" s="22">
        <v>400</v>
      </c>
      <c r="J72" s="22">
        <v>400</v>
      </c>
      <c r="K72" s="22">
        <v>1400</v>
      </c>
      <c r="L72" s="22">
        <v>400</v>
      </c>
      <c r="M72" s="22">
        <v>1400</v>
      </c>
      <c r="N72" s="22">
        <v>1400</v>
      </c>
      <c r="O72" s="22">
        <v>1400</v>
      </c>
      <c r="P72" s="22">
        <v>1400</v>
      </c>
      <c r="V72" s="22">
        <v>400</v>
      </c>
      <c r="Y72" s="22">
        <v>400</v>
      </c>
      <c r="Z72" s="22">
        <v>400</v>
      </c>
      <c r="AD72" s="22">
        <v>10600</v>
      </c>
    </row>
    <row r="73" spans="1:30" x14ac:dyDescent="0.25">
      <c r="A73" s="5">
        <v>69</v>
      </c>
      <c r="B73" s="9">
        <v>3000001216</v>
      </c>
      <c r="C73" s="12" t="s">
        <v>81</v>
      </c>
      <c r="D73" s="9" t="s">
        <v>12</v>
      </c>
      <c r="E73" s="36"/>
      <c r="AD73" s="22">
        <v>0</v>
      </c>
    </row>
    <row r="74" spans="1:30" x14ac:dyDescent="0.25">
      <c r="A74" s="5">
        <v>70</v>
      </c>
      <c r="B74" s="9">
        <v>3000001217</v>
      </c>
      <c r="C74" s="12" t="s">
        <v>82</v>
      </c>
      <c r="D74" s="9" t="s">
        <v>12</v>
      </c>
      <c r="E74" s="36"/>
      <c r="AD74" s="22">
        <v>0</v>
      </c>
    </row>
    <row r="75" spans="1:30" x14ac:dyDescent="0.25">
      <c r="A75" s="5">
        <v>71</v>
      </c>
      <c r="B75" s="9">
        <v>3000000009</v>
      </c>
      <c r="C75" s="12" t="s">
        <v>83</v>
      </c>
      <c r="D75" s="9" t="s">
        <v>12</v>
      </c>
      <c r="E75" s="36"/>
      <c r="AD75" s="22">
        <v>0</v>
      </c>
    </row>
    <row r="76" spans="1:30" x14ac:dyDescent="0.25">
      <c r="A76" s="5">
        <v>72</v>
      </c>
      <c r="B76" s="9">
        <v>3000000011</v>
      </c>
      <c r="C76" s="12" t="s">
        <v>84</v>
      </c>
      <c r="D76" s="9" t="s">
        <v>12</v>
      </c>
      <c r="E76" s="36"/>
      <c r="AD76" s="22">
        <v>0</v>
      </c>
    </row>
    <row r="77" spans="1:30" x14ac:dyDescent="0.25">
      <c r="A77" s="5">
        <v>73</v>
      </c>
      <c r="B77" s="9">
        <v>3000000707</v>
      </c>
      <c r="C77" s="12" t="s">
        <v>85</v>
      </c>
      <c r="D77" s="9" t="s">
        <v>12</v>
      </c>
      <c r="E77" s="36"/>
      <c r="AD77" s="22">
        <v>0</v>
      </c>
    </row>
    <row r="78" spans="1:30" x14ac:dyDescent="0.25">
      <c r="A78" s="5">
        <v>74</v>
      </c>
      <c r="B78" s="9">
        <v>3000000301</v>
      </c>
      <c r="C78" s="12" t="s">
        <v>86</v>
      </c>
      <c r="D78" s="9" t="s">
        <v>12</v>
      </c>
      <c r="E78" s="36"/>
      <c r="AD78" s="22">
        <v>0</v>
      </c>
    </row>
    <row r="79" spans="1:30" x14ac:dyDescent="0.25">
      <c r="A79" s="5">
        <v>75</v>
      </c>
      <c r="B79" s="9">
        <v>3000000302</v>
      </c>
      <c r="C79" s="12" t="s">
        <v>87</v>
      </c>
      <c r="D79" s="9" t="s">
        <v>12</v>
      </c>
      <c r="E79" s="36"/>
      <c r="AD79" s="22">
        <v>0</v>
      </c>
    </row>
    <row r="80" spans="1:30" x14ac:dyDescent="0.25">
      <c r="A80" s="5">
        <v>76</v>
      </c>
      <c r="B80" s="9">
        <v>3000000303</v>
      </c>
      <c r="C80" s="12" t="s">
        <v>88</v>
      </c>
      <c r="D80" s="9" t="s">
        <v>12</v>
      </c>
      <c r="E80" s="36"/>
      <c r="AD80" s="22">
        <v>0</v>
      </c>
    </row>
    <row r="81" spans="1:30" x14ac:dyDescent="0.25">
      <c r="A81" s="5">
        <v>77</v>
      </c>
      <c r="B81" s="9">
        <v>3000000304</v>
      </c>
      <c r="C81" s="12" t="s">
        <v>89</v>
      </c>
      <c r="D81" s="9" t="s">
        <v>12</v>
      </c>
      <c r="E81" s="36"/>
      <c r="AD81" s="22">
        <v>0</v>
      </c>
    </row>
    <row r="82" spans="1:30" x14ac:dyDescent="0.25">
      <c r="A82" s="5">
        <v>78</v>
      </c>
      <c r="B82" s="9">
        <v>3000000305</v>
      </c>
      <c r="C82" s="12" t="s">
        <v>90</v>
      </c>
      <c r="D82" s="9" t="s">
        <v>12</v>
      </c>
      <c r="E82" s="36"/>
      <c r="AD82" s="22">
        <v>0</v>
      </c>
    </row>
    <row r="83" spans="1:30" x14ac:dyDescent="0.25">
      <c r="A83" s="5">
        <v>79</v>
      </c>
      <c r="B83" s="9">
        <v>3000000306</v>
      </c>
      <c r="C83" s="12" t="s">
        <v>91</v>
      </c>
      <c r="D83" s="9" t="s">
        <v>12</v>
      </c>
      <c r="E83" s="36"/>
      <c r="AD83" s="22">
        <v>0</v>
      </c>
    </row>
    <row r="84" spans="1:30" x14ac:dyDescent="0.25">
      <c r="A84" s="5">
        <v>80</v>
      </c>
      <c r="B84" s="9">
        <v>3000000307</v>
      </c>
      <c r="C84" s="12" t="s">
        <v>92</v>
      </c>
      <c r="D84" s="9" t="s">
        <v>12</v>
      </c>
      <c r="E84" s="36"/>
      <c r="AD84" s="22">
        <v>0</v>
      </c>
    </row>
    <row r="85" spans="1:30" x14ac:dyDescent="0.25">
      <c r="A85" s="5">
        <v>81</v>
      </c>
      <c r="B85" s="9">
        <v>3000000308</v>
      </c>
      <c r="C85" s="12" t="s">
        <v>93</v>
      </c>
      <c r="D85" s="9" t="s">
        <v>12</v>
      </c>
      <c r="E85" s="36"/>
      <c r="AD85" s="22">
        <v>0</v>
      </c>
    </row>
    <row r="86" spans="1:30" x14ac:dyDescent="0.25">
      <c r="A86" s="5">
        <v>82</v>
      </c>
      <c r="B86" s="9">
        <v>3000003396</v>
      </c>
      <c r="C86" s="12" t="s">
        <v>94</v>
      </c>
      <c r="D86" s="9" t="s">
        <v>12</v>
      </c>
      <c r="E86" s="36"/>
      <c r="AD86" s="22">
        <v>0</v>
      </c>
    </row>
    <row r="87" spans="1:30" x14ac:dyDescent="0.25">
      <c r="A87" s="5">
        <v>83</v>
      </c>
      <c r="B87" s="9">
        <v>3000000309</v>
      </c>
      <c r="C87" s="12" t="s">
        <v>95</v>
      </c>
      <c r="D87" s="9" t="s">
        <v>12</v>
      </c>
      <c r="E87" s="36"/>
      <c r="AD87" s="22">
        <v>0</v>
      </c>
    </row>
    <row r="88" spans="1:30" x14ac:dyDescent="0.25">
      <c r="A88" s="5">
        <v>84</v>
      </c>
      <c r="B88" s="9">
        <v>3000000310</v>
      </c>
      <c r="C88" s="12" t="s">
        <v>96</v>
      </c>
      <c r="D88" s="9" t="s">
        <v>12</v>
      </c>
      <c r="E88" s="36"/>
      <c r="AD88" s="22">
        <v>0</v>
      </c>
    </row>
    <row r="89" spans="1:30" x14ac:dyDescent="0.25">
      <c r="A89" s="5">
        <v>85</v>
      </c>
      <c r="B89" s="9">
        <v>3000008517</v>
      </c>
      <c r="C89" s="12" t="s">
        <v>97</v>
      </c>
      <c r="D89" s="9" t="s">
        <v>12</v>
      </c>
      <c r="E89" s="36"/>
      <c r="AD89" s="22">
        <v>0</v>
      </c>
    </row>
    <row r="90" spans="1:30" x14ac:dyDescent="0.25">
      <c r="A90" s="5">
        <v>86</v>
      </c>
      <c r="B90" s="9">
        <v>3000008518</v>
      </c>
      <c r="C90" s="12" t="s">
        <v>98</v>
      </c>
      <c r="D90" s="9" t="s">
        <v>12</v>
      </c>
      <c r="E90" s="36"/>
      <c r="AD90" s="22">
        <v>0</v>
      </c>
    </row>
    <row r="91" spans="1:30" x14ac:dyDescent="0.25">
      <c r="A91" s="5">
        <v>87</v>
      </c>
      <c r="B91" s="9">
        <v>3000004960</v>
      </c>
      <c r="C91" s="12" t="s">
        <v>99</v>
      </c>
      <c r="D91" s="9" t="s">
        <v>12</v>
      </c>
      <c r="E91" s="36"/>
      <c r="AD91" s="22">
        <v>0</v>
      </c>
    </row>
    <row r="92" spans="1:30" x14ac:dyDescent="0.25">
      <c r="A92" s="5">
        <v>88</v>
      </c>
      <c r="B92" s="9">
        <v>3000008519</v>
      </c>
      <c r="C92" s="12" t="s">
        <v>100</v>
      </c>
      <c r="D92" s="9" t="s">
        <v>12</v>
      </c>
      <c r="E92" s="36"/>
      <c r="AD92" s="22">
        <v>0</v>
      </c>
    </row>
    <row r="93" spans="1:30" x14ac:dyDescent="0.25">
      <c r="A93" s="5">
        <v>89</v>
      </c>
      <c r="B93" s="9">
        <v>3000008514</v>
      </c>
      <c r="C93" s="12" t="s">
        <v>101</v>
      </c>
      <c r="D93" s="9" t="s">
        <v>12</v>
      </c>
      <c r="E93" s="36"/>
      <c r="AD93" s="22">
        <v>0</v>
      </c>
    </row>
    <row r="94" spans="1:30" x14ac:dyDescent="0.25">
      <c r="A94" s="5">
        <v>90</v>
      </c>
      <c r="B94" s="9">
        <v>3000008515</v>
      </c>
      <c r="C94" s="12" t="s">
        <v>102</v>
      </c>
      <c r="D94" s="9" t="s">
        <v>12</v>
      </c>
      <c r="E94" s="36"/>
      <c r="AD94" s="22">
        <v>0</v>
      </c>
    </row>
    <row r="95" spans="1:30" x14ac:dyDescent="0.25">
      <c r="A95" s="5">
        <v>91</v>
      </c>
      <c r="B95" s="9">
        <v>3000008521</v>
      </c>
      <c r="C95" s="12" t="s">
        <v>103</v>
      </c>
      <c r="D95" s="9" t="s">
        <v>12</v>
      </c>
      <c r="E95" s="36"/>
      <c r="AD95" s="22">
        <v>0</v>
      </c>
    </row>
    <row r="96" spans="1:30" x14ac:dyDescent="0.25">
      <c r="A96" s="5">
        <v>92</v>
      </c>
      <c r="B96" s="9">
        <v>5000000019</v>
      </c>
      <c r="C96" s="12" t="s">
        <v>104</v>
      </c>
      <c r="D96" s="9" t="s">
        <v>12</v>
      </c>
      <c r="E96" s="36"/>
      <c r="AD96" s="22">
        <v>0</v>
      </c>
    </row>
    <row r="97" spans="1:30" x14ac:dyDescent="0.25">
      <c r="A97" s="5">
        <v>93</v>
      </c>
      <c r="B97" s="9">
        <v>5000000018</v>
      </c>
      <c r="C97" s="12" t="s">
        <v>105</v>
      </c>
      <c r="D97" s="9" t="s">
        <v>12</v>
      </c>
      <c r="E97" s="36"/>
      <c r="AD97" s="22">
        <v>0</v>
      </c>
    </row>
    <row r="98" spans="1:30" x14ac:dyDescent="0.25">
      <c r="A98" s="5">
        <v>94</v>
      </c>
      <c r="B98" s="9">
        <v>3000004956</v>
      </c>
      <c r="C98" s="12" t="s">
        <v>106</v>
      </c>
      <c r="D98" s="9" t="s">
        <v>12</v>
      </c>
      <c r="E98" s="36"/>
      <c r="AD98" s="22">
        <v>0</v>
      </c>
    </row>
    <row r="99" spans="1:30" x14ac:dyDescent="0.25">
      <c r="A99" s="5">
        <v>95</v>
      </c>
      <c r="B99" s="9">
        <v>3000004954</v>
      </c>
      <c r="C99" s="12" t="s">
        <v>107</v>
      </c>
      <c r="D99" s="9" t="s">
        <v>12</v>
      </c>
      <c r="E99" s="36"/>
      <c r="AD99" s="22">
        <v>0</v>
      </c>
    </row>
    <row r="100" spans="1:30" x14ac:dyDescent="0.25">
      <c r="A100" s="5">
        <v>96</v>
      </c>
      <c r="B100" s="9">
        <v>3000005013</v>
      </c>
      <c r="C100" s="12" t="s">
        <v>108</v>
      </c>
      <c r="D100" s="9" t="s">
        <v>12</v>
      </c>
      <c r="E100" s="36"/>
      <c r="AD100" s="22">
        <v>0</v>
      </c>
    </row>
    <row r="101" spans="1:30" x14ac:dyDescent="0.25">
      <c r="A101" s="5">
        <v>97</v>
      </c>
      <c r="B101" s="9">
        <v>3000004953</v>
      </c>
      <c r="C101" s="12" t="s">
        <v>109</v>
      </c>
      <c r="D101" s="9" t="s">
        <v>12</v>
      </c>
      <c r="E101" s="36"/>
      <c r="AD101" s="22">
        <v>0</v>
      </c>
    </row>
    <row r="102" spans="1:30" x14ac:dyDescent="0.25">
      <c r="A102" s="5">
        <v>98</v>
      </c>
      <c r="B102" s="9">
        <v>5000000017</v>
      </c>
      <c r="C102" s="12" t="s">
        <v>110</v>
      </c>
      <c r="D102" s="9" t="s">
        <v>12</v>
      </c>
      <c r="E102" s="36"/>
      <c r="AD102" s="22">
        <v>0</v>
      </c>
    </row>
    <row r="103" spans="1:30" x14ac:dyDescent="0.25">
      <c r="A103" s="5">
        <v>99</v>
      </c>
      <c r="B103" s="9">
        <v>3000008526</v>
      </c>
      <c r="C103" s="12" t="s">
        <v>111</v>
      </c>
      <c r="D103" s="9" t="s">
        <v>12</v>
      </c>
      <c r="E103" s="36"/>
      <c r="AD103" s="22">
        <v>0</v>
      </c>
    </row>
    <row r="104" spans="1:30" x14ac:dyDescent="0.25">
      <c r="A104" s="5">
        <v>100</v>
      </c>
      <c r="B104" s="9">
        <v>3000008516</v>
      </c>
      <c r="C104" s="12" t="s">
        <v>112</v>
      </c>
      <c r="D104" s="9" t="s">
        <v>12</v>
      </c>
      <c r="E104" s="36"/>
      <c r="AD104" s="22">
        <v>0</v>
      </c>
    </row>
    <row r="105" spans="1:30" x14ac:dyDescent="0.25">
      <c r="A105" s="5">
        <v>101</v>
      </c>
      <c r="B105" s="9">
        <v>3000002333</v>
      </c>
      <c r="C105" s="12" t="s">
        <v>113</v>
      </c>
      <c r="D105" s="9" t="s">
        <v>12</v>
      </c>
      <c r="E105" s="36"/>
      <c r="AD105" s="22">
        <v>0</v>
      </c>
    </row>
    <row r="106" spans="1:30" x14ac:dyDescent="0.25">
      <c r="A106" s="5">
        <v>102</v>
      </c>
      <c r="B106" s="9">
        <v>3000000840</v>
      </c>
      <c r="C106" s="12" t="s">
        <v>114</v>
      </c>
      <c r="D106" s="9" t="s">
        <v>12</v>
      </c>
      <c r="E106" s="36"/>
      <c r="AD106" s="22">
        <v>0</v>
      </c>
    </row>
    <row r="107" spans="1:30" x14ac:dyDescent="0.25">
      <c r="A107" s="5">
        <v>103</v>
      </c>
      <c r="B107" s="9">
        <v>3000001222</v>
      </c>
      <c r="C107" s="12" t="s">
        <v>115</v>
      </c>
      <c r="D107" s="9" t="s">
        <v>12</v>
      </c>
      <c r="E107" s="36"/>
      <c r="AD107" s="22">
        <v>0</v>
      </c>
    </row>
    <row r="108" spans="1:30" x14ac:dyDescent="0.25">
      <c r="A108" s="5">
        <v>104</v>
      </c>
      <c r="B108" s="9">
        <v>5000000008</v>
      </c>
      <c r="C108" s="12" t="s">
        <v>116</v>
      </c>
      <c r="D108" s="9" t="s">
        <v>12</v>
      </c>
      <c r="E108" s="36"/>
      <c r="AD108" s="22">
        <v>0</v>
      </c>
    </row>
    <row r="109" spans="1:30" x14ac:dyDescent="0.25">
      <c r="A109" s="5">
        <v>105</v>
      </c>
      <c r="B109" s="9">
        <v>3000000849</v>
      </c>
      <c r="C109" s="12" t="s">
        <v>117</v>
      </c>
      <c r="D109" s="9" t="s">
        <v>12</v>
      </c>
      <c r="E109" s="36"/>
      <c r="AD109" s="22">
        <v>0</v>
      </c>
    </row>
    <row r="110" spans="1:30" x14ac:dyDescent="0.25">
      <c r="A110" s="5">
        <v>106</v>
      </c>
      <c r="B110" s="9">
        <v>1000006668</v>
      </c>
      <c r="C110" s="12" t="s">
        <v>118</v>
      </c>
      <c r="D110" s="9" t="s">
        <v>12</v>
      </c>
      <c r="E110" s="36"/>
      <c r="AD110" s="22">
        <v>0</v>
      </c>
    </row>
    <row r="111" spans="1:30" x14ac:dyDescent="0.25">
      <c r="A111" s="5">
        <v>107</v>
      </c>
      <c r="B111" s="9">
        <v>3000001196</v>
      </c>
      <c r="C111" s="12" t="s">
        <v>119</v>
      </c>
      <c r="D111" s="9" t="s">
        <v>12</v>
      </c>
      <c r="E111" s="36"/>
      <c r="AD111" s="22">
        <v>0</v>
      </c>
    </row>
    <row r="112" spans="1:30" x14ac:dyDescent="0.25">
      <c r="A112" s="5">
        <v>108</v>
      </c>
      <c r="B112" s="9" t="s">
        <v>120</v>
      </c>
      <c r="C112" s="12" t="s">
        <v>121</v>
      </c>
      <c r="D112" s="9" t="s">
        <v>12</v>
      </c>
      <c r="E112" s="36"/>
      <c r="AD112" s="22">
        <v>0</v>
      </c>
    </row>
    <row r="113" spans="1:30" x14ac:dyDescent="0.25">
      <c r="A113" s="5">
        <v>109</v>
      </c>
      <c r="B113" s="9">
        <v>3000000316</v>
      </c>
      <c r="C113" s="12" t="s">
        <v>122</v>
      </c>
      <c r="D113" s="9" t="s">
        <v>12</v>
      </c>
      <c r="E113" s="36"/>
      <c r="AD113" s="22">
        <v>0</v>
      </c>
    </row>
    <row r="114" spans="1:30" x14ac:dyDescent="0.25">
      <c r="A114" s="5">
        <v>110</v>
      </c>
      <c r="B114" s="9">
        <v>3000000312</v>
      </c>
      <c r="C114" s="12" t="s">
        <v>123</v>
      </c>
      <c r="D114" s="9" t="s">
        <v>12</v>
      </c>
      <c r="E114" s="36"/>
      <c r="AD114" s="22">
        <v>0</v>
      </c>
    </row>
    <row r="115" spans="1:30" x14ac:dyDescent="0.25">
      <c r="A115" s="5">
        <v>111</v>
      </c>
      <c r="B115" s="9">
        <v>3000000313</v>
      </c>
      <c r="C115" s="12" t="s">
        <v>124</v>
      </c>
      <c r="D115" s="9" t="s">
        <v>12</v>
      </c>
      <c r="E115" s="36"/>
      <c r="AD115" s="22">
        <v>0</v>
      </c>
    </row>
    <row r="116" spans="1:30" x14ac:dyDescent="0.25">
      <c r="A116" s="5">
        <v>112</v>
      </c>
      <c r="B116" s="9">
        <v>3000000314</v>
      </c>
      <c r="C116" s="12" t="s">
        <v>125</v>
      </c>
      <c r="D116" s="9" t="s">
        <v>12</v>
      </c>
      <c r="E116" s="36"/>
      <c r="AD116" s="22">
        <v>0</v>
      </c>
    </row>
    <row r="117" spans="1:30" x14ac:dyDescent="0.25">
      <c r="A117" s="5">
        <v>113</v>
      </c>
      <c r="B117" s="9">
        <v>3000000315</v>
      </c>
      <c r="C117" s="12" t="s">
        <v>126</v>
      </c>
      <c r="D117" s="9" t="s">
        <v>12</v>
      </c>
      <c r="E117" s="36"/>
      <c r="AD117" s="22">
        <v>0</v>
      </c>
    </row>
    <row r="118" spans="1:30" x14ac:dyDescent="0.25">
      <c r="A118" s="5">
        <v>114</v>
      </c>
      <c r="B118" s="9">
        <v>3000000317</v>
      </c>
      <c r="C118" s="12" t="s">
        <v>127</v>
      </c>
      <c r="D118" s="9" t="s">
        <v>12</v>
      </c>
      <c r="E118" s="36"/>
      <c r="AD118" s="22">
        <v>0</v>
      </c>
    </row>
    <row r="119" spans="1:30" x14ac:dyDescent="0.25">
      <c r="A119" s="5">
        <v>115</v>
      </c>
      <c r="B119" s="9">
        <v>3000000318</v>
      </c>
      <c r="C119" s="12" t="s">
        <v>128</v>
      </c>
      <c r="D119" s="9" t="s">
        <v>12</v>
      </c>
      <c r="E119" s="36"/>
      <c r="AD119" s="22">
        <v>0</v>
      </c>
    </row>
    <row r="120" spans="1:30" x14ac:dyDescent="0.25">
      <c r="A120" s="5">
        <v>116</v>
      </c>
      <c r="B120" s="9">
        <v>5000000010</v>
      </c>
      <c r="C120" s="12" t="s">
        <v>129</v>
      </c>
      <c r="D120" s="9" t="s">
        <v>12</v>
      </c>
      <c r="E120" s="36"/>
      <c r="AD120" s="22">
        <v>0</v>
      </c>
    </row>
    <row r="121" spans="1:30" x14ac:dyDescent="0.25">
      <c r="A121" s="5">
        <v>117</v>
      </c>
      <c r="B121" s="9">
        <v>5000000016</v>
      </c>
      <c r="C121" s="12" t="s">
        <v>130</v>
      </c>
      <c r="D121" s="9" t="s">
        <v>12</v>
      </c>
      <c r="E121" s="36"/>
      <c r="AD121" s="22">
        <v>0</v>
      </c>
    </row>
    <row r="122" spans="1:30" x14ac:dyDescent="0.25">
      <c r="A122" s="5">
        <v>118</v>
      </c>
      <c r="B122" s="9">
        <v>5000000015</v>
      </c>
      <c r="C122" s="12" t="s">
        <v>131</v>
      </c>
      <c r="D122" s="9" t="s">
        <v>12</v>
      </c>
      <c r="E122" s="36"/>
      <c r="AD122" s="22">
        <v>0</v>
      </c>
    </row>
    <row r="123" spans="1:30" x14ac:dyDescent="0.25">
      <c r="A123" s="5">
        <v>119</v>
      </c>
      <c r="B123" s="9">
        <v>3000002701</v>
      </c>
      <c r="C123" s="12" t="s">
        <v>132</v>
      </c>
      <c r="D123" s="9" t="s">
        <v>12</v>
      </c>
      <c r="E123" s="36"/>
      <c r="AD123" s="22">
        <v>0</v>
      </c>
    </row>
    <row r="124" spans="1:30" x14ac:dyDescent="0.25">
      <c r="A124" s="5">
        <v>120</v>
      </c>
      <c r="B124" s="9">
        <v>3000002771</v>
      </c>
      <c r="C124" s="12" t="s">
        <v>133</v>
      </c>
      <c r="D124" s="9" t="s">
        <v>12</v>
      </c>
      <c r="E124" s="36"/>
      <c r="AD124" s="22">
        <v>0</v>
      </c>
    </row>
    <row r="125" spans="1:30" x14ac:dyDescent="0.25">
      <c r="A125" s="5">
        <v>121</v>
      </c>
      <c r="B125" s="9">
        <v>3000002777</v>
      </c>
      <c r="C125" s="12" t="s">
        <v>134</v>
      </c>
      <c r="D125" s="9" t="s">
        <v>12</v>
      </c>
      <c r="E125" s="36"/>
      <c r="AD125" s="22">
        <v>0</v>
      </c>
    </row>
    <row r="126" spans="1:30" x14ac:dyDescent="0.25">
      <c r="A126" s="5">
        <v>122</v>
      </c>
      <c r="B126" s="9">
        <v>3000002700</v>
      </c>
      <c r="C126" s="12" t="s">
        <v>135</v>
      </c>
      <c r="D126" s="9" t="s">
        <v>12</v>
      </c>
      <c r="E126" s="36"/>
      <c r="AD126" s="22">
        <v>0</v>
      </c>
    </row>
    <row r="127" spans="1:30" x14ac:dyDescent="0.25">
      <c r="A127" s="5">
        <v>123</v>
      </c>
      <c r="B127" s="9">
        <v>3000002699</v>
      </c>
      <c r="C127" s="12" t="s">
        <v>136</v>
      </c>
      <c r="D127" s="9" t="s">
        <v>12</v>
      </c>
      <c r="E127" s="36"/>
      <c r="AD127" s="22">
        <v>0</v>
      </c>
    </row>
    <row r="128" spans="1:30" x14ac:dyDescent="0.25">
      <c r="A128" s="5">
        <v>124</v>
      </c>
      <c r="B128" s="9">
        <v>3000002698</v>
      </c>
      <c r="C128" s="12" t="s">
        <v>137</v>
      </c>
      <c r="D128" s="9" t="s">
        <v>12</v>
      </c>
      <c r="E128" s="36"/>
      <c r="AD128" s="22">
        <v>0</v>
      </c>
    </row>
    <row r="129" spans="1:30" x14ac:dyDescent="0.25">
      <c r="A129" s="5">
        <v>125</v>
      </c>
      <c r="B129" s="9">
        <v>1000006677</v>
      </c>
      <c r="C129" s="12" t="s">
        <v>138</v>
      </c>
      <c r="D129" s="9" t="s">
        <v>12</v>
      </c>
      <c r="E129" s="36"/>
      <c r="AD129" s="22">
        <v>0</v>
      </c>
    </row>
    <row r="130" spans="1:30" x14ac:dyDescent="0.25">
      <c r="A130" s="5">
        <v>126</v>
      </c>
      <c r="B130" s="9">
        <v>3000002697</v>
      </c>
      <c r="C130" s="12" t="s">
        <v>139</v>
      </c>
      <c r="D130" s="9" t="s">
        <v>12</v>
      </c>
      <c r="E130" s="36"/>
      <c r="AD130" s="22">
        <v>0</v>
      </c>
    </row>
    <row r="131" spans="1:30" x14ac:dyDescent="0.25">
      <c r="A131" s="5">
        <v>127</v>
      </c>
      <c r="B131" s="9">
        <v>1000006676</v>
      </c>
      <c r="C131" s="12" t="s">
        <v>140</v>
      </c>
      <c r="D131" s="9" t="s">
        <v>12</v>
      </c>
      <c r="E131" s="36"/>
      <c r="AD131" s="22">
        <v>0</v>
      </c>
    </row>
    <row r="132" spans="1:30" x14ac:dyDescent="0.25">
      <c r="A132" s="5">
        <v>128</v>
      </c>
      <c r="B132" s="9">
        <v>3000002696</v>
      </c>
      <c r="C132" s="12" t="s">
        <v>141</v>
      </c>
      <c r="D132" s="9" t="s">
        <v>12</v>
      </c>
      <c r="E132" s="36"/>
      <c r="AD132" s="22">
        <v>0</v>
      </c>
    </row>
    <row r="133" spans="1:30" x14ac:dyDescent="0.25">
      <c r="A133" s="5">
        <v>129</v>
      </c>
      <c r="B133" s="9">
        <v>3000002693</v>
      </c>
      <c r="C133" s="12" t="s">
        <v>142</v>
      </c>
      <c r="D133" s="9" t="s">
        <v>12</v>
      </c>
      <c r="E133" s="36"/>
      <c r="AD133" s="22">
        <v>0</v>
      </c>
    </row>
    <row r="134" spans="1:30" x14ac:dyDescent="0.25">
      <c r="A134" s="5">
        <v>130</v>
      </c>
      <c r="B134" s="9" t="s">
        <v>143</v>
      </c>
      <c r="C134" s="12" t="s">
        <v>144</v>
      </c>
      <c r="D134" s="9" t="s">
        <v>12</v>
      </c>
      <c r="E134" s="36"/>
      <c r="AD134" s="22">
        <v>0</v>
      </c>
    </row>
    <row r="135" spans="1:30" x14ac:dyDescent="0.25">
      <c r="A135" s="5">
        <v>131</v>
      </c>
      <c r="B135" s="9">
        <v>3000002692</v>
      </c>
      <c r="C135" s="12" t="s">
        <v>145</v>
      </c>
      <c r="D135" s="9" t="s">
        <v>12</v>
      </c>
      <c r="E135" s="36"/>
      <c r="AD135" s="22">
        <v>0</v>
      </c>
    </row>
    <row r="136" spans="1:30" x14ac:dyDescent="0.25">
      <c r="A136" s="5">
        <v>132</v>
      </c>
      <c r="B136" s="9">
        <v>3000002334</v>
      </c>
      <c r="C136" s="12" t="s">
        <v>146</v>
      </c>
      <c r="D136" s="9" t="s">
        <v>12</v>
      </c>
      <c r="E136" s="36"/>
      <c r="AD136" s="22">
        <v>0</v>
      </c>
    </row>
    <row r="137" spans="1:30" x14ac:dyDescent="0.25">
      <c r="A137" s="5">
        <v>133</v>
      </c>
      <c r="B137" s="9">
        <v>3000003828</v>
      </c>
      <c r="C137" s="12" t="s">
        <v>147</v>
      </c>
      <c r="D137" s="9" t="s">
        <v>12</v>
      </c>
      <c r="E137" s="36"/>
      <c r="AD137" s="22">
        <v>0</v>
      </c>
    </row>
    <row r="138" spans="1:30" x14ac:dyDescent="0.25">
      <c r="A138" s="5">
        <v>134</v>
      </c>
      <c r="B138" s="9">
        <v>3000000358</v>
      </c>
      <c r="C138" s="12" t="s">
        <v>148</v>
      </c>
      <c r="D138" s="9" t="s">
        <v>12</v>
      </c>
      <c r="E138" s="36"/>
      <c r="AD138" s="22">
        <v>0</v>
      </c>
    </row>
    <row r="139" spans="1:30" x14ac:dyDescent="0.25">
      <c r="A139" s="5">
        <v>135</v>
      </c>
      <c r="B139" s="9">
        <v>3000000359</v>
      </c>
      <c r="C139" s="12" t="s">
        <v>149</v>
      </c>
      <c r="D139" s="9" t="s">
        <v>12</v>
      </c>
      <c r="E139" s="36"/>
      <c r="AD139" s="22">
        <v>0</v>
      </c>
    </row>
    <row r="140" spans="1:30" x14ac:dyDescent="0.25">
      <c r="A140" s="5">
        <v>136</v>
      </c>
      <c r="B140" s="9">
        <v>3000000361</v>
      </c>
      <c r="C140" s="12" t="s">
        <v>150</v>
      </c>
      <c r="D140" s="9" t="s">
        <v>12</v>
      </c>
      <c r="E140" s="36"/>
      <c r="AD140" s="22">
        <v>0</v>
      </c>
    </row>
    <row r="141" spans="1:30" x14ac:dyDescent="0.25">
      <c r="A141" s="5">
        <v>137</v>
      </c>
      <c r="B141" s="9">
        <v>3000000363</v>
      </c>
      <c r="C141" s="12" t="s">
        <v>151</v>
      </c>
      <c r="D141" s="9" t="s">
        <v>12</v>
      </c>
      <c r="E141" s="36"/>
      <c r="AD141" s="22">
        <v>0</v>
      </c>
    </row>
    <row r="142" spans="1:30" x14ac:dyDescent="0.25">
      <c r="A142" s="5">
        <v>138</v>
      </c>
      <c r="B142" s="9">
        <v>3000000364</v>
      </c>
      <c r="C142" s="12" t="s">
        <v>152</v>
      </c>
      <c r="D142" s="9" t="s">
        <v>12</v>
      </c>
      <c r="E142" s="36"/>
      <c r="AD142" s="22">
        <v>0</v>
      </c>
    </row>
    <row r="143" spans="1:30" x14ac:dyDescent="0.25">
      <c r="A143" s="5">
        <v>139</v>
      </c>
      <c r="B143" s="9">
        <v>3000001229</v>
      </c>
      <c r="C143" s="12" t="s">
        <v>153</v>
      </c>
      <c r="D143" s="9" t="s">
        <v>12</v>
      </c>
      <c r="E143" s="36"/>
      <c r="AD143" s="22">
        <v>0</v>
      </c>
    </row>
    <row r="144" spans="1:30" x14ac:dyDescent="0.25">
      <c r="A144" s="5">
        <v>140</v>
      </c>
      <c r="B144" s="9">
        <v>3000001060</v>
      </c>
      <c r="C144" s="12" t="s">
        <v>154</v>
      </c>
      <c r="D144" s="9" t="s">
        <v>12</v>
      </c>
      <c r="E144" s="36"/>
      <c r="AD144" s="22">
        <v>0</v>
      </c>
    </row>
    <row r="145" spans="1:30" x14ac:dyDescent="0.25">
      <c r="A145" s="5">
        <v>141</v>
      </c>
      <c r="B145" s="9">
        <v>3000001061</v>
      </c>
      <c r="C145" s="12" t="s">
        <v>155</v>
      </c>
      <c r="D145" s="9" t="s">
        <v>12</v>
      </c>
      <c r="E145" s="36"/>
      <c r="AD145" s="22">
        <v>0</v>
      </c>
    </row>
    <row r="146" spans="1:30" x14ac:dyDescent="0.25">
      <c r="A146" s="5">
        <v>142</v>
      </c>
      <c r="B146" s="9">
        <v>3000001062</v>
      </c>
      <c r="C146" s="12" t="s">
        <v>156</v>
      </c>
      <c r="D146" s="9" t="s">
        <v>12</v>
      </c>
      <c r="E146" s="36"/>
      <c r="AD146" s="22">
        <v>0</v>
      </c>
    </row>
    <row r="147" spans="1:30" x14ac:dyDescent="0.25">
      <c r="A147" s="5">
        <v>143</v>
      </c>
      <c r="B147" s="9">
        <v>1000006776</v>
      </c>
      <c r="C147" s="12" t="s">
        <v>157</v>
      </c>
      <c r="D147" s="9" t="s">
        <v>12</v>
      </c>
      <c r="E147" s="36"/>
      <c r="AD147" s="22">
        <v>0</v>
      </c>
    </row>
    <row r="148" spans="1:30" x14ac:dyDescent="0.25">
      <c r="A148" s="5">
        <v>144</v>
      </c>
      <c r="B148" s="9">
        <v>3000002634</v>
      </c>
      <c r="C148" s="12" t="s">
        <v>158</v>
      </c>
      <c r="D148" s="9" t="s">
        <v>12</v>
      </c>
      <c r="E148" s="36"/>
      <c r="AD148" s="22">
        <v>0</v>
      </c>
    </row>
    <row r="149" spans="1:30" x14ac:dyDescent="0.25">
      <c r="A149" s="5">
        <v>145</v>
      </c>
      <c r="B149" s="9">
        <v>3000002636</v>
      </c>
      <c r="C149" s="12" t="s">
        <v>159</v>
      </c>
      <c r="D149" s="9" t="s">
        <v>12</v>
      </c>
      <c r="E149" s="36"/>
      <c r="AD149" s="22">
        <v>0</v>
      </c>
    </row>
    <row r="150" spans="1:30" x14ac:dyDescent="0.25">
      <c r="A150" s="5">
        <v>146</v>
      </c>
      <c r="B150" s="9">
        <v>3000001063</v>
      </c>
      <c r="C150" s="12" t="s">
        <v>160</v>
      </c>
      <c r="D150" s="9" t="s">
        <v>12</v>
      </c>
      <c r="E150" s="36"/>
      <c r="AD150" s="22">
        <v>0</v>
      </c>
    </row>
    <row r="151" spans="1:30" x14ac:dyDescent="0.25">
      <c r="A151" s="5">
        <v>147</v>
      </c>
      <c r="B151" s="9">
        <v>3000003972</v>
      </c>
      <c r="C151" s="12" t="s">
        <v>161</v>
      </c>
      <c r="D151" s="9" t="s">
        <v>12</v>
      </c>
      <c r="E151" s="36"/>
      <c r="AD151" s="22">
        <v>0</v>
      </c>
    </row>
    <row r="152" spans="1:30" x14ac:dyDescent="0.25">
      <c r="A152" s="5">
        <v>148</v>
      </c>
      <c r="B152" s="9">
        <v>3000001064</v>
      </c>
      <c r="C152" s="12" t="s">
        <v>162</v>
      </c>
      <c r="D152" s="9" t="s">
        <v>12</v>
      </c>
      <c r="E152" s="36"/>
      <c r="AD152" s="22">
        <v>0</v>
      </c>
    </row>
    <row r="153" spans="1:30" x14ac:dyDescent="0.25">
      <c r="A153" s="5">
        <v>149</v>
      </c>
      <c r="B153" s="9">
        <v>3000001065</v>
      </c>
      <c r="C153" s="12" t="s">
        <v>163</v>
      </c>
      <c r="D153" s="9" t="s">
        <v>12</v>
      </c>
      <c r="E153" s="36"/>
      <c r="AD153" s="22">
        <v>0</v>
      </c>
    </row>
    <row r="154" spans="1:30" x14ac:dyDescent="0.25">
      <c r="A154" s="5">
        <v>150</v>
      </c>
      <c r="B154" s="9">
        <v>5000000009</v>
      </c>
      <c r="C154" s="12" t="s">
        <v>164</v>
      </c>
      <c r="D154" s="9" t="s">
        <v>12</v>
      </c>
      <c r="E154" s="36"/>
      <c r="AD154" s="22">
        <v>0</v>
      </c>
    </row>
    <row r="155" spans="1:30" x14ac:dyDescent="0.25">
      <c r="A155" s="5">
        <v>151</v>
      </c>
      <c r="B155" s="9">
        <v>5000000003</v>
      </c>
      <c r="C155" s="12" t="s">
        <v>165</v>
      </c>
      <c r="D155" s="9" t="s">
        <v>12</v>
      </c>
      <c r="E155" s="36"/>
      <c r="AD155" s="22">
        <v>0</v>
      </c>
    </row>
    <row r="156" spans="1:30" x14ac:dyDescent="0.25">
      <c r="A156" s="5">
        <v>152</v>
      </c>
      <c r="B156" s="9">
        <v>5000000002</v>
      </c>
      <c r="C156" s="12" t="s">
        <v>166</v>
      </c>
      <c r="D156" s="9" t="s">
        <v>12</v>
      </c>
      <c r="E156" s="36"/>
      <c r="AD156" s="22">
        <v>0</v>
      </c>
    </row>
    <row r="157" spans="1:30" x14ac:dyDescent="0.25">
      <c r="A157" s="5">
        <v>153</v>
      </c>
      <c r="B157" s="9">
        <v>5000000001</v>
      </c>
      <c r="C157" s="12" t="s">
        <v>167</v>
      </c>
      <c r="D157" s="9" t="s">
        <v>12</v>
      </c>
      <c r="E157" s="36"/>
      <c r="AD157" s="22">
        <v>0</v>
      </c>
    </row>
    <row r="158" spans="1:30" x14ac:dyDescent="0.25">
      <c r="A158" s="5">
        <v>154</v>
      </c>
      <c r="B158" s="9">
        <v>1000006666</v>
      </c>
      <c r="C158" s="12" t="s">
        <v>168</v>
      </c>
      <c r="D158" s="9" t="s">
        <v>12</v>
      </c>
      <c r="E158" s="36"/>
      <c r="AD158" s="22">
        <v>0</v>
      </c>
    </row>
    <row r="159" spans="1:30" x14ac:dyDescent="0.25">
      <c r="A159" s="5">
        <v>155</v>
      </c>
      <c r="B159" s="9">
        <v>4000015675</v>
      </c>
      <c r="C159" s="12" t="s">
        <v>169</v>
      </c>
      <c r="D159" s="9" t="s">
        <v>12</v>
      </c>
      <c r="E159" s="36"/>
      <c r="AD159" s="22">
        <v>0</v>
      </c>
    </row>
    <row r="160" spans="1:30" x14ac:dyDescent="0.25">
      <c r="A160" s="5">
        <v>156</v>
      </c>
      <c r="B160" s="9">
        <v>4000017082</v>
      </c>
      <c r="C160" s="12" t="s">
        <v>170</v>
      </c>
      <c r="D160" s="9" t="s">
        <v>12</v>
      </c>
      <c r="E160" s="36"/>
      <c r="AD160" s="22">
        <v>0</v>
      </c>
    </row>
    <row r="161" spans="1:30" x14ac:dyDescent="0.25">
      <c r="A161" s="5">
        <v>157</v>
      </c>
      <c r="B161" s="9">
        <v>4000017083</v>
      </c>
      <c r="C161" s="12" t="s">
        <v>171</v>
      </c>
      <c r="D161" s="9" t="s">
        <v>12</v>
      </c>
      <c r="E161" s="36"/>
      <c r="AD161" s="22">
        <v>0</v>
      </c>
    </row>
    <row r="162" spans="1:30" x14ac:dyDescent="0.25">
      <c r="A162" s="5">
        <v>158</v>
      </c>
      <c r="B162" s="9">
        <v>4000015873</v>
      </c>
      <c r="C162" s="12" t="s">
        <v>172</v>
      </c>
      <c r="D162" s="9" t="s">
        <v>12</v>
      </c>
      <c r="E162" s="36"/>
      <c r="AD162" s="22">
        <v>0</v>
      </c>
    </row>
    <row r="163" spans="1:30" x14ac:dyDescent="0.25">
      <c r="A163" s="5">
        <v>159</v>
      </c>
      <c r="B163" s="9">
        <v>4000017084</v>
      </c>
      <c r="C163" s="12" t="s">
        <v>173</v>
      </c>
      <c r="D163" s="9" t="s">
        <v>12</v>
      </c>
      <c r="E163" s="36"/>
      <c r="AD163" s="22">
        <v>0</v>
      </c>
    </row>
    <row r="164" spans="1:30" x14ac:dyDescent="0.25">
      <c r="A164" s="22">
        <v>160</v>
      </c>
      <c r="B164" s="22">
        <v>3000003029</v>
      </c>
      <c r="C164" t="s">
        <v>211</v>
      </c>
      <c r="D164" s="22" t="s">
        <v>12</v>
      </c>
      <c r="AD164" s="22">
        <v>0</v>
      </c>
    </row>
    <row r="165" spans="1:30" x14ac:dyDescent="0.25">
      <c r="A165" s="22">
        <v>161</v>
      </c>
      <c r="B165" s="22">
        <v>3000003029</v>
      </c>
      <c r="C165" t="s">
        <v>297</v>
      </c>
      <c r="D165" s="22" t="s">
        <v>12</v>
      </c>
      <c r="AD165" s="22">
        <v>0</v>
      </c>
    </row>
    <row r="166" spans="1:30" x14ac:dyDescent="0.25">
      <c r="A166" s="22">
        <v>162</v>
      </c>
      <c r="B166" s="22">
        <v>1000006010</v>
      </c>
      <c r="C166" t="s">
        <v>298</v>
      </c>
      <c r="D166" s="22" t="s">
        <v>12</v>
      </c>
      <c r="AD166" s="22">
        <v>0</v>
      </c>
    </row>
    <row r="167" spans="1:30" x14ac:dyDescent="0.25">
      <c r="A167" s="22">
        <v>163</v>
      </c>
      <c r="B167" s="22">
        <v>3000001220</v>
      </c>
      <c r="C167" t="s">
        <v>300</v>
      </c>
      <c r="D167" s="22" t="s">
        <v>12</v>
      </c>
      <c r="AD167" s="22">
        <v>0</v>
      </c>
    </row>
    <row r="168" spans="1:30" x14ac:dyDescent="0.25">
      <c r="A168" s="22">
        <v>164</v>
      </c>
      <c r="B168" s="22">
        <v>3000001221</v>
      </c>
      <c r="C168" t="s">
        <v>302</v>
      </c>
      <c r="D168" s="22" t="s">
        <v>12</v>
      </c>
      <c r="AD168" s="22">
        <v>0</v>
      </c>
    </row>
    <row r="169" spans="1:30" x14ac:dyDescent="0.25">
      <c r="A169" s="22">
        <v>165</v>
      </c>
      <c r="B169" s="22">
        <v>3000001223</v>
      </c>
      <c r="C169" t="s">
        <v>304</v>
      </c>
      <c r="D169" s="22" t="s">
        <v>12</v>
      </c>
      <c r="AD169" s="22">
        <v>0</v>
      </c>
    </row>
    <row r="170" spans="1:30" x14ac:dyDescent="0.25">
      <c r="A170" s="22">
        <v>166</v>
      </c>
      <c r="B170" s="22">
        <v>3000001224</v>
      </c>
      <c r="C170" t="s">
        <v>306</v>
      </c>
      <c r="D170" s="22" t="s">
        <v>12</v>
      </c>
      <c r="AD170" s="22">
        <v>0</v>
      </c>
    </row>
    <row r="171" spans="1:30" x14ac:dyDescent="0.25">
      <c r="A171" s="22">
        <v>167</v>
      </c>
      <c r="B171" s="22">
        <v>3000003827</v>
      </c>
      <c r="C171" t="s">
        <v>446</v>
      </c>
      <c r="D171" s="22" t="s">
        <v>12</v>
      </c>
      <c r="AD171" s="22">
        <v>0</v>
      </c>
    </row>
    <row r="172" spans="1:30" x14ac:dyDescent="0.25">
      <c r="A172" s="22">
        <v>168</v>
      </c>
      <c r="B172" s="22">
        <v>3000001802</v>
      </c>
      <c r="C172" t="s">
        <v>448</v>
      </c>
      <c r="D172" s="22" t="s">
        <v>12</v>
      </c>
      <c r="AD172" s="22">
        <v>0</v>
      </c>
    </row>
    <row r="173" spans="1:30" x14ac:dyDescent="0.25">
      <c r="A173" s="22">
        <v>169</v>
      </c>
      <c r="B173" s="22" t="s">
        <v>35</v>
      </c>
      <c r="C173" t="s">
        <v>449</v>
      </c>
      <c r="D173" s="22" t="s">
        <v>12</v>
      </c>
      <c r="AD173" s="22">
        <v>0</v>
      </c>
    </row>
    <row r="174" spans="1:30" x14ac:dyDescent="0.25">
      <c r="A174" s="22">
        <v>170</v>
      </c>
      <c r="B174" s="22" t="s">
        <v>35</v>
      </c>
      <c r="C174" t="s">
        <v>450</v>
      </c>
      <c r="D174" s="22" t="s">
        <v>12</v>
      </c>
      <c r="AD174" s="22">
        <v>0</v>
      </c>
    </row>
    <row r="175" spans="1:30" x14ac:dyDescent="0.25">
      <c r="A175" s="22">
        <v>171</v>
      </c>
      <c r="B175" s="22" t="s">
        <v>35</v>
      </c>
      <c r="C175" t="s">
        <v>510</v>
      </c>
      <c r="D175" s="22" t="s">
        <v>12</v>
      </c>
      <c r="AD175" s="22">
        <v>0</v>
      </c>
    </row>
    <row r="176" spans="1:30" x14ac:dyDescent="0.25">
      <c r="A176" s="22">
        <v>172</v>
      </c>
      <c r="B176" s="22" t="s">
        <v>35</v>
      </c>
      <c r="C176" t="s">
        <v>516</v>
      </c>
      <c r="D176" s="22" t="s">
        <v>12</v>
      </c>
      <c r="AD176" s="22">
        <v>0</v>
      </c>
    </row>
    <row r="177" spans="1:30" x14ac:dyDescent="0.25">
      <c r="A177" s="22">
        <v>173</v>
      </c>
      <c r="B177" s="22" t="s">
        <v>35</v>
      </c>
      <c r="C177" t="s">
        <v>600</v>
      </c>
      <c r="D177" s="22" t="s">
        <v>12</v>
      </c>
      <c r="AD177" s="22">
        <v>0</v>
      </c>
    </row>
    <row r="178" spans="1:30" x14ac:dyDescent="0.25">
      <c r="A178" s="22">
        <v>174</v>
      </c>
      <c r="B178" s="22" t="s">
        <v>35</v>
      </c>
      <c r="C178" t="s">
        <v>601</v>
      </c>
      <c r="D178" s="22" t="s">
        <v>12</v>
      </c>
      <c r="AD178" s="22">
        <v>0</v>
      </c>
    </row>
    <row r="179" spans="1:30" x14ac:dyDescent="0.25">
      <c r="A179" s="22">
        <v>99</v>
      </c>
      <c r="B179" s="22" t="s">
        <v>35</v>
      </c>
      <c r="C179" t="s">
        <v>1383</v>
      </c>
      <c r="D179" s="22" t="s">
        <v>12</v>
      </c>
      <c r="AD179" s="22">
        <v>0</v>
      </c>
    </row>
    <row r="180" spans="1:30" x14ac:dyDescent="0.25">
      <c r="A180" s="22">
        <v>99</v>
      </c>
      <c r="B180" s="22" t="s">
        <v>35</v>
      </c>
      <c r="C180" t="s">
        <v>1557</v>
      </c>
      <c r="D180" s="22" t="s">
        <v>12</v>
      </c>
      <c r="AD180" s="22">
        <v>0</v>
      </c>
    </row>
    <row r="181" spans="1:30" x14ac:dyDescent="0.25">
      <c r="A181" s="22">
        <v>101</v>
      </c>
      <c r="B181" s="22">
        <v>3000000008</v>
      </c>
      <c r="C181" t="s">
        <v>1565</v>
      </c>
      <c r="D181" s="22" t="s">
        <v>12</v>
      </c>
      <c r="AD181" s="22">
        <v>0</v>
      </c>
    </row>
    <row r="182" spans="1:30" x14ac:dyDescent="0.25">
      <c r="A182" s="22">
        <v>178</v>
      </c>
      <c r="B182" s="22" t="s">
        <v>35</v>
      </c>
      <c r="C182" t="s">
        <v>1662</v>
      </c>
      <c r="D182" s="22" t="s">
        <v>12</v>
      </c>
      <c r="AD182" s="22">
        <v>0</v>
      </c>
    </row>
    <row r="183" spans="1:30" x14ac:dyDescent="0.25">
      <c r="A183" s="22">
        <v>80</v>
      </c>
      <c r="B183" s="22" t="s">
        <v>35</v>
      </c>
      <c r="C183" t="s">
        <v>1574</v>
      </c>
      <c r="D183" s="22" t="s">
        <v>12</v>
      </c>
      <c r="AD183" s="22">
        <v>0</v>
      </c>
    </row>
    <row r="184" spans="1:30" x14ac:dyDescent="0.25">
      <c r="A184" s="22">
        <v>81</v>
      </c>
      <c r="B184" s="22">
        <v>1000014673</v>
      </c>
      <c r="C184" t="s">
        <v>1575</v>
      </c>
      <c r="D184" s="22" t="s">
        <v>12</v>
      </c>
      <c r="AD184" s="22">
        <v>0</v>
      </c>
    </row>
    <row r="185" spans="1:30" x14ac:dyDescent="0.25">
      <c r="A185" s="22">
        <v>181</v>
      </c>
      <c r="B185" s="22">
        <v>4000021502</v>
      </c>
      <c r="C185" t="s">
        <v>1576</v>
      </c>
      <c r="D185" s="22" t="s">
        <v>12</v>
      </c>
      <c r="AD185" s="22">
        <v>0</v>
      </c>
    </row>
    <row r="186" spans="1:30" x14ac:dyDescent="0.25">
      <c r="A186" s="22">
        <v>100</v>
      </c>
      <c r="B186" s="22">
        <v>3000002696</v>
      </c>
      <c r="C186" t="s">
        <v>1580</v>
      </c>
      <c r="D186" s="22" t="s">
        <v>12</v>
      </c>
      <c r="AD186" s="22">
        <v>0</v>
      </c>
    </row>
    <row r="187" spans="1:30" x14ac:dyDescent="0.25">
      <c r="A187" s="22">
        <v>101</v>
      </c>
      <c r="B187" s="22">
        <v>3000000707</v>
      </c>
      <c r="C187" t="s">
        <v>1618</v>
      </c>
      <c r="D187" s="22" t="s">
        <v>12</v>
      </c>
      <c r="AD187" s="22">
        <v>0</v>
      </c>
    </row>
  </sheetData>
  <mergeCells count="3">
    <mergeCell ref="A1:A2"/>
    <mergeCell ref="B1:B2"/>
    <mergeCell ref="C1:C2"/>
  </mergeCells>
  <conditionalFormatting sqref="A14:XFD14">
    <cfRule type="expression" dxfId="367" priority="1" stopIfTrue="1">
      <formula>AND(ROW()&gt;=14,ROW()&lt;=14)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187"/>
  <sheetViews>
    <sheetView workbookViewId="0">
      <pane xSplit="5" ySplit="4" topLeftCell="AG176" activePane="bottomRight" state="frozen"/>
      <selection pane="topRight" activeCell="F1" sqref="F1"/>
      <selection pane="bottomLeft" activeCell="A5" sqref="A5"/>
      <selection pane="bottomRight" activeCell="C195" sqref="C195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51" width="9.140625" style="22" customWidth="1"/>
  </cols>
  <sheetData>
    <row r="1" spans="1:51" ht="26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5"/>
      <c r="AY1" s="25" t="s">
        <v>177</v>
      </c>
    </row>
    <row r="2" spans="1:51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</row>
    <row r="3" spans="1:51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27"/>
      <c r="AY3" s="27"/>
    </row>
    <row r="4" spans="1:51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</row>
    <row r="5" spans="1:51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AY5" s="22">
        <v>0</v>
      </c>
    </row>
    <row r="6" spans="1:51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AY6" s="22">
        <v>0</v>
      </c>
    </row>
    <row r="7" spans="1:51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AY7" s="22">
        <v>0</v>
      </c>
    </row>
    <row r="8" spans="1:51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AY8" s="22">
        <v>0</v>
      </c>
    </row>
    <row r="9" spans="1:51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AY9" s="22">
        <v>0</v>
      </c>
    </row>
    <row r="10" spans="1:51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AY10" s="22">
        <v>0</v>
      </c>
    </row>
    <row r="11" spans="1:51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AY11" s="22">
        <v>0</v>
      </c>
    </row>
    <row r="12" spans="1:51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AY12" s="22">
        <v>0</v>
      </c>
    </row>
    <row r="13" spans="1:51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AY13" s="22">
        <v>0</v>
      </c>
    </row>
    <row r="14" spans="1:51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AY14" s="22">
        <v>0</v>
      </c>
    </row>
    <row r="15" spans="1:51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AY15" s="22">
        <v>0</v>
      </c>
    </row>
    <row r="16" spans="1:51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AY16" s="22">
        <v>0</v>
      </c>
    </row>
    <row r="17" spans="1:51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AY17" s="22">
        <v>0</v>
      </c>
    </row>
    <row r="18" spans="1:51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AY18" s="22">
        <v>0</v>
      </c>
    </row>
    <row r="19" spans="1:51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AY19" s="22">
        <v>0</v>
      </c>
    </row>
    <row r="20" spans="1:51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AY20" s="22">
        <v>0</v>
      </c>
    </row>
    <row r="21" spans="1:51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AY21" s="22">
        <v>0</v>
      </c>
    </row>
    <row r="22" spans="1:51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AY22" s="22">
        <v>0</v>
      </c>
    </row>
    <row r="23" spans="1:51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AY23" s="22">
        <v>0</v>
      </c>
    </row>
    <row r="24" spans="1:51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AY24" s="22">
        <v>0</v>
      </c>
    </row>
    <row r="25" spans="1:51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AY25" s="22">
        <v>0</v>
      </c>
    </row>
    <row r="26" spans="1:51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AY26" s="22">
        <v>0</v>
      </c>
    </row>
    <row r="27" spans="1:51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AY27" s="22">
        <v>0</v>
      </c>
    </row>
    <row r="28" spans="1:51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AY28" s="22">
        <v>0</v>
      </c>
    </row>
    <row r="29" spans="1:51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AY29" s="22">
        <v>0</v>
      </c>
    </row>
    <row r="30" spans="1:51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AY30" s="22">
        <v>0</v>
      </c>
    </row>
    <row r="31" spans="1:51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AY31" s="22">
        <v>0</v>
      </c>
    </row>
    <row r="32" spans="1:51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AY32" s="22">
        <v>0</v>
      </c>
    </row>
    <row r="33" spans="1:51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AY33" s="22">
        <v>0</v>
      </c>
    </row>
    <row r="34" spans="1:51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AY34" s="22">
        <v>0</v>
      </c>
    </row>
    <row r="35" spans="1:51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AY35" s="22">
        <v>0</v>
      </c>
    </row>
    <row r="36" spans="1:51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AY36" s="22">
        <v>0</v>
      </c>
    </row>
    <row r="37" spans="1:51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AY37" s="22">
        <v>0</v>
      </c>
    </row>
    <row r="38" spans="1:51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AY38" s="22">
        <v>0</v>
      </c>
    </row>
    <row r="39" spans="1:51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AY39" s="22">
        <v>0</v>
      </c>
    </row>
    <row r="40" spans="1:51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AY40" s="22">
        <v>0</v>
      </c>
    </row>
    <row r="41" spans="1:51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AY41" s="22">
        <v>0</v>
      </c>
    </row>
    <row r="42" spans="1:51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AY42" s="22">
        <v>0</v>
      </c>
    </row>
    <row r="43" spans="1:51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AY43" s="22">
        <v>0</v>
      </c>
    </row>
    <row r="44" spans="1:51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AY44" s="22">
        <v>0</v>
      </c>
    </row>
    <row r="45" spans="1:51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AY45" s="22">
        <v>0</v>
      </c>
    </row>
    <row r="46" spans="1:51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AY46" s="22">
        <v>0</v>
      </c>
    </row>
    <row r="47" spans="1:51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AY47" s="22">
        <v>0</v>
      </c>
    </row>
    <row r="48" spans="1:51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AY48" s="22">
        <v>0</v>
      </c>
    </row>
    <row r="49" spans="1:51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AY49" s="22">
        <v>0</v>
      </c>
    </row>
    <row r="50" spans="1:51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AY50" s="22">
        <v>0</v>
      </c>
    </row>
    <row r="51" spans="1:51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AY51" s="22">
        <v>0</v>
      </c>
    </row>
    <row r="52" spans="1:51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AY52" s="22">
        <v>0</v>
      </c>
    </row>
    <row r="53" spans="1:51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AY53" s="22">
        <v>0</v>
      </c>
    </row>
    <row r="54" spans="1:51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AY54" s="22">
        <v>0</v>
      </c>
    </row>
    <row r="55" spans="1:51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AY55" s="22">
        <v>0</v>
      </c>
    </row>
    <row r="56" spans="1:51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AY56" s="22">
        <v>0</v>
      </c>
    </row>
    <row r="57" spans="1:51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AY57" s="22">
        <v>0</v>
      </c>
    </row>
    <row r="58" spans="1:51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AY58" s="22">
        <v>0</v>
      </c>
    </row>
    <row r="59" spans="1:51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AY59" s="22">
        <v>0</v>
      </c>
    </row>
    <row r="60" spans="1:51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AY60" s="22">
        <v>0</v>
      </c>
    </row>
    <row r="61" spans="1:51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AY61" s="22">
        <v>0</v>
      </c>
    </row>
    <row r="62" spans="1:51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AY62" s="22">
        <v>0</v>
      </c>
    </row>
    <row r="63" spans="1:51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AY63" s="22">
        <v>0</v>
      </c>
    </row>
    <row r="64" spans="1:51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AY64" s="22">
        <v>0</v>
      </c>
    </row>
    <row r="65" spans="1:51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AY65" s="22">
        <v>0</v>
      </c>
    </row>
    <row r="66" spans="1:51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AY66" s="22">
        <v>0</v>
      </c>
    </row>
    <row r="67" spans="1:51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AY67" s="22">
        <v>0</v>
      </c>
    </row>
    <row r="68" spans="1:51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AY68" s="22">
        <v>0</v>
      </c>
    </row>
    <row r="69" spans="1:51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AY69" s="22">
        <v>0</v>
      </c>
    </row>
    <row r="70" spans="1:51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AY70" s="22">
        <v>0</v>
      </c>
    </row>
    <row r="71" spans="1:51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AY71" s="22">
        <v>0</v>
      </c>
    </row>
    <row r="72" spans="1:51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AY72" s="22">
        <v>0</v>
      </c>
    </row>
    <row r="73" spans="1:51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AY73" s="22">
        <v>0</v>
      </c>
    </row>
    <row r="74" spans="1:51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AY74" s="22">
        <v>0</v>
      </c>
    </row>
    <row r="75" spans="1:51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AY75" s="22">
        <v>0</v>
      </c>
    </row>
    <row r="76" spans="1:51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AY76" s="22">
        <v>0</v>
      </c>
    </row>
    <row r="77" spans="1:51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AY77" s="22">
        <v>0</v>
      </c>
    </row>
    <row r="78" spans="1:51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AY78" s="22">
        <v>0</v>
      </c>
    </row>
    <row r="79" spans="1:51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AY79" s="22">
        <v>0</v>
      </c>
    </row>
    <row r="80" spans="1:51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AY80" s="22">
        <v>0</v>
      </c>
    </row>
    <row r="81" spans="1:51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AY81" s="22">
        <v>0</v>
      </c>
    </row>
    <row r="82" spans="1:51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AY82" s="22">
        <v>0</v>
      </c>
    </row>
    <row r="83" spans="1:51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AY83" s="22">
        <v>0</v>
      </c>
    </row>
    <row r="84" spans="1:51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AY84" s="22">
        <v>0</v>
      </c>
    </row>
    <row r="85" spans="1:51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AY85" s="22">
        <v>0</v>
      </c>
    </row>
    <row r="86" spans="1:51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AY86" s="22">
        <v>0</v>
      </c>
    </row>
    <row r="87" spans="1:51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AY87" s="22">
        <v>0</v>
      </c>
    </row>
    <row r="88" spans="1:51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AY88" s="22">
        <v>0</v>
      </c>
    </row>
    <row r="89" spans="1:51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AY89" s="22">
        <v>0</v>
      </c>
    </row>
    <row r="90" spans="1:51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AY90" s="22">
        <v>0</v>
      </c>
    </row>
    <row r="91" spans="1:51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AY91" s="22">
        <v>0</v>
      </c>
    </row>
    <row r="92" spans="1:51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AY92" s="22">
        <v>0</v>
      </c>
    </row>
    <row r="93" spans="1:51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AY93" s="22">
        <v>0</v>
      </c>
    </row>
    <row r="94" spans="1:51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AY94" s="22">
        <v>0</v>
      </c>
    </row>
    <row r="95" spans="1:51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AY95" s="22">
        <v>0</v>
      </c>
    </row>
    <row r="96" spans="1:51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AY96" s="22">
        <v>0</v>
      </c>
    </row>
    <row r="97" spans="1:51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AY97" s="22">
        <v>0</v>
      </c>
    </row>
    <row r="98" spans="1:51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AY98" s="22">
        <v>0</v>
      </c>
    </row>
    <row r="99" spans="1:51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AY99" s="22">
        <v>0</v>
      </c>
    </row>
    <row r="100" spans="1:51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AY100" s="22">
        <v>0</v>
      </c>
    </row>
    <row r="101" spans="1:51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AY101" s="22">
        <v>0</v>
      </c>
    </row>
    <row r="102" spans="1:51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AY102" s="22">
        <v>0</v>
      </c>
    </row>
    <row r="103" spans="1:51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AY103" s="22">
        <v>0</v>
      </c>
    </row>
    <row r="104" spans="1:51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AY104" s="22">
        <v>0</v>
      </c>
    </row>
    <row r="105" spans="1:51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AY105" s="22">
        <v>0</v>
      </c>
    </row>
    <row r="106" spans="1:51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AY106" s="22">
        <v>0</v>
      </c>
    </row>
    <row r="107" spans="1:51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AY107" s="22">
        <v>0</v>
      </c>
    </row>
    <row r="108" spans="1:51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AY108" s="22">
        <v>0</v>
      </c>
    </row>
    <row r="109" spans="1:51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AY109" s="22">
        <v>0</v>
      </c>
    </row>
    <row r="110" spans="1:51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AY110" s="22">
        <v>0</v>
      </c>
    </row>
    <row r="111" spans="1:51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AY111" s="22">
        <v>0</v>
      </c>
    </row>
    <row r="112" spans="1:51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AY112" s="22">
        <v>0</v>
      </c>
    </row>
    <row r="113" spans="1:51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AY113" s="22">
        <v>0</v>
      </c>
    </row>
    <row r="114" spans="1:51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AY114" s="22">
        <v>0</v>
      </c>
    </row>
    <row r="115" spans="1:51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AY115" s="22">
        <v>0</v>
      </c>
    </row>
    <row r="116" spans="1:51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AY116" s="22">
        <v>0</v>
      </c>
    </row>
    <row r="117" spans="1:51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AY117" s="22">
        <v>0</v>
      </c>
    </row>
    <row r="118" spans="1:51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AY118" s="22">
        <v>0</v>
      </c>
    </row>
    <row r="119" spans="1:51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AY119" s="22">
        <v>0</v>
      </c>
    </row>
    <row r="120" spans="1:51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AY120" s="22">
        <v>0</v>
      </c>
    </row>
    <row r="121" spans="1:51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AY121" s="22">
        <v>0</v>
      </c>
    </row>
    <row r="122" spans="1:51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AY122" s="22">
        <v>0</v>
      </c>
    </row>
    <row r="123" spans="1:51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AY123" s="22">
        <v>0</v>
      </c>
    </row>
    <row r="124" spans="1:51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AY124" s="22">
        <v>0</v>
      </c>
    </row>
    <row r="125" spans="1:51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AY125" s="22">
        <v>0</v>
      </c>
    </row>
    <row r="126" spans="1:51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AY126" s="22">
        <v>0</v>
      </c>
    </row>
    <row r="127" spans="1:51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AY127" s="22">
        <v>0</v>
      </c>
    </row>
    <row r="128" spans="1:51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AY128" s="22">
        <v>0</v>
      </c>
    </row>
    <row r="129" spans="1:51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AY129" s="22">
        <v>0</v>
      </c>
    </row>
    <row r="130" spans="1:51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AY130" s="22">
        <v>0</v>
      </c>
    </row>
    <row r="131" spans="1:51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AY131" s="22">
        <v>0</v>
      </c>
    </row>
    <row r="132" spans="1:51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AY132" s="22">
        <v>0</v>
      </c>
    </row>
    <row r="133" spans="1:51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AY133" s="22">
        <v>0</v>
      </c>
    </row>
    <row r="134" spans="1:51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AY134" s="22">
        <v>0</v>
      </c>
    </row>
    <row r="135" spans="1:51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AY135" s="22">
        <v>0</v>
      </c>
    </row>
    <row r="136" spans="1:51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AY136" s="22">
        <v>0</v>
      </c>
    </row>
    <row r="137" spans="1:51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AY137" s="22">
        <v>0</v>
      </c>
    </row>
    <row r="138" spans="1:51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AY138" s="22">
        <v>0</v>
      </c>
    </row>
    <row r="139" spans="1:51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AY139" s="22">
        <v>0</v>
      </c>
    </row>
    <row r="140" spans="1:51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AY140" s="22">
        <v>0</v>
      </c>
    </row>
    <row r="141" spans="1:51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AY141" s="22">
        <v>0</v>
      </c>
    </row>
    <row r="142" spans="1:51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AY142" s="22">
        <v>0</v>
      </c>
    </row>
    <row r="143" spans="1:51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AY143" s="22">
        <v>0</v>
      </c>
    </row>
    <row r="144" spans="1:51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AY144" s="22">
        <v>0</v>
      </c>
    </row>
    <row r="145" spans="1:51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AY145" s="22">
        <v>0</v>
      </c>
    </row>
    <row r="146" spans="1:51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AY146" s="22">
        <v>0</v>
      </c>
    </row>
    <row r="147" spans="1:51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AY147" s="22">
        <v>0</v>
      </c>
    </row>
    <row r="148" spans="1:51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AY148" s="22">
        <v>0</v>
      </c>
    </row>
    <row r="149" spans="1:51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AY149" s="22">
        <v>0</v>
      </c>
    </row>
    <row r="150" spans="1:51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AY150" s="22">
        <v>0</v>
      </c>
    </row>
    <row r="151" spans="1:51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AY151" s="22">
        <v>0</v>
      </c>
    </row>
    <row r="152" spans="1:51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AY152" s="22">
        <v>0</v>
      </c>
    </row>
    <row r="153" spans="1:51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AY153" s="22">
        <v>0</v>
      </c>
    </row>
    <row r="154" spans="1:51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AY154" s="22">
        <v>0</v>
      </c>
    </row>
    <row r="155" spans="1:51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AY155" s="22">
        <v>0</v>
      </c>
    </row>
    <row r="156" spans="1:51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AY156" s="22">
        <v>0</v>
      </c>
    </row>
    <row r="157" spans="1:51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AY157" s="22">
        <v>0</v>
      </c>
    </row>
    <row r="158" spans="1:51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AY158" s="22">
        <v>0</v>
      </c>
    </row>
    <row r="159" spans="1:51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AY159" s="22">
        <v>0</v>
      </c>
    </row>
    <row r="160" spans="1:51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AY160" s="22">
        <v>0</v>
      </c>
    </row>
    <row r="161" spans="1:51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AY161" s="22">
        <v>0</v>
      </c>
    </row>
    <row r="162" spans="1:51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AY162" s="22">
        <v>0</v>
      </c>
    </row>
    <row r="163" spans="1:51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AY163" s="22">
        <v>0</v>
      </c>
    </row>
    <row r="164" spans="1:51" x14ac:dyDescent="0.25">
      <c r="A164" s="22">
        <v>160</v>
      </c>
      <c r="B164" s="22">
        <v>3000003029</v>
      </c>
      <c r="C164" t="s">
        <v>211</v>
      </c>
      <c r="D164" s="22" t="s">
        <v>12</v>
      </c>
      <c r="AY164" s="22">
        <v>0</v>
      </c>
    </row>
    <row r="165" spans="1:51" x14ac:dyDescent="0.25">
      <c r="A165" s="22">
        <v>161</v>
      </c>
      <c r="B165" s="22">
        <v>3000003029</v>
      </c>
      <c r="C165" t="s">
        <v>297</v>
      </c>
      <c r="D165" s="22" t="s">
        <v>12</v>
      </c>
      <c r="AY165" s="22">
        <v>0</v>
      </c>
    </row>
    <row r="166" spans="1:51" x14ac:dyDescent="0.25">
      <c r="A166" s="22">
        <v>162</v>
      </c>
      <c r="B166" s="22">
        <v>1000006010</v>
      </c>
      <c r="C166" t="s">
        <v>298</v>
      </c>
      <c r="D166" s="22" t="s">
        <v>12</v>
      </c>
      <c r="AY166" s="22">
        <v>0</v>
      </c>
    </row>
    <row r="167" spans="1:51" x14ac:dyDescent="0.25">
      <c r="A167" s="22">
        <v>163</v>
      </c>
      <c r="B167" s="22">
        <v>3000001220</v>
      </c>
      <c r="C167" t="s">
        <v>300</v>
      </c>
      <c r="D167" s="22" t="s">
        <v>12</v>
      </c>
      <c r="AY167" s="22">
        <v>0</v>
      </c>
    </row>
    <row r="168" spans="1:51" x14ac:dyDescent="0.25">
      <c r="A168" s="22">
        <v>164</v>
      </c>
      <c r="B168" s="22">
        <v>3000001221</v>
      </c>
      <c r="C168" t="s">
        <v>302</v>
      </c>
      <c r="D168" s="22" t="s">
        <v>12</v>
      </c>
      <c r="AY168" s="22">
        <v>0</v>
      </c>
    </row>
    <row r="169" spans="1:51" x14ac:dyDescent="0.25">
      <c r="A169" s="22">
        <v>165</v>
      </c>
      <c r="B169" s="22">
        <v>3000001223</v>
      </c>
      <c r="C169" t="s">
        <v>304</v>
      </c>
      <c r="D169" s="22" t="s">
        <v>12</v>
      </c>
      <c r="AY169" s="22">
        <v>0</v>
      </c>
    </row>
    <row r="170" spans="1:51" x14ac:dyDescent="0.25">
      <c r="A170" s="22">
        <v>166</v>
      </c>
      <c r="B170" s="22">
        <v>3000001224</v>
      </c>
      <c r="C170" t="s">
        <v>306</v>
      </c>
      <c r="D170" s="22" t="s">
        <v>12</v>
      </c>
      <c r="AY170" s="22">
        <v>0</v>
      </c>
    </row>
    <row r="171" spans="1:51" x14ac:dyDescent="0.25">
      <c r="A171" s="22">
        <v>167</v>
      </c>
      <c r="B171" s="22">
        <v>3000003827</v>
      </c>
      <c r="C171" t="s">
        <v>446</v>
      </c>
      <c r="D171" s="22" t="s">
        <v>12</v>
      </c>
      <c r="AY171" s="22">
        <v>0</v>
      </c>
    </row>
    <row r="172" spans="1:51" x14ac:dyDescent="0.25">
      <c r="A172" s="22">
        <v>168</v>
      </c>
      <c r="B172" s="22">
        <v>3000001802</v>
      </c>
      <c r="C172" t="s">
        <v>448</v>
      </c>
      <c r="D172" s="22" t="s">
        <v>12</v>
      </c>
      <c r="AY172" s="22">
        <v>0</v>
      </c>
    </row>
    <row r="173" spans="1:51" x14ac:dyDescent="0.25">
      <c r="A173" s="22">
        <v>169</v>
      </c>
      <c r="B173" s="22" t="s">
        <v>35</v>
      </c>
      <c r="C173" t="s">
        <v>449</v>
      </c>
      <c r="D173" s="22" t="s">
        <v>12</v>
      </c>
      <c r="AY173" s="22">
        <v>0</v>
      </c>
    </row>
    <row r="174" spans="1:51" x14ac:dyDescent="0.25">
      <c r="A174" s="22">
        <v>170</v>
      </c>
      <c r="B174" s="22" t="s">
        <v>35</v>
      </c>
      <c r="C174" t="s">
        <v>450</v>
      </c>
      <c r="D174" s="22" t="s">
        <v>12</v>
      </c>
      <c r="AY174" s="22">
        <v>0</v>
      </c>
    </row>
    <row r="175" spans="1:51" x14ac:dyDescent="0.25">
      <c r="A175" s="22">
        <v>171</v>
      </c>
      <c r="B175" s="22" t="s">
        <v>35</v>
      </c>
      <c r="C175" t="s">
        <v>510</v>
      </c>
      <c r="D175" s="22" t="s">
        <v>12</v>
      </c>
      <c r="AY175" s="22">
        <v>0</v>
      </c>
    </row>
    <row r="176" spans="1:51" x14ac:dyDescent="0.25">
      <c r="A176" s="22">
        <v>172</v>
      </c>
      <c r="B176" s="22" t="s">
        <v>35</v>
      </c>
      <c r="C176" t="s">
        <v>516</v>
      </c>
      <c r="D176" s="22" t="s">
        <v>12</v>
      </c>
      <c r="AY176" s="22">
        <v>0</v>
      </c>
    </row>
    <row r="177" spans="1:51" x14ac:dyDescent="0.25">
      <c r="A177" s="22">
        <v>173</v>
      </c>
      <c r="B177" s="22" t="s">
        <v>35</v>
      </c>
      <c r="C177" t="s">
        <v>600</v>
      </c>
      <c r="D177" s="22" t="s">
        <v>12</v>
      </c>
      <c r="AY177" s="22">
        <v>0</v>
      </c>
    </row>
    <row r="178" spans="1:51" x14ac:dyDescent="0.25">
      <c r="A178" s="22">
        <v>174</v>
      </c>
      <c r="B178" s="22" t="s">
        <v>35</v>
      </c>
      <c r="C178" t="s">
        <v>601</v>
      </c>
      <c r="D178" s="22" t="s">
        <v>12</v>
      </c>
      <c r="AY178" s="22">
        <v>0</v>
      </c>
    </row>
    <row r="179" spans="1:51" x14ac:dyDescent="0.25">
      <c r="A179" s="22">
        <v>99</v>
      </c>
      <c r="B179" s="22" t="s">
        <v>35</v>
      </c>
      <c r="C179" t="s">
        <v>1383</v>
      </c>
      <c r="D179" s="22" t="s">
        <v>12</v>
      </c>
      <c r="AY179" s="22">
        <v>0</v>
      </c>
    </row>
    <row r="180" spans="1:51" x14ac:dyDescent="0.25">
      <c r="A180" s="22">
        <v>99</v>
      </c>
      <c r="B180" s="22" t="s">
        <v>35</v>
      </c>
      <c r="C180" t="s">
        <v>1557</v>
      </c>
      <c r="D180" s="22" t="s">
        <v>12</v>
      </c>
      <c r="AY180" s="22">
        <v>0</v>
      </c>
    </row>
    <row r="181" spans="1:51" x14ac:dyDescent="0.25">
      <c r="A181" s="22">
        <v>101</v>
      </c>
      <c r="B181" s="22">
        <v>3000000008</v>
      </c>
      <c r="C181" t="s">
        <v>1565</v>
      </c>
      <c r="D181" s="22" t="s">
        <v>12</v>
      </c>
      <c r="AY181" s="22">
        <v>0</v>
      </c>
    </row>
    <row r="182" spans="1:51" x14ac:dyDescent="0.25">
      <c r="A182" s="22">
        <v>178</v>
      </c>
      <c r="B182" s="22" t="s">
        <v>35</v>
      </c>
      <c r="C182" t="s">
        <v>1662</v>
      </c>
      <c r="D182" s="22" t="s">
        <v>12</v>
      </c>
      <c r="AY182" s="22">
        <v>0</v>
      </c>
    </row>
    <row r="183" spans="1:51" x14ac:dyDescent="0.25">
      <c r="A183" s="22">
        <v>80</v>
      </c>
      <c r="B183" s="22" t="s">
        <v>35</v>
      </c>
      <c r="C183" t="s">
        <v>1574</v>
      </c>
      <c r="D183" s="22" t="s">
        <v>12</v>
      </c>
      <c r="AY183" s="22">
        <v>0</v>
      </c>
    </row>
    <row r="184" spans="1:51" x14ac:dyDescent="0.25">
      <c r="A184" s="22">
        <v>81</v>
      </c>
      <c r="B184" s="22">
        <v>1000014673</v>
      </c>
      <c r="C184" t="s">
        <v>1575</v>
      </c>
      <c r="D184" s="22" t="s">
        <v>12</v>
      </c>
      <c r="AY184" s="22">
        <v>0</v>
      </c>
    </row>
    <row r="185" spans="1:51" x14ac:dyDescent="0.25">
      <c r="A185" s="22">
        <v>181</v>
      </c>
      <c r="B185" s="22">
        <v>4000021502</v>
      </c>
      <c r="C185" t="s">
        <v>1576</v>
      </c>
      <c r="D185" s="22" t="s">
        <v>12</v>
      </c>
      <c r="AY185" s="22">
        <v>0</v>
      </c>
    </row>
    <row r="186" spans="1:51" x14ac:dyDescent="0.25">
      <c r="A186" s="22">
        <v>100</v>
      </c>
      <c r="B186" s="22">
        <v>3000002696</v>
      </c>
      <c r="C186" t="s">
        <v>1580</v>
      </c>
      <c r="D186" s="22" t="s">
        <v>12</v>
      </c>
      <c r="AY186" s="22">
        <v>0</v>
      </c>
    </row>
    <row r="187" spans="1:51" x14ac:dyDescent="0.25">
      <c r="A187" s="22">
        <v>101</v>
      </c>
      <c r="B187" s="22">
        <v>3000000707</v>
      </c>
      <c r="C187" t="s">
        <v>1618</v>
      </c>
      <c r="D187" s="22" t="s">
        <v>12</v>
      </c>
      <c r="AY187" s="22">
        <v>0</v>
      </c>
    </row>
  </sheetData>
  <autoFilter ref="A4:F4"/>
  <mergeCells count="3">
    <mergeCell ref="A1:A2"/>
    <mergeCell ref="B1:B2"/>
    <mergeCell ref="C1:C2"/>
  </mergeCells>
  <conditionalFormatting sqref="A195:XFD195">
    <cfRule type="expression" dxfId="366" priority="1" stopIfTrue="1">
      <formula>AND(ROW()&gt;=195,ROW()&lt;=195)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P187"/>
  <sheetViews>
    <sheetView workbookViewId="0">
      <pane xSplit="5" ySplit="4" topLeftCell="CZ14" activePane="bottomRight" state="frozen"/>
      <selection pane="topRight" activeCell="F1" sqref="F1"/>
      <selection pane="bottomLeft" activeCell="A5" sqref="A5"/>
      <selection pane="bottomRight" activeCell="DJ47" sqref="DJ47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11.140625" customWidth="1"/>
    <col min="6" max="40" width="9.5703125" customWidth="1"/>
    <col min="41" max="41" width="9.85546875" customWidth="1"/>
    <col min="42" max="44" width="11.140625" customWidth="1"/>
    <col min="45" max="46" width="11" style="22" customWidth="1"/>
    <col min="47" max="78" width="9.5703125" style="22" customWidth="1"/>
    <col min="79" max="79" width="9.7109375" style="22" customWidth="1"/>
    <col min="80" max="86" width="9.85546875" style="22" customWidth="1"/>
    <col min="87" max="91" width="11.140625" style="22" customWidth="1"/>
    <col min="92" max="118" width="9.85546875" style="22" customWidth="1"/>
    <col min="119" max="120" width="9.140625" style="22" customWidth="1"/>
  </cols>
  <sheetData>
    <row r="1" spans="1:120" ht="24.75" customHeight="1" thickBot="1" x14ac:dyDescent="0.3">
      <c r="A1" s="149" t="s">
        <v>1</v>
      </c>
      <c r="B1" s="149" t="s">
        <v>174</v>
      </c>
      <c r="C1" s="160" t="s">
        <v>175</v>
      </c>
      <c r="D1" s="80">
        <f>COUNTA(F1:XFD1)-1</f>
        <v>111</v>
      </c>
      <c r="E1" s="27" t="s">
        <v>188</v>
      </c>
      <c r="F1" s="27" t="s">
        <v>284</v>
      </c>
      <c r="G1" s="27" t="s">
        <v>284</v>
      </c>
      <c r="H1" s="27" t="s">
        <v>284</v>
      </c>
      <c r="I1" s="27" t="s">
        <v>284</v>
      </c>
      <c r="J1" s="27" t="s">
        <v>284</v>
      </c>
      <c r="K1" s="27" t="s">
        <v>284</v>
      </c>
      <c r="L1" s="27" t="s">
        <v>284</v>
      </c>
      <c r="M1" s="27" t="s">
        <v>284</v>
      </c>
      <c r="N1" s="27" t="s">
        <v>284</v>
      </c>
      <c r="O1" s="27" t="s">
        <v>284</v>
      </c>
      <c r="P1" s="27" t="s">
        <v>284</v>
      </c>
      <c r="Q1" s="27" t="s">
        <v>284</v>
      </c>
      <c r="R1" s="27" t="s">
        <v>284</v>
      </c>
      <c r="S1" s="27" t="s">
        <v>284</v>
      </c>
      <c r="T1" s="27" t="s">
        <v>284</v>
      </c>
      <c r="U1" s="27" t="s">
        <v>284</v>
      </c>
      <c r="V1" s="27" t="s">
        <v>284</v>
      </c>
      <c r="W1" s="27" t="s">
        <v>284</v>
      </c>
      <c r="X1" s="27" t="s">
        <v>284</v>
      </c>
      <c r="Y1" s="27" t="s">
        <v>284</v>
      </c>
      <c r="Z1" s="27" t="s">
        <v>284</v>
      </c>
      <c r="AA1" s="27" t="s">
        <v>284</v>
      </c>
      <c r="AB1" s="27" t="s">
        <v>284</v>
      </c>
      <c r="AC1" s="27" t="s">
        <v>284</v>
      </c>
      <c r="AD1" s="27" t="s">
        <v>284</v>
      </c>
      <c r="AE1" s="27" t="s">
        <v>284</v>
      </c>
      <c r="AF1" s="27" t="s">
        <v>284</v>
      </c>
      <c r="AG1" s="27" t="s">
        <v>284</v>
      </c>
      <c r="AH1" s="27" t="s">
        <v>284</v>
      </c>
      <c r="AI1" s="27" t="s">
        <v>284</v>
      </c>
      <c r="AJ1" s="27" t="s">
        <v>284</v>
      </c>
      <c r="AK1" s="27" t="s">
        <v>284</v>
      </c>
      <c r="AL1" s="27" t="s">
        <v>284</v>
      </c>
      <c r="AM1" s="27" t="s">
        <v>284</v>
      </c>
      <c r="AN1" s="27" t="s">
        <v>284</v>
      </c>
      <c r="AO1" s="27" t="s">
        <v>284</v>
      </c>
      <c r="AP1" s="27" t="s">
        <v>438</v>
      </c>
      <c r="AQ1" s="27" t="s">
        <v>438</v>
      </c>
      <c r="AR1" s="27" t="s">
        <v>438</v>
      </c>
      <c r="AS1" s="27" t="s">
        <v>438</v>
      </c>
      <c r="AT1" s="27" t="s">
        <v>438</v>
      </c>
      <c r="AU1" s="27" t="s">
        <v>438</v>
      </c>
      <c r="AV1" s="27" t="s">
        <v>438</v>
      </c>
      <c r="AW1" s="27" t="s">
        <v>438</v>
      </c>
      <c r="AX1" s="27" t="s">
        <v>438</v>
      </c>
      <c r="AY1" s="27" t="s">
        <v>438</v>
      </c>
      <c r="AZ1" s="27" t="s">
        <v>438</v>
      </c>
      <c r="BA1" s="27" t="s">
        <v>438</v>
      </c>
      <c r="BB1" s="27" t="s">
        <v>438</v>
      </c>
      <c r="BC1" s="27" t="s">
        <v>438</v>
      </c>
      <c r="BD1" s="27" t="s">
        <v>438</v>
      </c>
      <c r="BE1" s="27" t="s">
        <v>438</v>
      </c>
      <c r="BF1" s="27" t="s">
        <v>438</v>
      </c>
      <c r="BG1" s="27" t="s">
        <v>438</v>
      </c>
      <c r="BH1" s="27" t="s">
        <v>438</v>
      </c>
      <c r="BI1" s="27" t="s">
        <v>438</v>
      </c>
      <c r="BJ1" s="27" t="s">
        <v>438</v>
      </c>
      <c r="BK1" s="27" t="s">
        <v>438</v>
      </c>
      <c r="BL1" s="27" t="s">
        <v>438</v>
      </c>
      <c r="BM1" s="27" t="s">
        <v>438</v>
      </c>
      <c r="BN1" s="27" t="s">
        <v>438</v>
      </c>
      <c r="BO1" s="27" t="s">
        <v>438</v>
      </c>
      <c r="BP1" s="27" t="s">
        <v>438</v>
      </c>
      <c r="BQ1" s="27" t="s">
        <v>438</v>
      </c>
      <c r="BR1" s="27" t="s">
        <v>438</v>
      </c>
      <c r="BS1" s="27" t="s">
        <v>438</v>
      </c>
      <c r="BT1" s="27" t="s">
        <v>438</v>
      </c>
      <c r="BU1" s="27" t="s">
        <v>438</v>
      </c>
      <c r="BV1" s="27" t="s">
        <v>438</v>
      </c>
      <c r="BW1" s="27" t="s">
        <v>438</v>
      </c>
      <c r="BX1" s="27" t="s">
        <v>438</v>
      </c>
      <c r="BY1" s="27" t="s">
        <v>438</v>
      </c>
      <c r="BZ1" s="27" t="s">
        <v>438</v>
      </c>
      <c r="CA1" s="27" t="s">
        <v>438</v>
      </c>
      <c r="CB1" s="27" t="s">
        <v>438</v>
      </c>
      <c r="CC1" s="27" t="s">
        <v>438</v>
      </c>
      <c r="CD1" s="27" t="s">
        <v>438</v>
      </c>
      <c r="CE1" s="27" t="s">
        <v>438</v>
      </c>
      <c r="CF1" s="27" t="s">
        <v>438</v>
      </c>
      <c r="CG1" s="27" t="s">
        <v>438</v>
      </c>
      <c r="CH1" s="27" t="s">
        <v>438</v>
      </c>
      <c r="CI1" s="27" t="s">
        <v>438</v>
      </c>
      <c r="CJ1" s="27" t="s">
        <v>438</v>
      </c>
      <c r="CK1" s="27" t="s">
        <v>438</v>
      </c>
      <c r="CL1" s="27" t="s">
        <v>438</v>
      </c>
      <c r="CM1" s="27" t="s">
        <v>438</v>
      </c>
      <c r="CN1" s="27" t="s">
        <v>438</v>
      </c>
      <c r="CO1" s="27" t="s">
        <v>438</v>
      </c>
      <c r="CP1" s="27" t="s">
        <v>438</v>
      </c>
      <c r="CQ1" s="27" t="s">
        <v>438</v>
      </c>
      <c r="CR1" s="27" t="s">
        <v>438</v>
      </c>
      <c r="CS1" s="27" t="s">
        <v>438</v>
      </c>
      <c r="CT1" s="27" t="s">
        <v>438</v>
      </c>
      <c r="CU1" s="27" t="s">
        <v>438</v>
      </c>
      <c r="CV1" s="27" t="s">
        <v>438</v>
      </c>
      <c r="CW1" s="27" t="s">
        <v>438</v>
      </c>
      <c r="CX1" s="27" t="s">
        <v>438</v>
      </c>
      <c r="CY1" s="27" t="s">
        <v>438</v>
      </c>
      <c r="CZ1" s="27" t="s">
        <v>438</v>
      </c>
      <c r="DA1" s="27" t="s">
        <v>438</v>
      </c>
      <c r="DB1" s="27" t="s">
        <v>438</v>
      </c>
      <c r="DC1" s="27" t="s">
        <v>438</v>
      </c>
      <c r="DD1" s="27" t="s">
        <v>438</v>
      </c>
      <c r="DE1" s="27" t="s">
        <v>438</v>
      </c>
      <c r="DF1" s="27" t="s">
        <v>438</v>
      </c>
      <c r="DG1" s="27" t="s">
        <v>438</v>
      </c>
      <c r="DH1" s="27" t="s">
        <v>438</v>
      </c>
      <c r="DI1" s="27" t="s">
        <v>438</v>
      </c>
      <c r="DJ1" s="27" t="s">
        <v>438</v>
      </c>
      <c r="DK1" s="27" t="s">
        <v>438</v>
      </c>
      <c r="DL1" s="27" t="s">
        <v>438</v>
      </c>
      <c r="DM1" s="27"/>
      <c r="DN1" s="27"/>
      <c r="DO1" s="27"/>
      <c r="DP1" s="25" t="s">
        <v>177</v>
      </c>
    </row>
    <row r="2" spans="1:120" s="42" customFormat="1" ht="29.25" customHeight="1" thickBot="1" x14ac:dyDescent="0.3">
      <c r="A2" s="150"/>
      <c r="B2" s="150"/>
      <c r="C2" s="161"/>
      <c r="D2" s="132" t="s">
        <v>176</v>
      </c>
      <c r="E2" s="4" t="s">
        <v>186</v>
      </c>
      <c r="F2" s="41" t="s">
        <v>1694</v>
      </c>
      <c r="G2" s="41" t="s">
        <v>1695</v>
      </c>
      <c r="H2" s="41" t="s">
        <v>1696</v>
      </c>
      <c r="I2" s="41" t="s">
        <v>1697</v>
      </c>
      <c r="J2" s="41" t="s">
        <v>1698</v>
      </c>
      <c r="K2" s="41" t="s">
        <v>1699</v>
      </c>
      <c r="L2" s="41" t="s">
        <v>1700</v>
      </c>
      <c r="M2" s="41" t="s">
        <v>1701</v>
      </c>
      <c r="N2" s="41" t="s">
        <v>1702</v>
      </c>
      <c r="O2" s="41" t="s">
        <v>1703</v>
      </c>
      <c r="P2" s="41" t="s">
        <v>1704</v>
      </c>
      <c r="Q2" s="41" t="s">
        <v>1705</v>
      </c>
      <c r="R2" s="41" t="s">
        <v>1706</v>
      </c>
      <c r="S2" s="41" t="s">
        <v>1707</v>
      </c>
      <c r="T2" s="41" t="s">
        <v>1708</v>
      </c>
      <c r="U2" s="41" t="s">
        <v>1709</v>
      </c>
      <c r="V2" s="41" t="s">
        <v>1710</v>
      </c>
      <c r="W2" s="41" t="s">
        <v>1711</v>
      </c>
      <c r="X2" s="41" t="s">
        <v>1712</v>
      </c>
      <c r="Y2" s="41" t="s">
        <v>1713</v>
      </c>
      <c r="Z2" s="41" t="s">
        <v>1714</v>
      </c>
      <c r="AA2" s="41" t="s">
        <v>1715</v>
      </c>
      <c r="AB2" s="41" t="s">
        <v>1716</v>
      </c>
      <c r="AC2" s="41" t="s">
        <v>1717</v>
      </c>
      <c r="AD2" s="41" t="s">
        <v>1718</v>
      </c>
      <c r="AE2" s="41" t="s">
        <v>1719</v>
      </c>
      <c r="AF2" s="41" t="s">
        <v>1720</v>
      </c>
      <c r="AG2" s="41" t="s">
        <v>1721</v>
      </c>
      <c r="AH2" s="41" t="s">
        <v>1722</v>
      </c>
      <c r="AI2" s="41" t="s">
        <v>1723</v>
      </c>
      <c r="AJ2" s="41" t="s">
        <v>1724</v>
      </c>
      <c r="AK2" s="41" t="s">
        <v>1725</v>
      </c>
      <c r="AL2" s="41" t="s">
        <v>1726</v>
      </c>
      <c r="AM2" s="41" t="s">
        <v>1727</v>
      </c>
      <c r="AN2" s="41" t="s">
        <v>1728</v>
      </c>
      <c r="AO2" s="41">
        <v>6056</v>
      </c>
      <c r="AP2" s="41" t="s">
        <v>1729</v>
      </c>
      <c r="AQ2" s="41" t="s">
        <v>1730</v>
      </c>
      <c r="AR2" s="41" t="s">
        <v>1731</v>
      </c>
      <c r="AS2" s="41" t="s">
        <v>1732</v>
      </c>
      <c r="AT2" s="41" t="s">
        <v>1733</v>
      </c>
      <c r="AU2" s="41" t="s">
        <v>1734</v>
      </c>
      <c r="AV2" s="41" t="s">
        <v>1735</v>
      </c>
      <c r="AW2" s="41" t="s">
        <v>1736</v>
      </c>
      <c r="AX2" s="41" t="s">
        <v>1737</v>
      </c>
      <c r="AY2" s="41" t="s">
        <v>1738</v>
      </c>
      <c r="AZ2" s="41" t="s">
        <v>1739</v>
      </c>
      <c r="BA2" s="41" t="s">
        <v>1740</v>
      </c>
      <c r="BB2" s="41" t="s">
        <v>1741</v>
      </c>
      <c r="BC2" s="41" t="s">
        <v>1742</v>
      </c>
      <c r="BD2" s="41" t="s">
        <v>1743</v>
      </c>
      <c r="BE2" s="41" t="s">
        <v>1744</v>
      </c>
      <c r="BF2" s="41" t="s">
        <v>1745</v>
      </c>
      <c r="BG2" s="41" t="s">
        <v>1746</v>
      </c>
      <c r="BH2" s="41" t="s">
        <v>1747</v>
      </c>
      <c r="BI2" s="41" t="s">
        <v>1748</v>
      </c>
      <c r="BJ2" s="41" t="s">
        <v>1749</v>
      </c>
      <c r="BK2" s="41" t="s">
        <v>1750</v>
      </c>
      <c r="BL2" s="41" t="s">
        <v>1751</v>
      </c>
      <c r="BM2" s="41" t="s">
        <v>1752</v>
      </c>
      <c r="BN2" s="41" t="s">
        <v>1753</v>
      </c>
      <c r="BO2" s="41" t="s">
        <v>1754</v>
      </c>
      <c r="BP2" s="41" t="s">
        <v>1755</v>
      </c>
      <c r="BQ2" s="41" t="s">
        <v>1756</v>
      </c>
      <c r="BR2" s="41" t="s">
        <v>1757</v>
      </c>
      <c r="BS2" s="41" t="s">
        <v>1758</v>
      </c>
      <c r="BT2" s="41" t="s">
        <v>1759</v>
      </c>
      <c r="BU2" s="41" t="s">
        <v>1760</v>
      </c>
      <c r="BV2" s="41" t="s">
        <v>1761</v>
      </c>
      <c r="BW2" s="41" t="s">
        <v>1762</v>
      </c>
      <c r="BX2" s="41" t="s">
        <v>1763</v>
      </c>
      <c r="BY2" s="41" t="s">
        <v>1764</v>
      </c>
      <c r="BZ2" s="41" t="s">
        <v>1765</v>
      </c>
      <c r="CA2" s="41" t="s">
        <v>1766</v>
      </c>
      <c r="CB2" s="41" t="s">
        <v>1767</v>
      </c>
      <c r="CC2" s="41" t="s">
        <v>1768</v>
      </c>
      <c r="CD2" s="41" t="s">
        <v>1769</v>
      </c>
      <c r="CE2" s="41" t="s">
        <v>1770</v>
      </c>
      <c r="CF2" s="41" t="s">
        <v>1771</v>
      </c>
      <c r="CG2" s="41" t="s">
        <v>1772</v>
      </c>
      <c r="CH2" s="41" t="s">
        <v>1773</v>
      </c>
      <c r="CI2" s="41" t="s">
        <v>1774</v>
      </c>
      <c r="CJ2" s="41" t="s">
        <v>1775</v>
      </c>
      <c r="CK2" s="41" t="s">
        <v>1776</v>
      </c>
      <c r="CL2" s="41" t="s">
        <v>1777</v>
      </c>
      <c r="CM2" s="41" t="s">
        <v>1778</v>
      </c>
      <c r="CN2" s="41" t="s">
        <v>1779</v>
      </c>
      <c r="CO2" s="41" t="s">
        <v>1780</v>
      </c>
      <c r="CP2" s="41" t="s">
        <v>1781</v>
      </c>
      <c r="CQ2" s="41" t="s">
        <v>1782</v>
      </c>
      <c r="CR2" s="41" t="s">
        <v>1783</v>
      </c>
      <c r="CS2" s="41" t="s">
        <v>1784</v>
      </c>
      <c r="CT2" s="41" t="s">
        <v>1785</v>
      </c>
      <c r="CU2" s="41" t="s">
        <v>1786</v>
      </c>
      <c r="CV2" s="41" t="s">
        <v>1787</v>
      </c>
      <c r="CW2" s="41" t="s">
        <v>1788</v>
      </c>
      <c r="CX2" s="41" t="s">
        <v>1789</v>
      </c>
      <c r="CY2" s="41" t="s">
        <v>1790</v>
      </c>
      <c r="CZ2" s="41" t="s">
        <v>1791</v>
      </c>
      <c r="DA2" s="41" t="s">
        <v>1792</v>
      </c>
      <c r="DB2" s="41" t="s">
        <v>1793</v>
      </c>
      <c r="DC2" s="41" t="s">
        <v>1794</v>
      </c>
      <c r="DD2" s="41" t="s">
        <v>1795</v>
      </c>
      <c r="DE2" s="41" t="s">
        <v>1796</v>
      </c>
      <c r="DF2" s="41" t="s">
        <v>1797</v>
      </c>
      <c r="DG2" s="41" t="s">
        <v>1798</v>
      </c>
      <c r="DH2" s="41" t="s">
        <v>1799</v>
      </c>
      <c r="DI2" s="41" t="s">
        <v>1800</v>
      </c>
      <c r="DJ2" s="41" t="s">
        <v>1801</v>
      </c>
      <c r="DK2" s="41" t="s">
        <v>1802</v>
      </c>
      <c r="DL2" s="41" t="s">
        <v>1803</v>
      </c>
      <c r="DM2" s="41"/>
      <c r="DN2" s="41"/>
      <c r="DO2" s="41"/>
      <c r="DP2" s="41"/>
    </row>
    <row r="3" spans="1:120" s="28" customFormat="1" ht="12" customHeight="1" x14ac:dyDescent="0.25">
      <c r="A3" s="26"/>
      <c r="B3" s="26"/>
      <c r="C3" s="26" t="s">
        <v>10</v>
      </c>
      <c r="D3" s="40"/>
      <c r="E3" s="38" t="s">
        <v>187</v>
      </c>
      <c r="F3" s="27">
        <v>45659</v>
      </c>
      <c r="G3" s="27">
        <v>45659</v>
      </c>
      <c r="H3" s="27">
        <v>45659</v>
      </c>
      <c r="I3" s="27">
        <v>45683</v>
      </c>
      <c r="J3" s="27">
        <v>45683</v>
      </c>
      <c r="K3" s="27">
        <v>45683</v>
      </c>
      <c r="L3" s="27">
        <v>45684</v>
      </c>
      <c r="M3" s="27">
        <v>45684</v>
      </c>
      <c r="N3" s="27">
        <v>45684</v>
      </c>
      <c r="O3" s="27">
        <v>45686</v>
      </c>
      <c r="P3" s="27">
        <v>45690</v>
      </c>
      <c r="Q3" s="27">
        <v>45690</v>
      </c>
      <c r="R3" s="27">
        <v>45690</v>
      </c>
      <c r="S3" s="27">
        <v>45690</v>
      </c>
      <c r="T3" s="27">
        <v>45690</v>
      </c>
      <c r="U3" s="27">
        <v>45690</v>
      </c>
      <c r="V3" s="27">
        <v>45700</v>
      </c>
      <c r="W3" s="27">
        <v>45700</v>
      </c>
      <c r="X3" s="27">
        <v>45700</v>
      </c>
      <c r="Y3" s="27">
        <v>45700</v>
      </c>
      <c r="Z3" s="27">
        <v>45700</v>
      </c>
      <c r="AA3" s="27">
        <v>45700</v>
      </c>
      <c r="AB3" s="27">
        <v>45714</v>
      </c>
      <c r="AC3" s="27">
        <v>45707</v>
      </c>
      <c r="AD3" s="27">
        <v>45707</v>
      </c>
      <c r="AE3" s="27">
        <v>45707</v>
      </c>
      <c r="AF3" s="27">
        <v>45785</v>
      </c>
      <c r="AG3" s="27">
        <v>45707</v>
      </c>
      <c r="AH3" s="27" t="s">
        <v>238</v>
      </c>
      <c r="AI3" s="27" t="s">
        <v>238</v>
      </c>
      <c r="AJ3" s="27" t="s">
        <v>238</v>
      </c>
      <c r="AK3" s="27" t="s">
        <v>238</v>
      </c>
      <c r="AL3" s="27" t="s">
        <v>239</v>
      </c>
      <c r="AM3" s="27" t="s">
        <v>239</v>
      </c>
      <c r="AN3" s="27" t="s">
        <v>239</v>
      </c>
      <c r="AO3" s="27">
        <v>45103</v>
      </c>
      <c r="AP3" s="34">
        <v>45890</v>
      </c>
      <c r="AQ3" s="34">
        <v>45890</v>
      </c>
      <c r="AR3" s="34">
        <v>45890</v>
      </c>
      <c r="AS3" s="34">
        <v>45890</v>
      </c>
      <c r="AT3" s="27">
        <v>45892</v>
      </c>
      <c r="AU3" s="27">
        <v>45892</v>
      </c>
      <c r="AV3" s="27">
        <v>45892</v>
      </c>
      <c r="AW3" s="27">
        <v>45892</v>
      </c>
      <c r="AX3" s="27">
        <v>45892</v>
      </c>
      <c r="AY3" s="27">
        <v>45896</v>
      </c>
      <c r="AZ3" s="27">
        <v>45896</v>
      </c>
      <c r="BA3" s="27">
        <v>45896</v>
      </c>
      <c r="BB3" s="27">
        <v>45896</v>
      </c>
      <c r="BC3" s="27">
        <v>45897</v>
      </c>
      <c r="BD3" s="27">
        <v>45897</v>
      </c>
      <c r="BE3" s="27">
        <v>45897</v>
      </c>
      <c r="BF3" s="27">
        <v>45993</v>
      </c>
      <c r="BG3" s="27">
        <v>45993</v>
      </c>
      <c r="BH3" s="27">
        <v>45993</v>
      </c>
      <c r="BI3" s="27">
        <v>45993</v>
      </c>
      <c r="BJ3" s="27">
        <v>45993</v>
      </c>
      <c r="BK3" s="27">
        <v>45994</v>
      </c>
      <c r="BL3" s="27">
        <v>45994</v>
      </c>
      <c r="BM3" s="27">
        <v>45994</v>
      </c>
      <c r="BN3" s="27">
        <v>45994</v>
      </c>
      <c r="BO3" s="27">
        <v>45994</v>
      </c>
      <c r="BP3" s="27">
        <v>46012</v>
      </c>
      <c r="BQ3" s="27">
        <v>46012</v>
      </c>
      <c r="BR3" s="27">
        <v>46012</v>
      </c>
      <c r="BS3" s="27">
        <v>46012</v>
      </c>
      <c r="BT3" s="27">
        <v>46012</v>
      </c>
      <c r="BU3" s="27">
        <v>46012</v>
      </c>
      <c r="BV3" s="27">
        <v>46012</v>
      </c>
      <c r="BW3" s="27">
        <v>46014</v>
      </c>
      <c r="BX3" s="27">
        <v>46014</v>
      </c>
      <c r="BY3" s="27">
        <v>46018</v>
      </c>
      <c r="BZ3" s="27">
        <v>46018</v>
      </c>
      <c r="CA3" s="27">
        <v>46018</v>
      </c>
      <c r="CB3" s="27">
        <v>46018</v>
      </c>
      <c r="CC3" s="27">
        <v>46019</v>
      </c>
      <c r="CD3" s="27">
        <v>46019</v>
      </c>
      <c r="CE3" s="27">
        <v>46019</v>
      </c>
      <c r="CF3" s="27">
        <v>46019</v>
      </c>
      <c r="CG3" s="27">
        <v>46019</v>
      </c>
      <c r="CH3" s="27">
        <v>46019</v>
      </c>
      <c r="CI3" s="54">
        <v>46021</v>
      </c>
      <c r="CJ3" s="54">
        <v>46021</v>
      </c>
      <c r="CK3" s="54">
        <v>46021</v>
      </c>
      <c r="CL3" s="54">
        <v>46021</v>
      </c>
      <c r="CM3" s="54">
        <v>46021</v>
      </c>
      <c r="CN3" s="54">
        <v>46022</v>
      </c>
      <c r="CO3" s="54">
        <v>46022</v>
      </c>
      <c r="CP3" s="54">
        <v>46022</v>
      </c>
      <c r="CQ3" s="54">
        <v>46022</v>
      </c>
      <c r="CR3" s="27">
        <v>46023</v>
      </c>
      <c r="CS3" s="27">
        <v>46023</v>
      </c>
      <c r="CT3" s="27">
        <v>46023</v>
      </c>
      <c r="CU3" s="27">
        <v>46023</v>
      </c>
      <c r="CV3" s="27">
        <v>46023</v>
      </c>
      <c r="CW3" s="27">
        <v>46023</v>
      </c>
      <c r="CX3" s="27">
        <v>46026</v>
      </c>
      <c r="CY3" s="27">
        <v>46026</v>
      </c>
      <c r="CZ3" s="27">
        <v>46026</v>
      </c>
      <c r="DA3" s="27">
        <v>46026</v>
      </c>
      <c r="DB3" s="27">
        <v>46026</v>
      </c>
      <c r="DC3" s="27">
        <v>46029</v>
      </c>
      <c r="DD3" s="27">
        <v>46029</v>
      </c>
      <c r="DE3" s="27">
        <v>46029</v>
      </c>
      <c r="DF3" s="27">
        <v>46029</v>
      </c>
      <c r="DG3" s="27">
        <v>46029</v>
      </c>
      <c r="DH3" s="27">
        <v>46033</v>
      </c>
      <c r="DI3" s="27">
        <v>46033</v>
      </c>
      <c r="DJ3" s="27">
        <v>46033</v>
      </c>
      <c r="DK3" s="27">
        <v>46033</v>
      </c>
      <c r="DL3" s="27">
        <v>46033</v>
      </c>
      <c r="DM3" s="27"/>
      <c r="DN3" s="27"/>
      <c r="DO3" s="27"/>
      <c r="DP3" s="27"/>
    </row>
    <row r="4" spans="1:120" ht="12" customHeight="1" x14ac:dyDescent="0.25">
      <c r="A4" s="23"/>
      <c r="B4" s="23"/>
      <c r="C4" s="24"/>
      <c r="D4" s="23"/>
      <c r="E4" s="43" t="s">
        <v>248</v>
      </c>
      <c r="F4" s="39">
        <v>1154</v>
      </c>
      <c r="G4" s="39">
        <v>1154</v>
      </c>
      <c r="H4" s="39">
        <v>1154</v>
      </c>
      <c r="I4" s="39">
        <v>2156</v>
      </c>
      <c r="J4" s="39">
        <v>2156</v>
      </c>
      <c r="K4" s="39">
        <v>2156</v>
      </c>
      <c r="L4" s="39">
        <v>1161</v>
      </c>
      <c r="M4" s="39">
        <v>1161</v>
      </c>
      <c r="N4" s="39">
        <v>1162</v>
      </c>
      <c r="O4" s="39">
        <v>2157</v>
      </c>
      <c r="P4" s="39">
        <v>2158</v>
      </c>
      <c r="Q4" s="39">
        <v>2160</v>
      </c>
      <c r="R4" s="39">
        <v>1163</v>
      </c>
      <c r="S4" s="39">
        <v>1164</v>
      </c>
      <c r="T4" s="39">
        <v>2161</v>
      </c>
      <c r="U4" s="39">
        <v>2159</v>
      </c>
      <c r="V4" s="39">
        <v>2166</v>
      </c>
      <c r="W4" s="39">
        <v>1167</v>
      </c>
      <c r="X4" s="39">
        <v>1166</v>
      </c>
      <c r="Y4" s="39">
        <v>2167</v>
      </c>
      <c r="Z4" s="39">
        <v>2164</v>
      </c>
      <c r="AA4" s="39">
        <v>2165</v>
      </c>
      <c r="AB4" s="39">
        <v>2169</v>
      </c>
      <c r="AC4" s="39">
        <v>2170</v>
      </c>
      <c r="AD4" s="39">
        <v>2171</v>
      </c>
      <c r="AE4" s="39">
        <v>1170</v>
      </c>
      <c r="AF4" s="39">
        <v>2176</v>
      </c>
      <c r="AG4" s="39">
        <v>2190</v>
      </c>
      <c r="AH4" s="39" t="s">
        <v>240</v>
      </c>
      <c r="AI4" s="39" t="s">
        <v>241</v>
      </c>
      <c r="AJ4" s="39" t="s">
        <v>242</v>
      </c>
      <c r="AK4" s="39" t="s">
        <v>243</v>
      </c>
      <c r="AL4" s="39" t="s">
        <v>244</v>
      </c>
      <c r="AM4" s="39" t="s">
        <v>245</v>
      </c>
      <c r="AN4" s="39" t="s">
        <v>246</v>
      </c>
      <c r="AO4" s="39" t="s">
        <v>247</v>
      </c>
      <c r="AP4" s="39" t="s">
        <v>458</v>
      </c>
      <c r="AQ4" s="39" t="s">
        <v>458</v>
      </c>
      <c r="AR4" s="39" t="s">
        <v>458</v>
      </c>
      <c r="AS4" s="39" t="s">
        <v>458</v>
      </c>
      <c r="AT4" s="39" t="s">
        <v>458</v>
      </c>
      <c r="AU4" s="39" t="s">
        <v>459</v>
      </c>
      <c r="AV4" s="39" t="s">
        <v>459</v>
      </c>
      <c r="AW4" s="39" t="s">
        <v>459</v>
      </c>
      <c r="AX4" s="39" t="s">
        <v>459</v>
      </c>
      <c r="AY4" s="39" t="s">
        <v>461</v>
      </c>
      <c r="AZ4" s="39" t="s">
        <v>461</v>
      </c>
      <c r="BA4" s="39" t="s">
        <v>461</v>
      </c>
      <c r="BB4" s="39" t="s">
        <v>461</v>
      </c>
      <c r="BC4" s="39" t="s">
        <v>460</v>
      </c>
      <c r="BD4" s="39" t="s">
        <v>460</v>
      </c>
      <c r="BE4" s="39" t="s">
        <v>460</v>
      </c>
      <c r="BF4" s="39" t="s">
        <v>1447</v>
      </c>
      <c r="BG4" s="39" t="s">
        <v>1448</v>
      </c>
      <c r="BH4" s="39" t="s">
        <v>1449</v>
      </c>
      <c r="BI4" s="39" t="s">
        <v>1450</v>
      </c>
      <c r="BJ4" s="39" t="s">
        <v>1451</v>
      </c>
      <c r="BK4" s="39" t="s">
        <v>1452</v>
      </c>
      <c r="BL4" s="39" t="s">
        <v>1453</v>
      </c>
      <c r="BM4" s="39" t="s">
        <v>1455</v>
      </c>
      <c r="BN4" s="39" t="s">
        <v>1454</v>
      </c>
      <c r="BO4" s="39" t="s">
        <v>1456</v>
      </c>
      <c r="BP4" s="39" t="s">
        <v>1496</v>
      </c>
      <c r="BQ4" s="39" t="s">
        <v>1497</v>
      </c>
      <c r="BR4" s="39" t="s">
        <v>1498</v>
      </c>
      <c r="BS4" s="39" t="s">
        <v>1499</v>
      </c>
      <c r="BT4" s="39" t="s">
        <v>1500</v>
      </c>
      <c r="BU4" s="39" t="s">
        <v>1501</v>
      </c>
      <c r="BV4" s="39" t="s">
        <v>1502</v>
      </c>
      <c r="BW4" s="39" t="s">
        <v>1503</v>
      </c>
      <c r="BX4" s="39" t="s">
        <v>1504</v>
      </c>
      <c r="BY4" s="39" t="s">
        <v>1505</v>
      </c>
      <c r="BZ4" s="39" t="s">
        <v>1506</v>
      </c>
      <c r="CA4" s="39" t="s">
        <v>1507</v>
      </c>
      <c r="CB4" s="39" t="s">
        <v>1508</v>
      </c>
      <c r="CC4" s="39" t="s">
        <v>1526</v>
      </c>
      <c r="CD4" s="39" t="s">
        <v>1527</v>
      </c>
      <c r="CE4" s="39" t="s">
        <v>1530</v>
      </c>
      <c r="CF4" s="39" t="s">
        <v>1531</v>
      </c>
      <c r="CG4" s="39" t="s">
        <v>1533</v>
      </c>
      <c r="CH4" s="39" t="s">
        <v>1536</v>
      </c>
      <c r="CI4" s="39" t="s">
        <v>1537</v>
      </c>
      <c r="CJ4" s="39" t="s">
        <v>1538</v>
      </c>
      <c r="CK4" s="39" t="s">
        <v>1539</v>
      </c>
      <c r="CL4" s="39" t="s">
        <v>1540</v>
      </c>
      <c r="CM4" s="39" t="s">
        <v>1541</v>
      </c>
      <c r="CN4" s="39" t="s">
        <v>1542</v>
      </c>
      <c r="CO4" s="39" t="s">
        <v>1543</v>
      </c>
      <c r="CP4" s="39" t="s">
        <v>1544</v>
      </c>
      <c r="CQ4" s="39" t="s">
        <v>1545</v>
      </c>
      <c r="CR4" s="39" t="s">
        <v>1546</v>
      </c>
      <c r="CS4" s="39" t="s">
        <v>1559</v>
      </c>
      <c r="CT4" s="39" t="s">
        <v>1560</v>
      </c>
      <c r="CU4" s="39" t="s">
        <v>1561</v>
      </c>
      <c r="CV4" s="39" t="s">
        <v>1562</v>
      </c>
      <c r="CW4" s="39" t="s">
        <v>1563</v>
      </c>
      <c r="CX4" s="39" t="s">
        <v>1588</v>
      </c>
      <c r="CY4" s="39" t="s">
        <v>1589</v>
      </c>
      <c r="CZ4" s="39" t="s">
        <v>1590</v>
      </c>
      <c r="DA4" s="39" t="s">
        <v>1591</v>
      </c>
      <c r="DB4" s="39" t="s">
        <v>1592</v>
      </c>
      <c r="DC4" s="39" t="s">
        <v>1600</v>
      </c>
      <c r="DD4" s="39" t="s">
        <v>1599</v>
      </c>
      <c r="DE4" s="39" t="s">
        <v>1601</v>
      </c>
      <c r="DF4" s="39" t="s">
        <v>1602</v>
      </c>
      <c r="DG4" s="39" t="s">
        <v>1603</v>
      </c>
      <c r="DH4" s="39" t="s">
        <v>1628</v>
      </c>
      <c r="DI4" s="39" t="s">
        <v>1629</v>
      </c>
      <c r="DJ4" s="39" t="s">
        <v>1630</v>
      </c>
      <c r="DK4" s="39" t="s">
        <v>1631</v>
      </c>
      <c r="DL4" s="39" t="s">
        <v>1632</v>
      </c>
      <c r="DM4" s="39"/>
      <c r="DN4" s="39"/>
      <c r="DO4" s="32"/>
      <c r="DP4" s="32"/>
    </row>
    <row r="5" spans="1:120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>
        <v>791</v>
      </c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DP5" s="22">
        <v>791</v>
      </c>
    </row>
    <row r="6" spans="1:120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DP6" s="22">
        <v>0</v>
      </c>
    </row>
    <row r="7" spans="1:120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DP7" s="22">
        <v>0</v>
      </c>
    </row>
    <row r="8" spans="1:120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DP8" s="22">
        <v>0</v>
      </c>
    </row>
    <row r="9" spans="1:120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DP9" s="22">
        <v>0</v>
      </c>
    </row>
    <row r="10" spans="1:120" x14ac:dyDescent="0.25">
      <c r="A10" s="5">
        <v>6</v>
      </c>
      <c r="B10" s="9">
        <v>4000015244</v>
      </c>
      <c r="C10" s="12" t="s">
        <v>17</v>
      </c>
      <c r="D10" s="9" t="s">
        <v>12</v>
      </c>
      <c r="E10" s="36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DP10" s="22">
        <v>0</v>
      </c>
    </row>
    <row r="11" spans="1:120" x14ac:dyDescent="0.25">
      <c r="A11" s="5">
        <v>7</v>
      </c>
      <c r="B11" s="9">
        <v>4000015245</v>
      </c>
      <c r="C11" s="12" t="s">
        <v>18</v>
      </c>
      <c r="D11" s="9" t="s">
        <v>12</v>
      </c>
      <c r="E11" s="36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DP11" s="22">
        <v>0</v>
      </c>
    </row>
    <row r="12" spans="1:120" x14ac:dyDescent="0.25">
      <c r="A12" s="5">
        <v>8</v>
      </c>
      <c r="B12" s="9">
        <v>4000000224</v>
      </c>
      <c r="C12" s="12" t="s">
        <v>19</v>
      </c>
      <c r="D12" s="9" t="s">
        <v>12</v>
      </c>
      <c r="E12" s="36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DP12" s="22">
        <v>0</v>
      </c>
    </row>
    <row r="13" spans="1:120" x14ac:dyDescent="0.25">
      <c r="A13" s="5">
        <v>9</v>
      </c>
      <c r="B13" s="9">
        <v>3000002332</v>
      </c>
      <c r="C13" s="12" t="s">
        <v>20</v>
      </c>
      <c r="D13" s="9" t="s">
        <v>12</v>
      </c>
      <c r="E13" s="36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>
        <v>2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DP13" s="22">
        <v>2</v>
      </c>
    </row>
    <row r="14" spans="1:120" x14ac:dyDescent="0.25">
      <c r="A14" s="5">
        <v>10</v>
      </c>
      <c r="B14" s="9">
        <v>3000000010</v>
      </c>
      <c r="C14" s="12" t="s">
        <v>21</v>
      </c>
      <c r="D14" s="9" t="s">
        <v>12</v>
      </c>
      <c r="E14" s="36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>
        <v>40</v>
      </c>
      <c r="AF14" s="22"/>
      <c r="AG14" s="22"/>
      <c r="AH14" s="22">
        <v>10</v>
      </c>
      <c r="AI14" s="22"/>
      <c r="AJ14" s="22"/>
      <c r="AK14" s="22">
        <v>8</v>
      </c>
      <c r="AL14" s="22"/>
      <c r="AM14" s="22"/>
      <c r="AN14" s="22"/>
      <c r="AO14" s="22"/>
      <c r="AP14" s="22"/>
      <c r="AQ14" s="22"/>
      <c r="AR14" s="22"/>
      <c r="DP14" s="22">
        <v>58</v>
      </c>
    </row>
    <row r="15" spans="1:120" x14ac:dyDescent="0.25">
      <c r="A15" s="5">
        <v>11</v>
      </c>
      <c r="B15" s="9">
        <v>3000002338</v>
      </c>
      <c r="C15" s="12" t="s">
        <v>22</v>
      </c>
      <c r="D15" s="9" t="s">
        <v>12</v>
      </c>
      <c r="E15" s="36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DP15" s="22">
        <v>0</v>
      </c>
    </row>
    <row r="16" spans="1:120" x14ac:dyDescent="0.25">
      <c r="A16" s="5">
        <v>12</v>
      </c>
      <c r="B16" s="9">
        <v>3000002322</v>
      </c>
      <c r="C16" s="12" t="s">
        <v>23</v>
      </c>
      <c r="D16" s="9" t="s">
        <v>12</v>
      </c>
      <c r="E16" s="36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>
        <v>14</v>
      </c>
      <c r="AJ16" s="22">
        <v>5</v>
      </c>
      <c r="AK16" s="22">
        <v>8</v>
      </c>
      <c r="AL16" s="22"/>
      <c r="AM16" s="22">
        <v>10</v>
      </c>
      <c r="AN16" s="22">
        <v>5</v>
      </c>
      <c r="AO16" s="22"/>
      <c r="AP16" s="22"/>
      <c r="AQ16" s="22"/>
      <c r="AR16" s="22"/>
      <c r="DP16" s="22">
        <v>42</v>
      </c>
    </row>
    <row r="17" spans="1:120" x14ac:dyDescent="0.25">
      <c r="A17" s="5">
        <v>13</v>
      </c>
      <c r="B17" s="9">
        <v>3000002330</v>
      </c>
      <c r="C17" s="12" t="s">
        <v>24</v>
      </c>
      <c r="D17" s="9" t="s">
        <v>12</v>
      </c>
      <c r="E17" s="36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>
        <v>5</v>
      </c>
      <c r="AK17" s="22"/>
      <c r="AL17" s="22"/>
      <c r="AM17" s="22"/>
      <c r="AN17" s="22"/>
      <c r="AO17" s="22"/>
      <c r="AP17" s="22"/>
      <c r="AQ17" s="22"/>
      <c r="AR17" s="22"/>
      <c r="DP17" s="22">
        <v>5</v>
      </c>
    </row>
    <row r="18" spans="1:120" x14ac:dyDescent="0.25">
      <c r="A18" s="5">
        <v>14</v>
      </c>
      <c r="B18" s="9">
        <v>3000000012</v>
      </c>
      <c r="C18" s="12" t="s">
        <v>25</v>
      </c>
      <c r="D18" s="9" t="s">
        <v>12</v>
      </c>
      <c r="E18" s="36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>
        <v>12</v>
      </c>
      <c r="AJ18" s="22"/>
      <c r="AK18" s="22"/>
      <c r="AL18" s="22"/>
      <c r="AM18" s="22">
        <v>5</v>
      </c>
      <c r="AN18" s="22"/>
      <c r="AO18" s="22"/>
      <c r="AP18" s="22"/>
      <c r="AQ18" s="22"/>
      <c r="AR18" s="22"/>
      <c r="DP18" s="22">
        <v>17</v>
      </c>
    </row>
    <row r="19" spans="1:120" x14ac:dyDescent="0.25">
      <c r="A19" s="5">
        <v>15</v>
      </c>
      <c r="B19" s="9">
        <v>3000000701</v>
      </c>
      <c r="C19" s="12" t="s">
        <v>26</v>
      </c>
      <c r="D19" s="9" t="s">
        <v>12</v>
      </c>
      <c r="E19" s="36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>
        <v>985</v>
      </c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>
        <v>220</v>
      </c>
      <c r="AI19" s="22">
        <v>221</v>
      </c>
      <c r="AJ19" s="22"/>
      <c r="AK19" s="22"/>
      <c r="AL19" s="22"/>
      <c r="AM19" s="22"/>
      <c r="AN19" s="22"/>
      <c r="AO19" s="22"/>
      <c r="AP19" s="22"/>
      <c r="AQ19" s="22"/>
      <c r="AR19" s="22"/>
      <c r="BA19" s="22">
        <v>166</v>
      </c>
      <c r="BP19" s="22">
        <v>194</v>
      </c>
      <c r="BV19" s="22">
        <v>213</v>
      </c>
      <c r="DP19" s="22">
        <v>1999</v>
      </c>
    </row>
    <row r="20" spans="1:120" x14ac:dyDescent="0.25">
      <c r="A20" s="5">
        <v>16</v>
      </c>
      <c r="B20" s="9">
        <v>1000006667</v>
      </c>
      <c r="C20" s="12" t="s">
        <v>27</v>
      </c>
      <c r="D20" s="9" t="s">
        <v>12</v>
      </c>
      <c r="E20" s="36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>
        <v>462</v>
      </c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BP20" s="22">
        <v>792</v>
      </c>
      <c r="BV20" s="22">
        <v>21</v>
      </c>
      <c r="DP20" s="22">
        <v>1275</v>
      </c>
    </row>
    <row r="21" spans="1:120" x14ac:dyDescent="0.25">
      <c r="A21" s="5">
        <v>17</v>
      </c>
      <c r="B21" s="9">
        <v>3000000061</v>
      </c>
      <c r="C21" s="12" t="s">
        <v>28</v>
      </c>
      <c r="D21" s="9" t="s">
        <v>12</v>
      </c>
      <c r="E21" s="36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>
        <v>2000</v>
      </c>
      <c r="AI21" s="22"/>
      <c r="AJ21" s="22"/>
      <c r="AK21" s="22"/>
      <c r="AL21" s="22">
        <v>1000</v>
      </c>
      <c r="AM21" s="22"/>
      <c r="AN21" s="22"/>
      <c r="AO21" s="22">
        <v>4000</v>
      </c>
      <c r="AP21" s="22"/>
      <c r="AQ21" s="22"/>
      <c r="AR21" s="22"/>
      <c r="AY21" s="22">
        <v>2000</v>
      </c>
      <c r="BB21" s="22">
        <v>2000</v>
      </c>
      <c r="BC21" s="22">
        <v>2000</v>
      </c>
      <c r="BD21" s="22">
        <v>1280</v>
      </c>
      <c r="BX21" s="22">
        <v>4000</v>
      </c>
      <c r="DP21" s="22">
        <v>18280</v>
      </c>
    </row>
    <row r="22" spans="1:120" x14ac:dyDescent="0.25">
      <c r="A22" s="5">
        <v>18</v>
      </c>
      <c r="B22" s="9">
        <v>3000000064</v>
      </c>
      <c r="C22" s="12" t="s">
        <v>29</v>
      </c>
      <c r="D22" s="9" t="s">
        <v>12</v>
      </c>
      <c r="E22" s="36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DP22" s="22">
        <v>0</v>
      </c>
    </row>
    <row r="23" spans="1:120" x14ac:dyDescent="0.25">
      <c r="A23" s="5">
        <v>19</v>
      </c>
      <c r="B23" s="9">
        <v>3000000062</v>
      </c>
      <c r="C23" s="12" t="s">
        <v>30</v>
      </c>
      <c r="D23" s="9" t="s">
        <v>12</v>
      </c>
      <c r="E23" s="36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DP23" s="22">
        <v>0</v>
      </c>
    </row>
    <row r="24" spans="1:120" x14ac:dyDescent="0.25">
      <c r="A24" s="5">
        <v>20</v>
      </c>
      <c r="B24" s="9">
        <v>3000000063</v>
      </c>
      <c r="C24" s="12" t="s">
        <v>31</v>
      </c>
      <c r="D24" s="9" t="s">
        <v>12</v>
      </c>
      <c r="E24" s="36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>
        <v>360</v>
      </c>
      <c r="AP24" s="22"/>
      <c r="AQ24" s="22"/>
      <c r="AR24" s="22"/>
      <c r="DP24" s="22">
        <v>360</v>
      </c>
    </row>
    <row r="25" spans="1:120" x14ac:dyDescent="0.25">
      <c r="A25" s="5">
        <v>21</v>
      </c>
      <c r="B25" s="9">
        <v>3000002688</v>
      </c>
      <c r="C25" s="12" t="s">
        <v>32</v>
      </c>
      <c r="D25" s="9" t="s">
        <v>12</v>
      </c>
      <c r="E25" s="36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>
        <v>335</v>
      </c>
      <c r="AQ25" s="22"/>
      <c r="AR25" s="22"/>
      <c r="AY25" s="22">
        <v>105</v>
      </c>
      <c r="AZ25" s="22">
        <v>105</v>
      </c>
      <c r="BA25" s="22">
        <v>100</v>
      </c>
      <c r="BB25" s="22">
        <v>105</v>
      </c>
      <c r="BC25" s="22">
        <v>105</v>
      </c>
      <c r="BD25" s="22">
        <v>120</v>
      </c>
      <c r="BE25" s="22">
        <v>140</v>
      </c>
      <c r="BR25" s="22">
        <v>345</v>
      </c>
      <c r="BS25" s="22">
        <v>346</v>
      </c>
      <c r="DP25" s="22">
        <v>1806</v>
      </c>
    </row>
    <row r="26" spans="1:120" x14ac:dyDescent="0.25">
      <c r="A26" s="5">
        <v>22</v>
      </c>
      <c r="B26" s="9">
        <v>3000002869</v>
      </c>
      <c r="C26" s="12" t="s">
        <v>33</v>
      </c>
      <c r="D26" s="9" t="s">
        <v>12</v>
      </c>
      <c r="E26" s="36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BH26" s="22">
        <v>180</v>
      </c>
      <c r="BI26" s="22">
        <v>180</v>
      </c>
      <c r="BJ26" s="22">
        <v>180</v>
      </c>
      <c r="BK26" s="22">
        <v>180</v>
      </c>
      <c r="BL26" s="22">
        <v>180</v>
      </c>
      <c r="BM26" s="22">
        <v>180</v>
      </c>
      <c r="BN26" s="22">
        <v>180</v>
      </c>
      <c r="BO26" s="22">
        <v>180</v>
      </c>
      <c r="CN26" s="22">
        <v>180</v>
      </c>
      <c r="CO26" s="22">
        <v>180</v>
      </c>
      <c r="CP26" s="22">
        <v>180</v>
      </c>
      <c r="CQ26" s="22">
        <v>180</v>
      </c>
      <c r="CR26" s="22">
        <v>180</v>
      </c>
      <c r="CS26" s="22">
        <v>180</v>
      </c>
      <c r="CT26" s="22">
        <v>180</v>
      </c>
      <c r="CU26" s="22">
        <v>180</v>
      </c>
      <c r="CV26" s="22">
        <v>180</v>
      </c>
      <c r="CX26" s="22">
        <v>180</v>
      </c>
      <c r="DC26" s="22">
        <v>180</v>
      </c>
      <c r="DD26" s="22">
        <v>180</v>
      </c>
      <c r="DE26" s="22">
        <v>180</v>
      </c>
      <c r="DF26" s="22">
        <v>180</v>
      </c>
      <c r="DG26" s="22">
        <v>180</v>
      </c>
      <c r="DH26" s="22">
        <v>180</v>
      </c>
      <c r="DI26" s="22">
        <v>180</v>
      </c>
      <c r="DJ26" s="22">
        <v>180</v>
      </c>
      <c r="DK26" s="22">
        <v>180</v>
      </c>
      <c r="DL26" s="22">
        <v>180</v>
      </c>
      <c r="DP26" s="22">
        <v>5040</v>
      </c>
    </row>
    <row r="27" spans="1:120" x14ac:dyDescent="0.25">
      <c r="A27" s="5">
        <v>23</v>
      </c>
      <c r="B27" s="9">
        <v>3000000068</v>
      </c>
      <c r="C27" s="12" t="s">
        <v>34</v>
      </c>
      <c r="D27" s="9" t="s">
        <v>12</v>
      </c>
      <c r="E27" s="36"/>
      <c r="F27" s="22"/>
      <c r="G27" s="22"/>
      <c r="H27" s="22"/>
      <c r="I27" s="22"/>
      <c r="J27" s="22">
        <v>3000</v>
      </c>
      <c r="K27" s="22">
        <v>3000</v>
      </c>
      <c r="L27" s="22">
        <v>6000</v>
      </c>
      <c r="M27" s="22">
        <v>5000</v>
      </c>
      <c r="N27" s="22"/>
      <c r="O27" s="22"/>
      <c r="P27" s="22"/>
      <c r="Q27" s="22"/>
      <c r="R27" s="22">
        <v>6000</v>
      </c>
      <c r="S27" s="22"/>
      <c r="T27" s="22"/>
      <c r="U27" s="22"/>
      <c r="V27" s="22"/>
      <c r="W27" s="22">
        <v>414</v>
      </c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>
        <v>3000</v>
      </c>
      <c r="AI27" s="22">
        <v>6000</v>
      </c>
      <c r="AJ27" s="22">
        <v>3000</v>
      </c>
      <c r="AK27" s="22">
        <v>3000</v>
      </c>
      <c r="AL27" s="22"/>
      <c r="AM27" s="22"/>
      <c r="AN27" s="22"/>
      <c r="AO27" s="22">
        <v>22500</v>
      </c>
      <c r="AP27" s="22"/>
      <c r="AQ27" s="22"/>
      <c r="AR27" s="22"/>
      <c r="AY27" s="22">
        <v>3000</v>
      </c>
      <c r="AZ27" s="22">
        <v>3000</v>
      </c>
      <c r="BA27" s="22">
        <v>3000</v>
      </c>
      <c r="BB27" s="22">
        <v>1000</v>
      </c>
      <c r="BQ27" s="22">
        <v>7000</v>
      </c>
      <c r="BV27" s="22">
        <v>3000</v>
      </c>
      <c r="BX27" s="22">
        <v>14013</v>
      </c>
      <c r="DP27" s="22">
        <v>94927</v>
      </c>
    </row>
    <row r="28" spans="1:120" x14ac:dyDescent="0.25">
      <c r="A28" s="5">
        <v>24</v>
      </c>
      <c r="B28" s="9" t="s">
        <v>35</v>
      </c>
      <c r="C28" s="12" t="s">
        <v>602</v>
      </c>
      <c r="D28" s="9" t="s">
        <v>12</v>
      </c>
      <c r="E28" s="36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DP28" s="22">
        <v>0</v>
      </c>
    </row>
    <row r="29" spans="1:120" x14ac:dyDescent="0.25">
      <c r="A29" s="5">
        <v>25</v>
      </c>
      <c r="B29" s="9">
        <v>3000001221</v>
      </c>
      <c r="C29" s="12" t="s">
        <v>302</v>
      </c>
      <c r="D29" s="9" t="s">
        <v>12</v>
      </c>
      <c r="E29" s="36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DP29" s="22">
        <v>0</v>
      </c>
    </row>
    <row r="30" spans="1:120" x14ac:dyDescent="0.25">
      <c r="A30" s="5">
        <v>26</v>
      </c>
      <c r="B30" s="9">
        <v>3000001223</v>
      </c>
      <c r="C30" s="12" t="s">
        <v>304</v>
      </c>
      <c r="D30" s="9" t="s">
        <v>12</v>
      </c>
      <c r="E30" s="36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DP30" s="22">
        <v>0</v>
      </c>
    </row>
    <row r="31" spans="1:120" x14ac:dyDescent="0.25">
      <c r="A31" s="5">
        <v>27</v>
      </c>
      <c r="B31" s="9">
        <v>3000008524</v>
      </c>
      <c r="C31" s="12" t="s">
        <v>39</v>
      </c>
      <c r="D31" s="9" t="s">
        <v>12</v>
      </c>
      <c r="E31" s="36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DP31" s="22">
        <v>0</v>
      </c>
    </row>
    <row r="32" spans="1:120" x14ac:dyDescent="0.25">
      <c r="A32" s="5">
        <v>28</v>
      </c>
      <c r="B32" s="9">
        <v>3000000628</v>
      </c>
      <c r="C32" s="12" t="s">
        <v>40</v>
      </c>
      <c r="D32" s="9" t="s">
        <v>12</v>
      </c>
      <c r="E32" s="36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DP32" s="22">
        <v>0</v>
      </c>
    </row>
    <row r="33" spans="1:120" x14ac:dyDescent="0.25">
      <c r="A33" s="5">
        <v>29</v>
      </c>
      <c r="B33" s="9">
        <v>5000000013</v>
      </c>
      <c r="C33" s="12" t="s">
        <v>41</v>
      </c>
      <c r="D33" s="9" t="s">
        <v>12</v>
      </c>
      <c r="E33" s="36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DP33" s="22">
        <v>0</v>
      </c>
    </row>
    <row r="34" spans="1:120" x14ac:dyDescent="0.25">
      <c r="A34" s="5">
        <v>30</v>
      </c>
      <c r="B34" s="9">
        <v>5000000014</v>
      </c>
      <c r="C34" s="12" t="s">
        <v>42</v>
      </c>
      <c r="D34" s="9" t="s">
        <v>12</v>
      </c>
      <c r="E34" s="36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DP34" s="22">
        <v>0</v>
      </c>
    </row>
    <row r="35" spans="1:120" x14ac:dyDescent="0.25">
      <c r="A35" s="5">
        <v>31</v>
      </c>
      <c r="B35" s="9">
        <v>5000000011</v>
      </c>
      <c r="C35" s="12" t="s">
        <v>43</v>
      </c>
      <c r="D35" s="9" t="s">
        <v>12</v>
      </c>
      <c r="E35" s="36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DP35" s="22">
        <v>0</v>
      </c>
    </row>
    <row r="36" spans="1:120" x14ac:dyDescent="0.25">
      <c r="A36" s="5">
        <v>32</v>
      </c>
      <c r="B36" s="9">
        <v>5000000012</v>
      </c>
      <c r="C36" s="12" t="s">
        <v>44</v>
      </c>
      <c r="D36" s="9" t="s">
        <v>12</v>
      </c>
      <c r="E36" s="36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DP36" s="22">
        <v>0</v>
      </c>
    </row>
    <row r="37" spans="1:120" x14ac:dyDescent="0.25">
      <c r="A37" s="5">
        <v>33</v>
      </c>
      <c r="B37" s="9">
        <v>3000002635</v>
      </c>
      <c r="C37" s="12" t="s">
        <v>45</v>
      </c>
      <c r="D37" s="9" t="s">
        <v>12</v>
      </c>
      <c r="E37" s="36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DP37" s="22">
        <v>0</v>
      </c>
    </row>
    <row r="38" spans="1:120" x14ac:dyDescent="0.25">
      <c r="A38" s="5">
        <v>34</v>
      </c>
      <c r="B38" s="9">
        <v>3000000345</v>
      </c>
      <c r="C38" s="12" t="s">
        <v>46</v>
      </c>
      <c r="D38" s="9" t="s">
        <v>12</v>
      </c>
      <c r="E38" s="36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DP38" s="22">
        <v>0</v>
      </c>
    </row>
    <row r="39" spans="1:120" x14ac:dyDescent="0.25">
      <c r="A39" s="5">
        <v>35</v>
      </c>
      <c r="B39" s="9">
        <v>3000000346</v>
      </c>
      <c r="C39" s="12" t="s">
        <v>47</v>
      </c>
      <c r="D39" s="9" t="s">
        <v>12</v>
      </c>
      <c r="E39" s="36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DP39" s="22">
        <v>0</v>
      </c>
    </row>
    <row r="40" spans="1:120" x14ac:dyDescent="0.25">
      <c r="A40" s="5">
        <v>36</v>
      </c>
      <c r="B40" s="9">
        <v>3000000347</v>
      </c>
      <c r="C40" s="12" t="s">
        <v>48</v>
      </c>
      <c r="D40" s="9" t="s">
        <v>12</v>
      </c>
      <c r="E40" s="36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DP40" s="22">
        <v>0</v>
      </c>
    </row>
    <row r="41" spans="1:120" x14ac:dyDescent="0.25">
      <c r="A41" s="5">
        <v>37</v>
      </c>
      <c r="B41" s="9">
        <v>3000000348</v>
      </c>
      <c r="C41" s="12" t="s">
        <v>49</v>
      </c>
      <c r="D41" s="9" t="s">
        <v>12</v>
      </c>
      <c r="E41" s="36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DP41" s="22">
        <v>0</v>
      </c>
    </row>
    <row r="42" spans="1:120" x14ac:dyDescent="0.25">
      <c r="A42" s="5">
        <v>38</v>
      </c>
      <c r="B42" s="9">
        <v>3000000349</v>
      </c>
      <c r="C42" s="12" t="s">
        <v>50</v>
      </c>
      <c r="D42" s="9" t="s">
        <v>12</v>
      </c>
      <c r="E42" s="36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DP42" s="22">
        <v>0</v>
      </c>
    </row>
    <row r="43" spans="1:120" x14ac:dyDescent="0.25">
      <c r="A43" s="5">
        <v>39</v>
      </c>
      <c r="B43" s="9">
        <v>3000004464</v>
      </c>
      <c r="C43" s="12" t="s">
        <v>51</v>
      </c>
      <c r="D43" s="9" t="s">
        <v>12</v>
      </c>
      <c r="E43" s="36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DP43" s="22">
        <v>0</v>
      </c>
    </row>
    <row r="44" spans="1:120" x14ac:dyDescent="0.25">
      <c r="A44" s="5">
        <v>40</v>
      </c>
      <c r="B44" s="9">
        <v>3000000352</v>
      </c>
      <c r="C44" s="12" t="s">
        <v>52</v>
      </c>
      <c r="D44" s="9" t="s">
        <v>12</v>
      </c>
      <c r="E44" s="36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DP44" s="22">
        <v>0</v>
      </c>
    </row>
    <row r="45" spans="1:120" x14ac:dyDescent="0.25">
      <c r="A45" s="5">
        <v>41</v>
      </c>
      <c r="B45" s="9">
        <v>5000000007</v>
      </c>
      <c r="C45" s="12" t="s">
        <v>53</v>
      </c>
      <c r="D45" s="9" t="s">
        <v>12</v>
      </c>
      <c r="E45" s="36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DP45" s="22">
        <v>0</v>
      </c>
    </row>
    <row r="46" spans="1:120" x14ac:dyDescent="0.25">
      <c r="A46" s="5">
        <v>42</v>
      </c>
      <c r="B46" s="9">
        <v>5000000004</v>
      </c>
      <c r="C46" s="12" t="s">
        <v>54</v>
      </c>
      <c r="D46" s="9" t="s">
        <v>12</v>
      </c>
      <c r="E46" s="36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DP46" s="22">
        <v>0</v>
      </c>
    </row>
    <row r="47" spans="1:120" x14ac:dyDescent="0.25">
      <c r="A47" s="5">
        <v>43</v>
      </c>
      <c r="B47" s="9">
        <v>5000000006</v>
      </c>
      <c r="C47" s="12" t="s">
        <v>55</v>
      </c>
      <c r="D47" s="9" t="s">
        <v>12</v>
      </c>
      <c r="E47" s="36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>
        <v>364</v>
      </c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DP47" s="22">
        <v>364</v>
      </c>
    </row>
    <row r="48" spans="1:120" x14ac:dyDescent="0.25">
      <c r="A48" s="5">
        <v>44</v>
      </c>
      <c r="B48" s="9" t="s">
        <v>35</v>
      </c>
      <c r="C48" s="12" t="s">
        <v>56</v>
      </c>
      <c r="D48" s="9" t="s">
        <v>12</v>
      </c>
      <c r="E48" s="36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DP48" s="22">
        <v>0</v>
      </c>
    </row>
    <row r="49" spans="1:120" x14ac:dyDescent="0.25">
      <c r="A49" s="5">
        <v>45</v>
      </c>
      <c r="B49" s="9">
        <v>3000000354</v>
      </c>
      <c r="C49" s="12" t="s">
        <v>57</v>
      </c>
      <c r="D49" s="9" t="s">
        <v>12</v>
      </c>
      <c r="E49" s="36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DP49" s="22">
        <v>0</v>
      </c>
    </row>
    <row r="50" spans="1:120" x14ac:dyDescent="0.25">
      <c r="A50" s="5">
        <v>46</v>
      </c>
      <c r="B50" s="9">
        <v>3000000355</v>
      </c>
      <c r="C50" s="12" t="s">
        <v>58</v>
      </c>
      <c r="D50" s="9" t="s">
        <v>12</v>
      </c>
      <c r="E50" s="36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DP50" s="22">
        <v>0</v>
      </c>
    </row>
    <row r="51" spans="1:120" x14ac:dyDescent="0.25">
      <c r="A51" s="5">
        <v>47</v>
      </c>
      <c r="B51" s="9">
        <v>3000000060</v>
      </c>
      <c r="C51" s="12" t="s">
        <v>295</v>
      </c>
      <c r="D51" s="9" t="s">
        <v>12</v>
      </c>
      <c r="E51" s="36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DP51" s="22">
        <v>0</v>
      </c>
    </row>
    <row r="52" spans="1:120" x14ac:dyDescent="0.25">
      <c r="A52" s="5">
        <v>48</v>
      </c>
      <c r="B52" s="9">
        <v>3000000356</v>
      </c>
      <c r="C52" s="12" t="s">
        <v>60</v>
      </c>
      <c r="D52" s="9" t="s">
        <v>12</v>
      </c>
      <c r="E52" s="36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DP52" s="22">
        <v>0</v>
      </c>
    </row>
    <row r="53" spans="1:120" x14ac:dyDescent="0.25">
      <c r="A53" s="5">
        <v>49</v>
      </c>
      <c r="B53" s="9">
        <v>3000000353</v>
      </c>
      <c r="C53" s="12" t="s">
        <v>61</v>
      </c>
      <c r="D53" s="9" t="s">
        <v>12</v>
      </c>
      <c r="E53" s="36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DP53" s="22">
        <v>0</v>
      </c>
    </row>
    <row r="54" spans="1:120" x14ac:dyDescent="0.25">
      <c r="A54" s="5">
        <v>50</v>
      </c>
      <c r="B54" s="9">
        <v>3000000437</v>
      </c>
      <c r="C54" s="12" t="s">
        <v>62</v>
      </c>
      <c r="D54" s="9" t="s">
        <v>12</v>
      </c>
      <c r="E54" s="36"/>
      <c r="F54" s="22"/>
      <c r="G54" s="22"/>
      <c r="H54" s="22"/>
      <c r="I54" s="22"/>
      <c r="J54" s="22"/>
      <c r="K54" s="22"/>
      <c r="L54" s="22"/>
      <c r="M54" s="22">
        <v>1700</v>
      </c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>
        <v>3300</v>
      </c>
      <c r="AF54" s="22"/>
      <c r="AG54" s="22"/>
      <c r="AH54" s="22"/>
      <c r="AI54" s="22">
        <v>3000</v>
      </c>
      <c r="AJ54" s="22"/>
      <c r="AK54" s="22"/>
      <c r="AL54" s="22"/>
      <c r="AM54" s="22"/>
      <c r="AN54" s="22"/>
      <c r="AO54" s="22"/>
      <c r="AP54" s="22"/>
      <c r="AQ54" s="22"/>
      <c r="AR54" s="22"/>
      <c r="AY54" s="22">
        <v>2000</v>
      </c>
      <c r="BV54" s="22">
        <v>3000</v>
      </c>
      <c r="BX54" s="22">
        <v>3647</v>
      </c>
      <c r="DP54" s="22">
        <v>16647</v>
      </c>
    </row>
    <row r="55" spans="1:120" x14ac:dyDescent="0.25">
      <c r="A55" s="5">
        <v>51</v>
      </c>
      <c r="B55" s="9">
        <v>1000005010</v>
      </c>
      <c r="C55" s="12" t="s">
        <v>63</v>
      </c>
      <c r="D55" s="9" t="s">
        <v>12</v>
      </c>
      <c r="E55" s="36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DP55" s="22">
        <v>0</v>
      </c>
    </row>
    <row r="56" spans="1:120" x14ac:dyDescent="0.25">
      <c r="A56" s="5">
        <v>52</v>
      </c>
      <c r="B56" s="9">
        <v>1000005004</v>
      </c>
      <c r="C56" s="12" t="s">
        <v>64</v>
      </c>
      <c r="D56" s="9" t="s">
        <v>12</v>
      </c>
      <c r="E56" s="36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DP56" s="22">
        <v>0</v>
      </c>
    </row>
    <row r="57" spans="1:120" x14ac:dyDescent="0.25">
      <c r="A57" s="5">
        <v>53</v>
      </c>
      <c r="B57" s="9">
        <v>1000005006</v>
      </c>
      <c r="C57" s="12" t="s">
        <v>65</v>
      </c>
      <c r="D57" s="9" t="s">
        <v>12</v>
      </c>
      <c r="E57" s="36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DP57" s="22">
        <v>0</v>
      </c>
    </row>
    <row r="58" spans="1:120" x14ac:dyDescent="0.25">
      <c r="A58" s="5">
        <v>54</v>
      </c>
      <c r="B58" s="9">
        <v>1000005005</v>
      </c>
      <c r="C58" s="12" t="s">
        <v>66</v>
      </c>
      <c r="D58" s="9" t="s">
        <v>12</v>
      </c>
      <c r="E58" s="36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DP58" s="22">
        <v>0</v>
      </c>
    </row>
    <row r="59" spans="1:120" x14ac:dyDescent="0.25">
      <c r="A59" s="5">
        <v>55</v>
      </c>
      <c r="B59" s="9">
        <v>1000006424</v>
      </c>
      <c r="C59" s="12" t="s">
        <v>67</v>
      </c>
      <c r="D59" s="9" t="s">
        <v>12</v>
      </c>
      <c r="E59" s="36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DP59" s="22">
        <v>0</v>
      </c>
    </row>
    <row r="60" spans="1:120" x14ac:dyDescent="0.25">
      <c r="A60" s="5">
        <v>56</v>
      </c>
      <c r="B60" s="9">
        <v>1000005009</v>
      </c>
      <c r="C60" s="12" t="s">
        <v>68</v>
      </c>
      <c r="D60" s="9" t="s">
        <v>12</v>
      </c>
      <c r="E60" s="36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DP60" s="22">
        <v>0</v>
      </c>
    </row>
    <row r="61" spans="1:120" x14ac:dyDescent="0.25">
      <c r="A61" s="5">
        <v>57</v>
      </c>
      <c r="B61" s="9">
        <v>1000005008</v>
      </c>
      <c r="C61" s="12" t="s">
        <v>69</v>
      </c>
      <c r="D61" s="9" t="s">
        <v>12</v>
      </c>
      <c r="E61" s="36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DP61" s="22">
        <v>0</v>
      </c>
    </row>
    <row r="62" spans="1:120" x14ac:dyDescent="0.25">
      <c r="A62" s="5">
        <v>58</v>
      </c>
      <c r="B62" s="9">
        <v>1000005007</v>
      </c>
      <c r="C62" s="12" t="s">
        <v>70</v>
      </c>
      <c r="D62" s="9" t="s">
        <v>12</v>
      </c>
      <c r="E62" s="36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DP62" s="22">
        <v>0</v>
      </c>
    </row>
    <row r="63" spans="1:120" x14ac:dyDescent="0.25">
      <c r="A63" s="5">
        <v>59</v>
      </c>
      <c r="B63" s="9">
        <v>1000005003</v>
      </c>
      <c r="C63" s="12" t="s">
        <v>71</v>
      </c>
      <c r="D63" s="9" t="s">
        <v>12</v>
      </c>
      <c r="E63" s="36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DP63" s="22">
        <v>0</v>
      </c>
    </row>
    <row r="64" spans="1:120" x14ac:dyDescent="0.25">
      <c r="A64" s="5">
        <v>60</v>
      </c>
      <c r="B64" s="9">
        <v>1000005001</v>
      </c>
      <c r="C64" s="12" t="s">
        <v>72</v>
      </c>
      <c r="D64" s="9" t="s">
        <v>12</v>
      </c>
      <c r="E64" s="36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DP64" s="22">
        <v>0</v>
      </c>
    </row>
    <row r="65" spans="1:120" x14ac:dyDescent="0.25">
      <c r="A65" s="5">
        <v>61</v>
      </c>
      <c r="B65" s="9">
        <v>1000005002</v>
      </c>
      <c r="C65" s="12" t="s">
        <v>73</v>
      </c>
      <c r="D65" s="9" t="s">
        <v>12</v>
      </c>
      <c r="E65" s="36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DP65" s="22">
        <v>0</v>
      </c>
    </row>
    <row r="66" spans="1:120" x14ac:dyDescent="0.25">
      <c r="A66" s="5">
        <v>62</v>
      </c>
      <c r="B66" s="9">
        <v>1000005000</v>
      </c>
      <c r="C66" s="12" t="s">
        <v>74</v>
      </c>
      <c r="D66" s="9" t="s">
        <v>12</v>
      </c>
      <c r="E66" s="36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DP66" s="22">
        <v>0</v>
      </c>
    </row>
    <row r="67" spans="1:120" x14ac:dyDescent="0.25">
      <c r="A67" s="5">
        <v>63</v>
      </c>
      <c r="B67" s="9">
        <v>3000002340</v>
      </c>
      <c r="C67" s="12" t="s">
        <v>75</v>
      </c>
      <c r="D67" s="9" t="s">
        <v>12</v>
      </c>
      <c r="E67" s="36"/>
      <c r="F67" s="22"/>
      <c r="G67" s="22"/>
      <c r="H67" s="22"/>
      <c r="I67" s="22"/>
      <c r="J67" s="22"/>
      <c r="K67" s="22"/>
      <c r="L67" s="22">
        <v>400</v>
      </c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>
        <v>150</v>
      </c>
      <c r="AI67" s="22"/>
      <c r="AJ67" s="22">
        <v>150</v>
      </c>
      <c r="AK67" s="22"/>
      <c r="AL67" s="22">
        <v>200</v>
      </c>
      <c r="AM67" s="22"/>
      <c r="AN67" s="22"/>
      <c r="AO67" s="22"/>
      <c r="AP67" s="22"/>
      <c r="AQ67" s="22"/>
      <c r="AR67" s="22"/>
      <c r="AZ67" s="22">
        <v>150</v>
      </c>
      <c r="BD67" s="22">
        <v>50</v>
      </c>
      <c r="BE67" s="22">
        <v>50</v>
      </c>
      <c r="BQ67" s="22">
        <v>1894</v>
      </c>
      <c r="DC67" s="22">
        <v>1400</v>
      </c>
      <c r="DD67" s="22">
        <v>1400</v>
      </c>
      <c r="DP67" s="22">
        <v>5844</v>
      </c>
    </row>
    <row r="68" spans="1:120" x14ac:dyDescent="0.25">
      <c r="A68" s="5">
        <v>64</v>
      </c>
      <c r="B68" s="9">
        <v>3000001211</v>
      </c>
      <c r="C68" s="12" t="s">
        <v>76</v>
      </c>
      <c r="D68" s="9" t="s">
        <v>12</v>
      </c>
      <c r="E68" s="36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DP68" s="22">
        <v>0</v>
      </c>
    </row>
    <row r="69" spans="1:120" x14ac:dyDescent="0.25">
      <c r="A69" s="5">
        <v>65</v>
      </c>
      <c r="B69" s="9">
        <v>3000001212</v>
      </c>
      <c r="C69" s="12" t="s">
        <v>77</v>
      </c>
      <c r="D69" s="9" t="s">
        <v>12</v>
      </c>
      <c r="E69" s="36"/>
      <c r="F69" s="22"/>
      <c r="G69" s="22"/>
      <c r="H69" s="22"/>
      <c r="I69" s="22"/>
      <c r="J69" s="22">
        <v>300</v>
      </c>
      <c r="K69" s="22"/>
      <c r="L69" s="22"/>
      <c r="M69" s="22"/>
      <c r="N69" s="22"/>
      <c r="O69" s="22"/>
      <c r="P69" s="22"/>
      <c r="Q69" s="22"/>
      <c r="R69" s="22">
        <v>252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>
        <v>300</v>
      </c>
      <c r="AI69" s="22">
        <v>50</v>
      </c>
      <c r="AJ69" s="22">
        <v>150</v>
      </c>
      <c r="AK69" s="22"/>
      <c r="AL69" s="22"/>
      <c r="AM69" s="22"/>
      <c r="AN69" s="22"/>
      <c r="AO69" s="22"/>
      <c r="AP69" s="22"/>
      <c r="AQ69" s="22"/>
      <c r="AR69" s="22"/>
      <c r="BD69" s="22">
        <v>50</v>
      </c>
      <c r="BE69" s="22">
        <v>200</v>
      </c>
      <c r="BP69" s="22">
        <v>617</v>
      </c>
      <c r="BV69" s="22">
        <v>656</v>
      </c>
      <c r="DP69" s="22">
        <v>2575</v>
      </c>
    </row>
    <row r="70" spans="1:120" x14ac:dyDescent="0.25">
      <c r="A70" s="5">
        <v>66</v>
      </c>
      <c r="B70" s="9">
        <v>3000002341</v>
      </c>
      <c r="C70" s="12" t="s">
        <v>78</v>
      </c>
      <c r="D70" s="9" t="s">
        <v>12</v>
      </c>
      <c r="E70" s="36"/>
      <c r="F70" s="22"/>
      <c r="G70" s="22"/>
      <c r="H70" s="22"/>
      <c r="I70" s="22"/>
      <c r="J70" s="22">
        <v>300</v>
      </c>
      <c r="K70" s="22">
        <v>100</v>
      </c>
      <c r="L70" s="22"/>
      <c r="M70" s="22"/>
      <c r="N70" s="22"/>
      <c r="O70" s="22"/>
      <c r="P70" s="22"/>
      <c r="Q70" s="22"/>
      <c r="R70" s="22">
        <v>142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BD70" s="22">
        <v>50</v>
      </c>
      <c r="BE70" s="22">
        <v>200</v>
      </c>
      <c r="BP70" s="22">
        <v>1050</v>
      </c>
      <c r="BQ70" s="22">
        <v>102</v>
      </c>
      <c r="BV70" s="22">
        <v>1050</v>
      </c>
      <c r="BW70" s="22">
        <v>53</v>
      </c>
      <c r="DE70" s="22">
        <v>700</v>
      </c>
      <c r="DF70" s="22">
        <v>700</v>
      </c>
      <c r="DG70" s="22">
        <v>700</v>
      </c>
      <c r="DI70" s="22">
        <v>700</v>
      </c>
      <c r="DJ70" s="22">
        <v>700</v>
      </c>
      <c r="DP70" s="22">
        <v>6547</v>
      </c>
    </row>
    <row r="71" spans="1:120" x14ac:dyDescent="0.25">
      <c r="A71" s="5">
        <v>67</v>
      </c>
      <c r="B71" s="9">
        <v>3000001214</v>
      </c>
      <c r="C71" s="12" t="s">
        <v>79</v>
      </c>
      <c r="D71" s="9" t="s">
        <v>12</v>
      </c>
      <c r="E71" s="36"/>
      <c r="F71" s="22"/>
      <c r="G71" s="22"/>
      <c r="H71" s="22"/>
      <c r="I71" s="22"/>
      <c r="J71" s="22"/>
      <c r="K71" s="22">
        <v>300</v>
      </c>
      <c r="L71" s="22"/>
      <c r="M71" s="22"/>
      <c r="N71" s="22"/>
      <c r="O71" s="22"/>
      <c r="P71" s="22"/>
      <c r="Q71" s="22"/>
      <c r="R71" s="22">
        <v>85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BP71" s="22">
        <v>318</v>
      </c>
      <c r="BW71" s="22">
        <v>885</v>
      </c>
      <c r="DP71" s="22">
        <v>1588</v>
      </c>
    </row>
    <row r="72" spans="1:120" x14ac:dyDescent="0.25">
      <c r="A72" s="5">
        <v>68</v>
      </c>
      <c r="B72" s="9">
        <v>3000001215</v>
      </c>
      <c r="C72" s="12" t="s">
        <v>80</v>
      </c>
      <c r="D72" s="9" t="s">
        <v>12</v>
      </c>
      <c r="E72" s="36"/>
      <c r="F72" s="22">
        <v>1200</v>
      </c>
      <c r="G72" s="22">
        <v>1200</v>
      </c>
      <c r="H72" s="22">
        <v>1200</v>
      </c>
      <c r="I72" s="22">
        <v>1200</v>
      </c>
      <c r="J72" s="22">
        <v>300</v>
      </c>
      <c r="K72" s="22">
        <v>300</v>
      </c>
      <c r="L72" s="22">
        <v>300</v>
      </c>
      <c r="M72" s="22">
        <v>300</v>
      </c>
      <c r="N72" s="22">
        <v>2400</v>
      </c>
      <c r="O72" s="22">
        <v>2400</v>
      </c>
      <c r="P72" s="22">
        <v>2400</v>
      </c>
      <c r="Q72" s="22">
        <v>2400</v>
      </c>
      <c r="R72" s="22">
        <v>200</v>
      </c>
      <c r="S72" s="22">
        <v>2400</v>
      </c>
      <c r="T72" s="22">
        <v>2400</v>
      </c>
      <c r="U72" s="22">
        <v>2400</v>
      </c>
      <c r="V72" s="22">
        <v>2400</v>
      </c>
      <c r="W72" s="22">
        <v>1800</v>
      </c>
      <c r="X72" s="22">
        <v>2400</v>
      </c>
      <c r="Y72" s="22">
        <v>2400</v>
      </c>
      <c r="Z72" s="22">
        <v>2400</v>
      </c>
      <c r="AA72" s="22">
        <v>2400</v>
      </c>
      <c r="AB72" s="22"/>
      <c r="AC72" s="22">
        <v>2400</v>
      </c>
      <c r="AD72" s="22">
        <v>1446</v>
      </c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>
        <v>1200</v>
      </c>
      <c r="AR72" s="22">
        <v>1200</v>
      </c>
      <c r="AS72" s="22">
        <v>1200</v>
      </c>
      <c r="AT72" s="22">
        <v>1200</v>
      </c>
      <c r="AU72" s="22">
        <v>1200</v>
      </c>
      <c r="AV72" s="22">
        <v>1200</v>
      </c>
      <c r="AW72" s="22">
        <v>1200</v>
      </c>
      <c r="AX72" s="22">
        <v>1200</v>
      </c>
      <c r="AY72" s="22">
        <v>300</v>
      </c>
      <c r="AZ72" s="22">
        <v>300</v>
      </c>
      <c r="BA72" s="22">
        <v>250</v>
      </c>
      <c r="BB72" s="22">
        <v>150</v>
      </c>
      <c r="BC72" s="22">
        <v>300</v>
      </c>
      <c r="BD72" s="22">
        <v>300</v>
      </c>
      <c r="BQ72" s="22">
        <v>350</v>
      </c>
      <c r="BY72" s="22">
        <v>1400</v>
      </c>
      <c r="BZ72" s="22">
        <v>1400</v>
      </c>
      <c r="CA72" s="22">
        <v>1400</v>
      </c>
      <c r="CB72" s="22">
        <v>1400</v>
      </c>
      <c r="CI72" s="22">
        <v>1400</v>
      </c>
      <c r="CJ72" s="22">
        <v>1400</v>
      </c>
      <c r="CK72" s="22">
        <v>1400</v>
      </c>
      <c r="CL72" s="22">
        <v>1400</v>
      </c>
      <c r="CM72" s="22">
        <v>1400</v>
      </c>
      <c r="CN72" s="22">
        <v>400</v>
      </c>
      <c r="CO72" s="22">
        <v>400</v>
      </c>
      <c r="CP72" s="22">
        <v>400</v>
      </c>
      <c r="CQ72" s="22">
        <v>400</v>
      </c>
      <c r="CR72" s="22">
        <v>400</v>
      </c>
      <c r="CS72" s="22">
        <v>400</v>
      </c>
      <c r="CT72" s="22">
        <v>400</v>
      </c>
      <c r="CU72" s="22">
        <v>400</v>
      </c>
      <c r="CV72" s="22">
        <v>400</v>
      </c>
      <c r="CW72" s="22">
        <v>1400</v>
      </c>
      <c r="CX72" s="22">
        <v>400</v>
      </c>
      <c r="CY72" s="22">
        <v>1400</v>
      </c>
      <c r="CZ72" s="22">
        <v>1400</v>
      </c>
      <c r="DA72" s="22">
        <v>1400</v>
      </c>
      <c r="DB72" s="22">
        <v>1400</v>
      </c>
      <c r="DH72" s="22">
        <v>400</v>
      </c>
      <c r="DK72" s="22">
        <v>400</v>
      </c>
      <c r="DL72" s="22">
        <v>400</v>
      </c>
      <c r="DP72" s="22">
        <v>76996</v>
      </c>
    </row>
    <row r="73" spans="1:120" x14ac:dyDescent="0.25">
      <c r="A73" s="5">
        <v>69</v>
      </c>
      <c r="B73" s="9">
        <v>3000001216</v>
      </c>
      <c r="C73" s="12" t="s">
        <v>81</v>
      </c>
      <c r="D73" s="9" t="s">
        <v>12</v>
      </c>
      <c r="E73" s="36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DP73" s="22">
        <v>0</v>
      </c>
    </row>
    <row r="74" spans="1:120" x14ac:dyDescent="0.25">
      <c r="A74" s="5">
        <v>70</v>
      </c>
      <c r="B74" s="9">
        <v>3000001217</v>
      </c>
      <c r="C74" s="12" t="s">
        <v>82</v>
      </c>
      <c r="D74" s="9" t="s">
        <v>12</v>
      </c>
      <c r="E74" s="36"/>
      <c r="F74" s="22"/>
      <c r="G74" s="22"/>
      <c r="H74" s="22"/>
      <c r="I74" s="22"/>
      <c r="J74" s="22">
        <v>300</v>
      </c>
      <c r="K74" s="22">
        <v>150</v>
      </c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DP74" s="22">
        <v>450</v>
      </c>
    </row>
    <row r="75" spans="1:120" x14ac:dyDescent="0.25">
      <c r="A75" s="5">
        <v>71</v>
      </c>
      <c r="B75" s="9">
        <v>3000000009</v>
      </c>
      <c r="C75" s="12" t="s">
        <v>83</v>
      </c>
      <c r="D75" s="9" t="s">
        <v>12</v>
      </c>
      <c r="E75" s="36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DP75" s="22">
        <v>0</v>
      </c>
    </row>
    <row r="76" spans="1:120" x14ac:dyDescent="0.25">
      <c r="A76" s="5">
        <v>72</v>
      </c>
      <c r="B76" s="9">
        <v>3000000011</v>
      </c>
      <c r="C76" s="12" t="s">
        <v>84</v>
      </c>
      <c r="D76" s="9" t="s">
        <v>12</v>
      </c>
      <c r="E76" s="36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DP76" s="22">
        <v>0</v>
      </c>
    </row>
    <row r="77" spans="1:120" x14ac:dyDescent="0.25">
      <c r="A77" s="5">
        <v>73</v>
      </c>
      <c r="B77" s="9">
        <v>3000000707</v>
      </c>
      <c r="C77" s="12" t="s">
        <v>85</v>
      </c>
      <c r="D77" s="9" t="s">
        <v>12</v>
      </c>
      <c r="E77" s="36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>
        <v>314</v>
      </c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DP77" s="22">
        <v>314</v>
      </c>
    </row>
    <row r="78" spans="1:120" x14ac:dyDescent="0.25">
      <c r="A78" s="5">
        <v>74</v>
      </c>
      <c r="B78" s="9">
        <v>3000000301</v>
      </c>
      <c r="C78" s="12" t="s">
        <v>86</v>
      </c>
      <c r="D78" s="9" t="s">
        <v>12</v>
      </c>
      <c r="E78" s="36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>
        <v>51</v>
      </c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DP78" s="22">
        <v>51</v>
      </c>
    </row>
    <row r="79" spans="1:120" x14ac:dyDescent="0.25">
      <c r="A79" s="5">
        <v>75</v>
      </c>
      <c r="B79" s="9">
        <v>3000000302</v>
      </c>
      <c r="C79" s="12" t="s">
        <v>87</v>
      </c>
      <c r="D79" s="9" t="s">
        <v>12</v>
      </c>
      <c r="E79" s="36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>
        <v>290</v>
      </c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BK79" s="22">
        <v>311</v>
      </c>
      <c r="DP79" s="22">
        <v>601</v>
      </c>
    </row>
    <row r="80" spans="1:120" x14ac:dyDescent="0.25">
      <c r="A80" s="5">
        <v>76</v>
      </c>
      <c r="B80" s="9">
        <v>3000000303</v>
      </c>
      <c r="C80" s="12" t="s">
        <v>88</v>
      </c>
      <c r="D80" s="9" t="s">
        <v>12</v>
      </c>
      <c r="E80" s="36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>
        <v>1169</v>
      </c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BJ80" s="22">
        <v>437</v>
      </c>
      <c r="DP80" s="22">
        <v>1606</v>
      </c>
    </row>
    <row r="81" spans="1:120" x14ac:dyDescent="0.25">
      <c r="A81" s="5">
        <v>77</v>
      </c>
      <c r="B81" s="9">
        <v>3000000304</v>
      </c>
      <c r="C81" s="12" t="s">
        <v>89</v>
      </c>
      <c r="D81" s="9" t="s">
        <v>12</v>
      </c>
      <c r="E81" s="36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>
        <v>580</v>
      </c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BO81" s="22">
        <v>76</v>
      </c>
      <c r="DP81" s="22">
        <v>656</v>
      </c>
    </row>
    <row r="82" spans="1:120" x14ac:dyDescent="0.25">
      <c r="A82" s="5">
        <v>78</v>
      </c>
      <c r="B82" s="9">
        <v>3000000305</v>
      </c>
      <c r="C82" s="12" t="s">
        <v>90</v>
      </c>
      <c r="D82" s="9" t="s">
        <v>12</v>
      </c>
      <c r="E82" s="36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>
        <v>90</v>
      </c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BO82" s="22">
        <v>55</v>
      </c>
      <c r="DP82" s="22">
        <v>145</v>
      </c>
    </row>
    <row r="83" spans="1:120" x14ac:dyDescent="0.25">
      <c r="A83" s="5">
        <v>79</v>
      </c>
      <c r="B83" s="9">
        <v>3000000306</v>
      </c>
      <c r="C83" s="12" t="s">
        <v>91</v>
      </c>
      <c r="D83" s="9" t="s">
        <v>12</v>
      </c>
      <c r="E83" s="36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>
        <v>855</v>
      </c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BN83" s="22">
        <v>377</v>
      </c>
      <c r="DP83" s="22">
        <v>1232</v>
      </c>
    </row>
    <row r="84" spans="1:120" x14ac:dyDescent="0.25">
      <c r="A84" s="5">
        <v>80</v>
      </c>
      <c r="B84" s="9">
        <v>3000000307</v>
      </c>
      <c r="C84" s="12" t="s">
        <v>92</v>
      </c>
      <c r="D84" s="9" t="s">
        <v>12</v>
      </c>
      <c r="E84" s="36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>
        <v>1270</v>
      </c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DP84" s="22">
        <v>1270</v>
      </c>
    </row>
    <row r="85" spans="1:120" x14ac:dyDescent="0.25">
      <c r="A85" s="5">
        <v>81</v>
      </c>
      <c r="B85" s="9">
        <v>3000000308</v>
      </c>
      <c r="C85" s="12" t="s">
        <v>93</v>
      </c>
      <c r="D85" s="9" t="s">
        <v>12</v>
      </c>
      <c r="E85" s="36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>
        <v>1438</v>
      </c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BL85" s="22">
        <v>370</v>
      </c>
      <c r="DP85" s="22">
        <v>1808</v>
      </c>
    </row>
    <row r="86" spans="1:120" x14ac:dyDescent="0.25">
      <c r="A86" s="5">
        <v>82</v>
      </c>
      <c r="B86" s="9">
        <v>3000003396</v>
      </c>
      <c r="C86" s="12" t="s">
        <v>94</v>
      </c>
      <c r="D86" s="9" t="s">
        <v>12</v>
      </c>
      <c r="E86" s="36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>
        <v>888</v>
      </c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DP86" s="22">
        <v>888</v>
      </c>
    </row>
    <row r="87" spans="1:120" x14ac:dyDescent="0.25">
      <c r="A87" s="5">
        <v>83</v>
      </c>
      <c r="B87" s="9">
        <v>3000000309</v>
      </c>
      <c r="C87" s="12" t="s">
        <v>95</v>
      </c>
      <c r="D87" s="9" t="s">
        <v>12</v>
      </c>
      <c r="E87" s="36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BJ87" s="22">
        <v>500</v>
      </c>
      <c r="BK87" s="22">
        <v>500</v>
      </c>
      <c r="BM87" s="22">
        <v>691</v>
      </c>
      <c r="BN87" s="22">
        <v>500</v>
      </c>
      <c r="DP87" s="22">
        <v>2191</v>
      </c>
    </row>
    <row r="88" spans="1:120" x14ac:dyDescent="0.25">
      <c r="A88" s="5">
        <v>84</v>
      </c>
      <c r="B88" s="9">
        <v>3000000310</v>
      </c>
      <c r="C88" s="12" t="s">
        <v>96</v>
      </c>
      <c r="D88" s="9" t="s">
        <v>12</v>
      </c>
      <c r="E88" s="36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DP88" s="22">
        <v>0</v>
      </c>
    </row>
    <row r="89" spans="1:120" x14ac:dyDescent="0.25">
      <c r="A89" s="5">
        <v>85</v>
      </c>
      <c r="B89" s="9">
        <v>3000008517</v>
      </c>
      <c r="C89" s="12" t="s">
        <v>97</v>
      </c>
      <c r="D89" s="9" t="s">
        <v>12</v>
      </c>
      <c r="E89" s="36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DP89" s="22">
        <v>0</v>
      </c>
    </row>
    <row r="90" spans="1:120" x14ac:dyDescent="0.25">
      <c r="A90" s="5">
        <v>86</v>
      </c>
      <c r="B90" s="9">
        <v>3000008518</v>
      </c>
      <c r="C90" s="12" t="s">
        <v>98</v>
      </c>
      <c r="D90" s="9" t="s">
        <v>12</v>
      </c>
      <c r="E90" s="36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DP90" s="22">
        <v>0</v>
      </c>
    </row>
    <row r="91" spans="1:120" x14ac:dyDescent="0.25">
      <c r="A91" s="5">
        <v>87</v>
      </c>
      <c r="B91" s="9">
        <v>3000004960</v>
      </c>
      <c r="C91" s="12" t="s">
        <v>99</v>
      </c>
      <c r="D91" s="9" t="s">
        <v>12</v>
      </c>
      <c r="E91" s="36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DP91" s="22">
        <v>0</v>
      </c>
    </row>
    <row r="92" spans="1:120" x14ac:dyDescent="0.25">
      <c r="A92" s="5">
        <v>88</v>
      </c>
      <c r="B92" s="9">
        <v>3000008519</v>
      </c>
      <c r="C92" s="12" t="s">
        <v>100</v>
      </c>
      <c r="D92" s="9" t="s">
        <v>12</v>
      </c>
      <c r="E92" s="36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DP92" s="22">
        <v>0</v>
      </c>
    </row>
    <row r="93" spans="1:120" x14ac:dyDescent="0.25">
      <c r="A93" s="5">
        <v>89</v>
      </c>
      <c r="B93" s="9">
        <v>3000008514</v>
      </c>
      <c r="C93" s="12" t="s">
        <v>101</v>
      </c>
      <c r="D93" s="9" t="s">
        <v>12</v>
      </c>
      <c r="E93" s="36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DP93" s="22">
        <v>0</v>
      </c>
    </row>
    <row r="94" spans="1:120" x14ac:dyDescent="0.25">
      <c r="A94" s="5">
        <v>90</v>
      </c>
      <c r="B94" s="9">
        <v>3000008515</v>
      </c>
      <c r="C94" s="12" t="s">
        <v>102</v>
      </c>
      <c r="D94" s="9" t="s">
        <v>12</v>
      </c>
      <c r="E94" s="36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DP94" s="22">
        <v>0</v>
      </c>
    </row>
    <row r="95" spans="1:120" x14ac:dyDescent="0.25">
      <c r="A95" s="5">
        <v>91</v>
      </c>
      <c r="B95" s="9">
        <v>3000008521</v>
      </c>
      <c r="C95" s="12" t="s">
        <v>103</v>
      </c>
      <c r="D95" s="9" t="s">
        <v>12</v>
      </c>
      <c r="E95" s="36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DP95" s="22">
        <v>0</v>
      </c>
    </row>
    <row r="96" spans="1:120" x14ac:dyDescent="0.25">
      <c r="A96" s="5">
        <v>92</v>
      </c>
      <c r="B96" s="9">
        <v>5000000019</v>
      </c>
      <c r="C96" s="12" t="s">
        <v>104</v>
      </c>
      <c r="D96" s="9" t="s">
        <v>12</v>
      </c>
      <c r="E96" s="36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DP96" s="22">
        <v>0</v>
      </c>
    </row>
    <row r="97" spans="1:120" x14ac:dyDescent="0.25">
      <c r="A97" s="5">
        <v>93</v>
      </c>
      <c r="B97" s="9">
        <v>5000000018</v>
      </c>
      <c r="C97" s="12" t="s">
        <v>105</v>
      </c>
      <c r="D97" s="9" t="s">
        <v>12</v>
      </c>
      <c r="E97" s="36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DP97" s="22">
        <v>0</v>
      </c>
    </row>
    <row r="98" spans="1:120" x14ac:dyDescent="0.25">
      <c r="A98" s="5">
        <v>94</v>
      </c>
      <c r="B98" s="9">
        <v>3000004956</v>
      </c>
      <c r="C98" s="12" t="s">
        <v>106</v>
      </c>
      <c r="D98" s="9" t="s">
        <v>12</v>
      </c>
      <c r="E98" s="36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DP98" s="22">
        <v>0</v>
      </c>
    </row>
    <row r="99" spans="1:120" x14ac:dyDescent="0.25">
      <c r="A99" s="5">
        <v>95</v>
      </c>
      <c r="B99" s="9">
        <v>3000004954</v>
      </c>
      <c r="C99" s="12" t="s">
        <v>107</v>
      </c>
      <c r="D99" s="9" t="s">
        <v>12</v>
      </c>
      <c r="E99" s="36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DP99" s="22">
        <v>0</v>
      </c>
    </row>
    <row r="100" spans="1:120" x14ac:dyDescent="0.25">
      <c r="A100" s="5">
        <v>96</v>
      </c>
      <c r="B100" s="9">
        <v>3000005013</v>
      </c>
      <c r="C100" s="12" t="s">
        <v>108</v>
      </c>
      <c r="D100" s="9" t="s">
        <v>12</v>
      </c>
      <c r="E100" s="36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DP100" s="22">
        <v>0</v>
      </c>
    </row>
    <row r="101" spans="1:120" x14ac:dyDescent="0.25">
      <c r="A101" s="5">
        <v>97</v>
      </c>
      <c r="B101" s="9">
        <v>3000004953</v>
      </c>
      <c r="C101" s="12" t="s">
        <v>109</v>
      </c>
      <c r="D101" s="9" t="s">
        <v>12</v>
      </c>
      <c r="E101" s="36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DP101" s="22">
        <v>0</v>
      </c>
    </row>
    <row r="102" spans="1:120" x14ac:dyDescent="0.25">
      <c r="A102" s="5">
        <v>98</v>
      </c>
      <c r="B102" s="9">
        <v>5000000017</v>
      </c>
      <c r="C102" s="12" t="s">
        <v>110</v>
      </c>
      <c r="D102" s="9" t="s">
        <v>12</v>
      </c>
      <c r="E102" s="36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DP102" s="22">
        <v>0</v>
      </c>
    </row>
    <row r="103" spans="1:120" x14ac:dyDescent="0.25">
      <c r="A103" s="5">
        <v>99</v>
      </c>
      <c r="B103" s="9">
        <v>3000008526</v>
      </c>
      <c r="C103" s="12" t="s">
        <v>111</v>
      </c>
      <c r="D103" s="9" t="s">
        <v>12</v>
      </c>
      <c r="E103" s="36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DP103" s="22">
        <v>0</v>
      </c>
    </row>
    <row r="104" spans="1:120" x14ac:dyDescent="0.25">
      <c r="A104" s="5">
        <v>100</v>
      </c>
      <c r="B104" s="9">
        <v>3000008516</v>
      </c>
      <c r="C104" s="12" t="s">
        <v>112</v>
      </c>
      <c r="D104" s="9" t="s">
        <v>12</v>
      </c>
      <c r="E104" s="36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DP104" s="22">
        <v>0</v>
      </c>
    </row>
    <row r="105" spans="1:120" x14ac:dyDescent="0.25">
      <c r="A105" s="5">
        <v>101</v>
      </c>
      <c r="B105" s="9">
        <v>3000002333</v>
      </c>
      <c r="C105" s="12" t="s">
        <v>113</v>
      </c>
      <c r="D105" s="9" t="s">
        <v>12</v>
      </c>
      <c r="E105" s="36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DP105" s="22">
        <v>0</v>
      </c>
    </row>
    <row r="106" spans="1:120" x14ac:dyDescent="0.25">
      <c r="A106" s="5">
        <v>102</v>
      </c>
      <c r="B106" s="9">
        <v>3000000840</v>
      </c>
      <c r="C106" s="12" t="s">
        <v>114</v>
      </c>
      <c r="D106" s="9" t="s">
        <v>12</v>
      </c>
      <c r="E106" s="36"/>
      <c r="F106" s="22"/>
      <c r="G106" s="22"/>
      <c r="H106" s="22"/>
      <c r="I106" s="22"/>
      <c r="J106" s="22">
        <v>3000</v>
      </c>
      <c r="K106" s="22">
        <v>3000</v>
      </c>
      <c r="L106" s="22">
        <v>3000</v>
      </c>
      <c r="M106" s="22">
        <v>1000</v>
      </c>
      <c r="N106" s="22"/>
      <c r="O106" s="22"/>
      <c r="P106" s="22"/>
      <c r="Q106" s="22"/>
      <c r="R106" s="22"/>
      <c r="S106" s="22"/>
      <c r="T106" s="22"/>
      <c r="U106" s="22"/>
      <c r="V106" s="22"/>
      <c r="W106" s="22">
        <v>719</v>
      </c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>
        <v>300</v>
      </c>
      <c r="AI106" s="22">
        <v>6000</v>
      </c>
      <c r="AJ106" s="22">
        <v>3000</v>
      </c>
      <c r="AK106" s="22">
        <v>3000</v>
      </c>
      <c r="AL106" s="22"/>
      <c r="AM106" s="22"/>
      <c r="AN106" s="22">
        <v>2700</v>
      </c>
      <c r="AO106" s="22"/>
      <c r="AP106" s="22"/>
      <c r="AQ106" s="22"/>
      <c r="AR106" s="22"/>
      <c r="AZ106" s="22">
        <v>3000</v>
      </c>
      <c r="BE106" s="22">
        <v>3000</v>
      </c>
      <c r="BW106" s="22">
        <v>14000</v>
      </c>
      <c r="DP106" s="22">
        <v>45719</v>
      </c>
    </row>
    <row r="107" spans="1:120" x14ac:dyDescent="0.25">
      <c r="A107" s="5">
        <v>103</v>
      </c>
      <c r="B107" s="9">
        <v>3000001222</v>
      </c>
      <c r="C107" s="12" t="s">
        <v>115</v>
      </c>
      <c r="D107" s="9" t="s">
        <v>12</v>
      </c>
      <c r="E107" s="36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DP107" s="22">
        <v>0</v>
      </c>
    </row>
    <row r="108" spans="1:120" x14ac:dyDescent="0.25">
      <c r="A108" s="5">
        <v>104</v>
      </c>
      <c r="B108" s="9">
        <v>5000000008</v>
      </c>
      <c r="C108" s="12" t="s">
        <v>116</v>
      </c>
      <c r="D108" s="9" t="s">
        <v>12</v>
      </c>
      <c r="E108" s="36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>
        <v>183</v>
      </c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DP108" s="22">
        <v>183</v>
      </c>
    </row>
    <row r="109" spans="1:120" x14ac:dyDescent="0.25">
      <c r="A109" s="5">
        <v>105</v>
      </c>
      <c r="B109" s="9">
        <v>3000000849</v>
      </c>
      <c r="C109" s="12" t="s">
        <v>117</v>
      </c>
      <c r="D109" s="9" t="s">
        <v>12</v>
      </c>
      <c r="E109" s="36"/>
      <c r="F109" s="22"/>
      <c r="G109" s="22"/>
      <c r="H109" s="22"/>
      <c r="I109" s="22"/>
      <c r="J109" s="22"/>
      <c r="K109" s="22"/>
      <c r="L109" s="22">
        <v>2700</v>
      </c>
      <c r="M109" s="22">
        <v>5400</v>
      </c>
      <c r="N109" s="22"/>
      <c r="O109" s="22"/>
      <c r="P109" s="22"/>
      <c r="Q109" s="22"/>
      <c r="R109" s="22">
        <v>16200</v>
      </c>
      <c r="S109" s="22"/>
      <c r="T109" s="22"/>
      <c r="U109" s="22"/>
      <c r="V109" s="22"/>
      <c r="W109" s="22">
        <v>713</v>
      </c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>
        <v>2700</v>
      </c>
      <c r="AI109" s="22">
        <v>5400</v>
      </c>
      <c r="AJ109" s="22">
        <v>5400</v>
      </c>
      <c r="AK109" s="22">
        <v>5400</v>
      </c>
      <c r="AL109" s="22">
        <v>2700</v>
      </c>
      <c r="AM109" s="22"/>
      <c r="AN109" s="22">
        <v>2200</v>
      </c>
      <c r="AO109" s="22"/>
      <c r="AP109" s="22"/>
      <c r="AQ109" s="22"/>
      <c r="AR109" s="22"/>
      <c r="AY109" s="22">
        <v>2700</v>
      </c>
      <c r="AZ109" s="22">
        <v>2700</v>
      </c>
      <c r="BA109" s="22">
        <v>8100</v>
      </c>
      <c r="BB109" s="22">
        <v>6700</v>
      </c>
      <c r="BC109" s="22">
        <v>5400</v>
      </c>
      <c r="BD109" s="22">
        <v>6700</v>
      </c>
      <c r="BE109" s="22">
        <v>3400</v>
      </c>
      <c r="DP109" s="22">
        <v>84513</v>
      </c>
    </row>
    <row r="110" spans="1:120" x14ac:dyDescent="0.25">
      <c r="A110" s="5">
        <v>106</v>
      </c>
      <c r="B110" s="9">
        <v>1000006668</v>
      </c>
      <c r="C110" s="12" t="s">
        <v>118</v>
      </c>
      <c r="D110" s="9" t="s">
        <v>12</v>
      </c>
      <c r="E110" s="36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DP110" s="22">
        <v>0</v>
      </c>
    </row>
    <row r="111" spans="1:120" x14ac:dyDescent="0.25">
      <c r="A111" s="5">
        <v>107</v>
      </c>
      <c r="B111" s="9">
        <v>3000001196</v>
      </c>
      <c r="C111" s="12" t="s">
        <v>119</v>
      </c>
      <c r="D111" s="9" t="s">
        <v>12</v>
      </c>
      <c r="E111" s="36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>
        <v>1295</v>
      </c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DP111" s="22">
        <v>1295</v>
      </c>
    </row>
    <row r="112" spans="1:120" x14ac:dyDescent="0.25">
      <c r="A112" s="5">
        <v>108</v>
      </c>
      <c r="B112" s="9" t="s">
        <v>120</v>
      </c>
      <c r="C112" s="12" t="s">
        <v>121</v>
      </c>
      <c r="D112" s="9" t="s">
        <v>12</v>
      </c>
      <c r="E112" s="36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DP112" s="22">
        <v>0</v>
      </c>
    </row>
    <row r="113" spans="1:120" x14ac:dyDescent="0.25">
      <c r="A113" s="5">
        <v>109</v>
      </c>
      <c r="B113" s="9">
        <v>3000000316</v>
      </c>
      <c r="C113" s="12" t="s">
        <v>122</v>
      </c>
      <c r="D113" s="9" t="s">
        <v>12</v>
      </c>
      <c r="E113" s="36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>
        <v>126</v>
      </c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DP113" s="22">
        <v>126</v>
      </c>
    </row>
    <row r="114" spans="1:120" x14ac:dyDescent="0.25">
      <c r="A114" s="5">
        <v>110</v>
      </c>
      <c r="B114" s="9">
        <v>3000000312</v>
      </c>
      <c r="C114" s="12" t="s">
        <v>123</v>
      </c>
      <c r="D114" s="9" t="s">
        <v>12</v>
      </c>
      <c r="E114" s="36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>
        <v>302</v>
      </c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BO114" s="22">
        <v>141</v>
      </c>
      <c r="DP114" s="22">
        <v>443</v>
      </c>
    </row>
    <row r="115" spans="1:120" x14ac:dyDescent="0.25">
      <c r="A115" s="5">
        <v>111</v>
      </c>
      <c r="B115" s="9">
        <v>3000000313</v>
      </c>
      <c r="C115" s="12" t="s">
        <v>124</v>
      </c>
      <c r="D115" s="9" t="s">
        <v>12</v>
      </c>
      <c r="E115" s="36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>
        <v>42</v>
      </c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DP115" s="22">
        <v>42</v>
      </c>
    </row>
    <row r="116" spans="1:120" x14ac:dyDescent="0.25">
      <c r="A116" s="5">
        <v>112</v>
      </c>
      <c r="B116" s="9">
        <v>3000000314</v>
      </c>
      <c r="C116" s="12" t="s">
        <v>125</v>
      </c>
      <c r="D116" s="9" t="s">
        <v>12</v>
      </c>
      <c r="E116" s="36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>
        <v>204</v>
      </c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BM116" s="22">
        <v>109</v>
      </c>
      <c r="DP116" s="22">
        <v>313</v>
      </c>
    </row>
    <row r="117" spans="1:120" x14ac:dyDescent="0.25">
      <c r="A117" s="5">
        <v>113</v>
      </c>
      <c r="B117" s="9">
        <v>3000000315</v>
      </c>
      <c r="C117" s="12" t="s">
        <v>126</v>
      </c>
      <c r="D117" s="9" t="s">
        <v>12</v>
      </c>
      <c r="E117" s="36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BO117" s="22">
        <v>15</v>
      </c>
      <c r="DP117" s="22">
        <v>15</v>
      </c>
    </row>
    <row r="118" spans="1:120" x14ac:dyDescent="0.25">
      <c r="A118" s="5">
        <v>114</v>
      </c>
      <c r="B118" s="9">
        <v>3000000317</v>
      </c>
      <c r="C118" s="12" t="s">
        <v>127</v>
      </c>
      <c r="D118" s="9" t="s">
        <v>12</v>
      </c>
      <c r="E118" s="36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DP118" s="22">
        <v>0</v>
      </c>
    </row>
    <row r="119" spans="1:120" x14ac:dyDescent="0.25">
      <c r="A119" s="5">
        <v>115</v>
      </c>
      <c r="B119" s="9">
        <v>3000000318</v>
      </c>
      <c r="C119" s="12" t="s">
        <v>128</v>
      </c>
      <c r="D119" s="9" t="s">
        <v>12</v>
      </c>
      <c r="E119" s="36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>
        <v>1830</v>
      </c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BH119" s="22">
        <v>450</v>
      </c>
      <c r="BI119" s="22">
        <v>381</v>
      </c>
      <c r="DP119" s="22">
        <v>2661</v>
      </c>
    </row>
    <row r="120" spans="1:120" x14ac:dyDescent="0.25">
      <c r="A120" s="5">
        <v>116</v>
      </c>
      <c r="B120" s="9">
        <v>5000000010</v>
      </c>
      <c r="C120" s="12" t="s">
        <v>129</v>
      </c>
      <c r="D120" s="9" t="s">
        <v>12</v>
      </c>
      <c r="E120" s="36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DP120" s="22">
        <v>0</v>
      </c>
    </row>
    <row r="121" spans="1:120" x14ac:dyDescent="0.25">
      <c r="A121" s="5">
        <v>117</v>
      </c>
      <c r="B121" s="9">
        <v>5000000016</v>
      </c>
      <c r="C121" s="12" t="s">
        <v>130</v>
      </c>
      <c r="D121" s="9" t="s">
        <v>12</v>
      </c>
      <c r="E121" s="36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DP121" s="22">
        <v>0</v>
      </c>
    </row>
    <row r="122" spans="1:120" x14ac:dyDescent="0.25">
      <c r="A122" s="5">
        <v>118</v>
      </c>
      <c r="B122" s="9">
        <v>5000000015</v>
      </c>
      <c r="C122" s="12" t="s">
        <v>131</v>
      </c>
      <c r="D122" s="9" t="s">
        <v>12</v>
      </c>
      <c r="E122" s="36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DP122" s="22">
        <v>0</v>
      </c>
    </row>
    <row r="123" spans="1:120" x14ac:dyDescent="0.25">
      <c r="A123" s="5">
        <v>119</v>
      </c>
      <c r="B123" s="9">
        <v>3000002701</v>
      </c>
      <c r="C123" s="12" t="s">
        <v>132</v>
      </c>
      <c r="D123" s="9" t="s">
        <v>12</v>
      </c>
      <c r="E123" s="36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DP123" s="22">
        <v>0</v>
      </c>
    </row>
    <row r="124" spans="1:120" x14ac:dyDescent="0.25">
      <c r="A124" s="5">
        <v>120</v>
      </c>
      <c r="B124" s="9">
        <v>3000002771</v>
      </c>
      <c r="C124" s="12" t="s">
        <v>133</v>
      </c>
      <c r="D124" s="9" t="s">
        <v>12</v>
      </c>
      <c r="E124" s="36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>
        <v>134</v>
      </c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DP124" s="22">
        <v>134</v>
      </c>
    </row>
    <row r="125" spans="1:120" x14ac:dyDescent="0.25">
      <c r="A125" s="5">
        <v>121</v>
      </c>
      <c r="B125" s="9">
        <v>3000002777</v>
      </c>
      <c r="C125" s="12" t="s">
        <v>134</v>
      </c>
      <c r="D125" s="9" t="s">
        <v>12</v>
      </c>
      <c r="E125" s="36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DP125" s="22">
        <v>0</v>
      </c>
    </row>
    <row r="126" spans="1:120" x14ac:dyDescent="0.25">
      <c r="A126" s="5">
        <v>122</v>
      </c>
      <c r="B126" s="9">
        <v>3000002700</v>
      </c>
      <c r="C126" s="12" t="s">
        <v>135</v>
      </c>
      <c r="D126" s="9" t="s">
        <v>12</v>
      </c>
      <c r="E126" s="36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>
        <v>371</v>
      </c>
      <c r="AC126" s="22"/>
      <c r="AD126" s="22"/>
      <c r="AE126" s="22"/>
      <c r="AF126" s="22"/>
      <c r="AG126" s="22"/>
      <c r="AH126" s="22"/>
      <c r="AI126" s="22"/>
      <c r="AJ126" s="22">
        <v>400</v>
      </c>
      <c r="AK126" s="22">
        <v>100</v>
      </c>
      <c r="AL126" s="22"/>
      <c r="AM126" s="22"/>
      <c r="AN126" s="22"/>
      <c r="AO126" s="22"/>
      <c r="AP126" s="22"/>
      <c r="AQ126" s="22"/>
      <c r="AR126" s="22"/>
      <c r="DP126" s="22">
        <v>871</v>
      </c>
    </row>
    <row r="127" spans="1:120" x14ac:dyDescent="0.25">
      <c r="A127" s="5">
        <v>123</v>
      </c>
      <c r="B127" s="9">
        <v>3000002699</v>
      </c>
      <c r="C127" s="12" t="s">
        <v>136</v>
      </c>
      <c r="D127" s="9" t="s">
        <v>12</v>
      </c>
      <c r="E127" s="36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>
        <v>605</v>
      </c>
      <c r="AC127" s="22"/>
      <c r="AD127" s="22"/>
      <c r="AE127" s="22"/>
      <c r="AF127" s="22"/>
      <c r="AG127" s="22"/>
      <c r="AH127" s="22">
        <v>50</v>
      </c>
      <c r="AI127" s="22">
        <v>50</v>
      </c>
      <c r="AJ127" s="22"/>
      <c r="AK127" s="22">
        <v>200</v>
      </c>
      <c r="AL127" s="22">
        <v>200</v>
      </c>
      <c r="AM127" s="22"/>
      <c r="AN127" s="22"/>
      <c r="AO127" s="22"/>
      <c r="AP127" s="22"/>
      <c r="AQ127" s="22"/>
      <c r="AR127" s="22"/>
      <c r="DP127" s="22">
        <v>1105</v>
      </c>
    </row>
    <row r="128" spans="1:120" x14ac:dyDescent="0.25">
      <c r="A128" s="5">
        <v>124</v>
      </c>
      <c r="B128" s="9">
        <v>3000002698</v>
      </c>
      <c r="C128" s="12" t="s">
        <v>137</v>
      </c>
      <c r="D128" s="9" t="s">
        <v>12</v>
      </c>
      <c r="E128" s="36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>
        <v>58</v>
      </c>
      <c r="AH128" s="22">
        <v>150</v>
      </c>
      <c r="AI128" s="22"/>
      <c r="AJ128" s="22">
        <v>200</v>
      </c>
      <c r="AK128" s="22">
        <v>200</v>
      </c>
      <c r="AL128" s="22">
        <v>400</v>
      </c>
      <c r="AM128" s="22">
        <v>150</v>
      </c>
      <c r="AN128" s="22"/>
      <c r="AO128" s="22"/>
      <c r="AP128" s="22"/>
      <c r="AQ128" s="22"/>
      <c r="AR128" s="22"/>
      <c r="DP128" s="22">
        <v>1158</v>
      </c>
    </row>
    <row r="129" spans="1:120" x14ac:dyDescent="0.25">
      <c r="A129" s="5">
        <v>125</v>
      </c>
      <c r="B129" s="9">
        <v>1000006677</v>
      </c>
      <c r="C129" s="12" t="s">
        <v>138</v>
      </c>
      <c r="D129" s="9" t="s">
        <v>12</v>
      </c>
      <c r="E129" s="36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>
        <v>24</v>
      </c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DP129" s="22">
        <v>24</v>
      </c>
    </row>
    <row r="130" spans="1:120" x14ac:dyDescent="0.25">
      <c r="A130" s="5">
        <v>126</v>
      </c>
      <c r="B130" s="9">
        <v>3000002697</v>
      </c>
      <c r="C130" s="12" t="s">
        <v>139</v>
      </c>
      <c r="D130" s="9" t="s">
        <v>12</v>
      </c>
      <c r="E130" s="36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>
        <v>44</v>
      </c>
      <c r="AH130" s="22"/>
      <c r="AI130" s="22"/>
      <c r="AJ130" s="22">
        <v>250</v>
      </c>
      <c r="AK130" s="22">
        <v>216</v>
      </c>
      <c r="AL130" s="22"/>
      <c r="AM130" s="22"/>
      <c r="AN130" s="22">
        <v>50</v>
      </c>
      <c r="AO130" s="22"/>
      <c r="AP130" s="22"/>
      <c r="AQ130" s="22"/>
      <c r="AR130" s="22"/>
      <c r="DP130" s="22">
        <v>560</v>
      </c>
    </row>
    <row r="131" spans="1:120" x14ac:dyDescent="0.25">
      <c r="A131" s="5">
        <v>127</v>
      </c>
      <c r="B131" s="9">
        <v>1000006676</v>
      </c>
      <c r="C131" s="12" t="s">
        <v>140</v>
      </c>
      <c r="D131" s="9" t="s">
        <v>12</v>
      </c>
      <c r="E131" s="36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DP131" s="22">
        <v>0</v>
      </c>
    </row>
    <row r="132" spans="1:120" x14ac:dyDescent="0.25">
      <c r="A132" s="5">
        <v>128</v>
      </c>
      <c r="B132" s="9">
        <v>3000002696</v>
      </c>
      <c r="C132" s="12" t="s">
        <v>141</v>
      </c>
      <c r="D132" s="9" t="s">
        <v>12</v>
      </c>
      <c r="E132" s="36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>
        <v>950</v>
      </c>
      <c r="AH132" s="22">
        <v>125</v>
      </c>
      <c r="AI132" s="22">
        <v>100</v>
      </c>
      <c r="AJ132" s="22">
        <v>25</v>
      </c>
      <c r="AK132" s="22"/>
      <c r="AL132" s="22"/>
      <c r="AM132" s="22"/>
      <c r="AN132" s="22">
        <v>50</v>
      </c>
      <c r="AO132" s="22"/>
      <c r="AP132" s="22"/>
      <c r="AQ132" s="22"/>
      <c r="AR132" s="22"/>
      <c r="DP132" s="22">
        <v>1250</v>
      </c>
    </row>
    <row r="133" spans="1:120" x14ac:dyDescent="0.25">
      <c r="A133" s="5">
        <v>129</v>
      </c>
      <c r="B133" s="9">
        <v>3000002693</v>
      </c>
      <c r="C133" s="12" t="s">
        <v>142</v>
      </c>
      <c r="D133" s="9" t="s">
        <v>12</v>
      </c>
      <c r="E133" s="36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DP133" s="22">
        <v>0</v>
      </c>
    </row>
    <row r="134" spans="1:120" x14ac:dyDescent="0.25">
      <c r="A134" s="5">
        <v>130</v>
      </c>
      <c r="B134" s="9" t="s">
        <v>143</v>
      </c>
      <c r="C134" s="12" t="s">
        <v>144</v>
      </c>
      <c r="D134" s="9" t="s">
        <v>12</v>
      </c>
      <c r="E134" s="36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DP134" s="22">
        <v>0</v>
      </c>
    </row>
    <row r="135" spans="1:120" x14ac:dyDescent="0.25">
      <c r="A135" s="5">
        <v>131</v>
      </c>
      <c r="B135" s="9">
        <v>3000002692</v>
      </c>
      <c r="C135" s="12" t="s">
        <v>145</v>
      </c>
      <c r="D135" s="9" t="s">
        <v>12</v>
      </c>
      <c r="E135" s="36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>
        <v>200</v>
      </c>
      <c r="AI135" s="22">
        <v>60</v>
      </c>
      <c r="AJ135" s="22">
        <v>100</v>
      </c>
      <c r="AK135" s="22">
        <v>200</v>
      </c>
      <c r="AL135" s="22">
        <v>450</v>
      </c>
      <c r="AM135" s="22">
        <v>750</v>
      </c>
      <c r="AN135" s="22">
        <v>600</v>
      </c>
      <c r="AO135" s="22"/>
      <c r="AP135" s="22"/>
      <c r="AQ135" s="22"/>
      <c r="AR135" s="22"/>
      <c r="AY135" s="22">
        <v>50</v>
      </c>
      <c r="AZ135" s="22">
        <v>100</v>
      </c>
      <c r="BB135" s="22">
        <v>100</v>
      </c>
      <c r="BC135" s="22">
        <v>100</v>
      </c>
      <c r="BE135" s="22">
        <v>100</v>
      </c>
      <c r="BF135" s="22">
        <v>1000</v>
      </c>
      <c r="BG135" s="22">
        <v>1000</v>
      </c>
      <c r="BT135" s="22">
        <v>1000</v>
      </c>
      <c r="BU135" s="22">
        <v>1000</v>
      </c>
      <c r="CC135" s="22">
        <v>1000</v>
      </c>
      <c r="CD135" s="22">
        <v>1000</v>
      </c>
      <c r="CE135" s="22">
        <v>1000</v>
      </c>
      <c r="CF135" s="22">
        <v>1000</v>
      </c>
      <c r="CG135" s="22">
        <v>1000</v>
      </c>
      <c r="CH135" s="22">
        <v>976</v>
      </c>
      <c r="DP135" s="22">
        <v>12786</v>
      </c>
    </row>
    <row r="136" spans="1:120" x14ac:dyDescent="0.25">
      <c r="A136" s="5">
        <v>132</v>
      </c>
      <c r="B136" s="9">
        <v>3000002334</v>
      </c>
      <c r="C136" s="12" t="s">
        <v>146</v>
      </c>
      <c r="D136" s="9" t="s">
        <v>12</v>
      </c>
      <c r="E136" s="36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DP136" s="22">
        <v>0</v>
      </c>
    </row>
    <row r="137" spans="1:120" x14ac:dyDescent="0.25">
      <c r="A137" s="5">
        <v>133</v>
      </c>
      <c r="B137" s="9">
        <v>3000003828</v>
      </c>
      <c r="C137" s="12" t="s">
        <v>147</v>
      </c>
      <c r="D137" s="9" t="s">
        <v>12</v>
      </c>
      <c r="E137" s="36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DP137" s="22">
        <v>0</v>
      </c>
    </row>
    <row r="138" spans="1:120" x14ac:dyDescent="0.25">
      <c r="A138" s="5">
        <v>134</v>
      </c>
      <c r="B138" s="9">
        <v>3000000358</v>
      </c>
      <c r="C138" s="12" t="s">
        <v>148</v>
      </c>
      <c r="D138" s="9" t="s">
        <v>12</v>
      </c>
      <c r="E138" s="36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DP138" s="22">
        <v>0</v>
      </c>
    </row>
    <row r="139" spans="1:120" x14ac:dyDescent="0.25">
      <c r="A139" s="5">
        <v>135</v>
      </c>
      <c r="B139" s="9">
        <v>3000000359</v>
      </c>
      <c r="C139" s="12" t="s">
        <v>149</v>
      </c>
      <c r="D139" s="9" t="s">
        <v>12</v>
      </c>
      <c r="E139" s="36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DP139" s="22">
        <v>0</v>
      </c>
    </row>
    <row r="140" spans="1:120" x14ac:dyDescent="0.25">
      <c r="A140" s="5">
        <v>136</v>
      </c>
      <c r="B140" s="9">
        <v>3000000361</v>
      </c>
      <c r="C140" s="12" t="s">
        <v>150</v>
      </c>
      <c r="D140" s="9" t="s">
        <v>12</v>
      </c>
      <c r="E140" s="36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DP140" s="22">
        <v>0</v>
      </c>
    </row>
    <row r="141" spans="1:120" x14ac:dyDescent="0.25">
      <c r="A141" s="5">
        <v>137</v>
      </c>
      <c r="B141" s="9">
        <v>3000000363</v>
      </c>
      <c r="C141" s="12" t="s">
        <v>151</v>
      </c>
      <c r="D141" s="9" t="s">
        <v>12</v>
      </c>
      <c r="E141" s="36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DP141" s="22">
        <v>0</v>
      </c>
    </row>
    <row r="142" spans="1:120" x14ac:dyDescent="0.25">
      <c r="A142" s="5">
        <v>138</v>
      </c>
      <c r="B142" s="9">
        <v>3000000364</v>
      </c>
      <c r="C142" s="12" t="s">
        <v>152</v>
      </c>
      <c r="D142" s="9" t="s">
        <v>12</v>
      </c>
      <c r="E142" s="36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DP142" s="22">
        <v>0</v>
      </c>
    </row>
    <row r="143" spans="1:120" x14ac:dyDescent="0.25">
      <c r="A143" s="5">
        <v>139</v>
      </c>
      <c r="B143" s="9">
        <v>3000001229</v>
      </c>
      <c r="C143" s="12" t="s">
        <v>153</v>
      </c>
      <c r="D143" s="9" t="s">
        <v>12</v>
      </c>
      <c r="E143" s="36"/>
      <c r="F143" s="22"/>
      <c r="G143" s="22"/>
      <c r="H143" s="22"/>
      <c r="I143" s="22"/>
      <c r="J143" s="22"/>
      <c r="K143" s="22"/>
      <c r="L143" s="22">
        <v>2700</v>
      </c>
      <c r="M143" s="22">
        <v>2700</v>
      </c>
      <c r="N143" s="22"/>
      <c r="O143" s="22"/>
      <c r="P143" s="22"/>
      <c r="Q143" s="22"/>
      <c r="R143" s="22">
        <v>5400</v>
      </c>
      <c r="S143" s="22"/>
      <c r="T143" s="22"/>
      <c r="U143" s="22"/>
      <c r="V143" s="22"/>
      <c r="W143" s="22">
        <v>1325</v>
      </c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>
        <v>2000</v>
      </c>
      <c r="AP143" s="22"/>
      <c r="AQ143" s="22"/>
      <c r="AR143" s="22"/>
      <c r="BX143" s="22">
        <v>3700</v>
      </c>
      <c r="DP143" s="22">
        <v>17825</v>
      </c>
    </row>
    <row r="144" spans="1:120" x14ac:dyDescent="0.25">
      <c r="A144" s="5">
        <v>140</v>
      </c>
      <c r="B144" s="9">
        <v>3000001060</v>
      </c>
      <c r="C144" s="12" t="s">
        <v>154</v>
      </c>
      <c r="D144" s="9" t="s">
        <v>12</v>
      </c>
      <c r="E144" s="36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BL144" s="22">
        <v>6</v>
      </c>
      <c r="DP144" s="22">
        <v>6</v>
      </c>
    </row>
    <row r="145" spans="1:120" x14ac:dyDescent="0.25">
      <c r="A145" s="5">
        <v>141</v>
      </c>
      <c r="B145" s="9">
        <v>3000001061</v>
      </c>
      <c r="C145" s="12" t="s">
        <v>155</v>
      </c>
      <c r="D145" s="9" t="s">
        <v>12</v>
      </c>
      <c r="E145" s="36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BL145" s="22">
        <v>30</v>
      </c>
      <c r="DP145" s="22">
        <v>30</v>
      </c>
    </row>
    <row r="146" spans="1:120" x14ac:dyDescent="0.25">
      <c r="A146" s="5">
        <v>142</v>
      </c>
      <c r="B146" s="9">
        <v>3000001062</v>
      </c>
      <c r="C146" s="12" t="s">
        <v>156</v>
      </c>
      <c r="D146" s="9" t="s">
        <v>12</v>
      </c>
      <c r="E146" s="36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DP146" s="22">
        <v>0</v>
      </c>
    </row>
    <row r="147" spans="1:120" x14ac:dyDescent="0.25">
      <c r="A147" s="5">
        <v>143</v>
      </c>
      <c r="B147" s="9">
        <v>1000006776</v>
      </c>
      <c r="C147" s="12" t="s">
        <v>157</v>
      </c>
      <c r="D147" s="9" t="s">
        <v>12</v>
      </c>
      <c r="E147" s="36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BO147" s="22">
        <v>28</v>
      </c>
      <c r="DP147" s="22">
        <v>28</v>
      </c>
    </row>
    <row r="148" spans="1:120" x14ac:dyDescent="0.25">
      <c r="A148" s="5">
        <v>144</v>
      </c>
      <c r="B148" s="9">
        <v>3000002634</v>
      </c>
      <c r="C148" s="12" t="s">
        <v>158</v>
      </c>
      <c r="D148" s="9" t="s">
        <v>12</v>
      </c>
      <c r="E148" s="36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DP148" s="22">
        <v>0</v>
      </c>
    </row>
    <row r="149" spans="1:120" x14ac:dyDescent="0.25">
      <c r="A149" s="5">
        <v>145</v>
      </c>
      <c r="B149" s="9">
        <v>3000002636</v>
      </c>
      <c r="C149" s="12" t="s">
        <v>159</v>
      </c>
      <c r="D149" s="9" t="s">
        <v>12</v>
      </c>
      <c r="E149" s="36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>
        <v>52</v>
      </c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DP149" s="22">
        <v>52</v>
      </c>
    </row>
    <row r="150" spans="1:120" x14ac:dyDescent="0.25">
      <c r="A150" s="5">
        <v>146</v>
      </c>
      <c r="B150" s="9">
        <v>3000001063</v>
      </c>
      <c r="C150" s="12" t="s">
        <v>160</v>
      </c>
      <c r="D150" s="9" t="s">
        <v>12</v>
      </c>
      <c r="E150" s="36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BL150" s="22">
        <v>226</v>
      </c>
      <c r="DP150" s="22">
        <v>226</v>
      </c>
    </row>
    <row r="151" spans="1:120" x14ac:dyDescent="0.25">
      <c r="A151" s="5">
        <v>147</v>
      </c>
      <c r="B151" s="9">
        <v>3000003972</v>
      </c>
      <c r="C151" s="12" t="s">
        <v>161</v>
      </c>
      <c r="D151" s="9" t="s">
        <v>12</v>
      </c>
      <c r="E151" s="36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>
        <v>56</v>
      </c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DP151" s="22">
        <v>56</v>
      </c>
    </row>
    <row r="152" spans="1:120" x14ac:dyDescent="0.25">
      <c r="A152" s="5">
        <v>148</v>
      </c>
      <c r="B152" s="9">
        <v>3000001064</v>
      </c>
      <c r="C152" s="12" t="s">
        <v>162</v>
      </c>
      <c r="D152" s="9" t="s">
        <v>12</v>
      </c>
      <c r="E152" s="36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>
        <v>187</v>
      </c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BO152" s="22">
        <v>162</v>
      </c>
      <c r="DP152" s="22">
        <v>349</v>
      </c>
    </row>
    <row r="153" spans="1:120" x14ac:dyDescent="0.25">
      <c r="A153" s="5">
        <v>149</v>
      </c>
      <c r="B153" s="9">
        <v>3000001065</v>
      </c>
      <c r="C153" s="12" t="s">
        <v>163</v>
      </c>
      <c r="D153" s="9" t="s">
        <v>12</v>
      </c>
      <c r="E153" s="36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DP153" s="22">
        <v>0</v>
      </c>
    </row>
    <row r="154" spans="1:120" x14ac:dyDescent="0.25">
      <c r="A154" s="5">
        <v>150</v>
      </c>
      <c r="B154" s="9">
        <v>5000000009</v>
      </c>
      <c r="C154" s="12" t="s">
        <v>164</v>
      </c>
      <c r="D154" s="9" t="s">
        <v>12</v>
      </c>
      <c r="E154" s="36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DP154" s="22">
        <v>0</v>
      </c>
    </row>
    <row r="155" spans="1:120" x14ac:dyDescent="0.25">
      <c r="A155" s="5">
        <v>151</v>
      </c>
      <c r="B155" s="9">
        <v>5000000003</v>
      </c>
      <c r="C155" s="12" t="s">
        <v>165</v>
      </c>
      <c r="D155" s="9" t="s">
        <v>12</v>
      </c>
      <c r="E155" s="36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DP155" s="22">
        <v>0</v>
      </c>
    </row>
    <row r="156" spans="1:120" x14ac:dyDescent="0.25">
      <c r="A156" s="5">
        <v>152</v>
      </c>
      <c r="B156" s="9">
        <v>5000000002</v>
      </c>
      <c r="C156" s="12" t="s">
        <v>166</v>
      </c>
      <c r="D156" s="9" t="s">
        <v>12</v>
      </c>
      <c r="E156" s="36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DP156" s="22">
        <v>0</v>
      </c>
    </row>
    <row r="157" spans="1:120" x14ac:dyDescent="0.25">
      <c r="A157" s="5">
        <v>153</v>
      </c>
      <c r="B157" s="9">
        <v>5000000001</v>
      </c>
      <c r="C157" s="12" t="s">
        <v>167</v>
      </c>
      <c r="D157" s="9" t="s">
        <v>12</v>
      </c>
      <c r="E157" s="36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DP157" s="22">
        <v>0</v>
      </c>
    </row>
    <row r="158" spans="1:120" x14ac:dyDescent="0.25">
      <c r="A158" s="5">
        <v>154</v>
      </c>
      <c r="B158" s="9">
        <v>1000006666</v>
      </c>
      <c r="C158" s="12" t="s">
        <v>168</v>
      </c>
      <c r="D158" s="9" t="s">
        <v>12</v>
      </c>
      <c r="E158" s="36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>
        <v>1836</v>
      </c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DP158" s="22">
        <v>1836</v>
      </c>
    </row>
    <row r="159" spans="1:120" x14ac:dyDescent="0.25">
      <c r="A159" s="5">
        <v>155</v>
      </c>
      <c r="B159" s="9">
        <v>4000015675</v>
      </c>
      <c r="C159" s="12" t="s">
        <v>169</v>
      </c>
      <c r="D159" s="9" t="s">
        <v>12</v>
      </c>
      <c r="E159" s="36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>
        <v>3</v>
      </c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DP159" s="22">
        <v>3</v>
      </c>
    </row>
    <row r="160" spans="1:120" x14ac:dyDescent="0.25">
      <c r="A160" s="5">
        <v>156</v>
      </c>
      <c r="B160" s="9">
        <v>4000017082</v>
      </c>
      <c r="C160" s="12" t="s">
        <v>170</v>
      </c>
      <c r="D160" s="9" t="s">
        <v>12</v>
      </c>
      <c r="E160" s="36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>
        <v>500</v>
      </c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DP160" s="22">
        <v>500</v>
      </c>
    </row>
    <row r="161" spans="1:120" x14ac:dyDescent="0.25">
      <c r="A161" s="5">
        <v>157</v>
      </c>
      <c r="B161" s="9">
        <v>4000017083</v>
      </c>
      <c r="C161" s="12" t="s">
        <v>171</v>
      </c>
      <c r="D161" s="9" t="s">
        <v>12</v>
      </c>
      <c r="E161" s="36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>
        <v>159</v>
      </c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DP161" s="22">
        <v>159</v>
      </c>
    </row>
    <row r="162" spans="1:120" x14ac:dyDescent="0.25">
      <c r="A162" s="5">
        <v>158</v>
      </c>
      <c r="B162" s="9">
        <v>4000015873</v>
      </c>
      <c r="C162" s="12" t="s">
        <v>172</v>
      </c>
      <c r="D162" s="9" t="s">
        <v>12</v>
      </c>
      <c r="E162" s="36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>
        <v>70</v>
      </c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DP162" s="22">
        <v>70</v>
      </c>
    </row>
    <row r="163" spans="1:120" x14ac:dyDescent="0.25">
      <c r="A163" s="5">
        <v>159</v>
      </c>
      <c r="B163" s="9">
        <v>4000017084</v>
      </c>
      <c r="C163" s="12" t="s">
        <v>173</v>
      </c>
      <c r="D163" s="9" t="s">
        <v>12</v>
      </c>
      <c r="E163" s="36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>
        <v>200</v>
      </c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DP163" s="22">
        <v>200</v>
      </c>
    </row>
    <row r="164" spans="1:120" x14ac:dyDescent="0.25">
      <c r="A164" s="22">
        <v>160</v>
      </c>
      <c r="B164" s="22">
        <v>3000003029</v>
      </c>
      <c r="C164" t="s">
        <v>211</v>
      </c>
      <c r="D164" s="22" t="s">
        <v>12</v>
      </c>
      <c r="DP164" s="22">
        <v>0</v>
      </c>
    </row>
    <row r="165" spans="1:120" x14ac:dyDescent="0.25">
      <c r="A165" s="22">
        <v>161</v>
      </c>
      <c r="B165" s="22">
        <v>3000003029</v>
      </c>
      <c r="C165" t="s">
        <v>297</v>
      </c>
      <c r="D165" s="22" t="s">
        <v>12</v>
      </c>
      <c r="DP165" s="22">
        <v>0</v>
      </c>
    </row>
    <row r="166" spans="1:120" x14ac:dyDescent="0.25">
      <c r="A166" s="22">
        <v>162</v>
      </c>
      <c r="B166" s="22">
        <v>1000006010</v>
      </c>
      <c r="C166" t="s">
        <v>298</v>
      </c>
      <c r="D166" s="22" t="s">
        <v>12</v>
      </c>
      <c r="DP166" s="22">
        <v>0</v>
      </c>
    </row>
    <row r="167" spans="1:120" x14ac:dyDescent="0.25">
      <c r="A167" s="22">
        <v>163</v>
      </c>
      <c r="B167" s="22">
        <v>3000001220</v>
      </c>
      <c r="C167" t="s">
        <v>300</v>
      </c>
      <c r="D167" s="22" t="s">
        <v>12</v>
      </c>
      <c r="DP167" s="22">
        <v>0</v>
      </c>
    </row>
    <row r="168" spans="1:120" x14ac:dyDescent="0.25">
      <c r="A168" s="22">
        <v>164</v>
      </c>
      <c r="B168" s="22">
        <v>3000001221</v>
      </c>
      <c r="C168" t="s">
        <v>302</v>
      </c>
      <c r="D168" s="22" t="s">
        <v>12</v>
      </c>
      <c r="DP168" s="22">
        <v>0</v>
      </c>
    </row>
    <row r="169" spans="1:120" x14ac:dyDescent="0.25">
      <c r="A169" s="22">
        <v>165</v>
      </c>
      <c r="B169" s="22">
        <v>3000001223</v>
      </c>
      <c r="C169" t="s">
        <v>304</v>
      </c>
      <c r="D169" s="22" t="s">
        <v>12</v>
      </c>
      <c r="DP169" s="22">
        <v>0</v>
      </c>
    </row>
    <row r="170" spans="1:120" x14ac:dyDescent="0.25">
      <c r="A170" s="22">
        <v>166</v>
      </c>
      <c r="B170" s="22">
        <v>3000001224</v>
      </c>
      <c r="C170" t="s">
        <v>306</v>
      </c>
      <c r="D170" s="22" t="s">
        <v>12</v>
      </c>
      <c r="DP170" s="22">
        <v>0</v>
      </c>
    </row>
    <row r="171" spans="1:120" x14ac:dyDescent="0.25">
      <c r="A171" s="22">
        <v>167</v>
      </c>
      <c r="B171" s="22">
        <v>3000003827</v>
      </c>
      <c r="C171" t="s">
        <v>446</v>
      </c>
      <c r="D171" s="22" t="s">
        <v>12</v>
      </c>
      <c r="DP171" s="22">
        <v>0</v>
      </c>
    </row>
    <row r="172" spans="1:120" x14ac:dyDescent="0.25">
      <c r="A172" s="22">
        <v>168</v>
      </c>
      <c r="B172" s="22">
        <v>3000001802</v>
      </c>
      <c r="C172" t="s">
        <v>448</v>
      </c>
      <c r="D172" s="22" t="s">
        <v>12</v>
      </c>
      <c r="DP172" s="22">
        <v>0</v>
      </c>
    </row>
    <row r="173" spans="1:120" x14ac:dyDescent="0.25">
      <c r="A173" s="22">
        <v>169</v>
      </c>
      <c r="B173" s="22" t="s">
        <v>35</v>
      </c>
      <c r="C173" t="s">
        <v>449</v>
      </c>
      <c r="D173" s="22" t="s">
        <v>12</v>
      </c>
      <c r="DP173" s="22">
        <v>0</v>
      </c>
    </row>
    <row r="174" spans="1:120" x14ac:dyDescent="0.25">
      <c r="A174" s="22">
        <v>170</v>
      </c>
      <c r="B174" s="22" t="s">
        <v>35</v>
      </c>
      <c r="C174" t="s">
        <v>450</v>
      </c>
      <c r="D174" s="22" t="s">
        <v>12</v>
      </c>
      <c r="DP174" s="22">
        <v>0</v>
      </c>
    </row>
    <row r="175" spans="1:120" x14ac:dyDescent="0.25">
      <c r="A175" s="22">
        <v>171</v>
      </c>
      <c r="B175" s="22" t="s">
        <v>35</v>
      </c>
      <c r="C175" t="s">
        <v>510</v>
      </c>
      <c r="D175" s="22" t="s">
        <v>12</v>
      </c>
      <c r="DP175" s="22">
        <v>0</v>
      </c>
    </row>
    <row r="176" spans="1:120" x14ac:dyDescent="0.25">
      <c r="A176" s="22">
        <v>172</v>
      </c>
      <c r="B176" s="22" t="s">
        <v>35</v>
      </c>
      <c r="C176" t="s">
        <v>516</v>
      </c>
      <c r="D176" s="22" t="s">
        <v>12</v>
      </c>
      <c r="DP176" s="22">
        <v>0</v>
      </c>
    </row>
    <row r="177" spans="1:120" x14ac:dyDescent="0.25">
      <c r="A177" s="22">
        <v>173</v>
      </c>
      <c r="B177" s="22" t="s">
        <v>35</v>
      </c>
      <c r="C177" t="s">
        <v>600</v>
      </c>
      <c r="D177" s="22" t="s">
        <v>12</v>
      </c>
      <c r="DP177" s="22">
        <v>0</v>
      </c>
    </row>
    <row r="178" spans="1:120" x14ac:dyDescent="0.25">
      <c r="A178" s="22">
        <v>174</v>
      </c>
      <c r="B178" s="22" t="s">
        <v>35</v>
      </c>
      <c r="C178" t="s">
        <v>601</v>
      </c>
      <c r="D178" s="22" t="s">
        <v>12</v>
      </c>
      <c r="DP178" s="22">
        <v>0</v>
      </c>
    </row>
    <row r="179" spans="1:120" x14ac:dyDescent="0.25">
      <c r="A179" s="22">
        <v>99</v>
      </c>
      <c r="B179" s="22" t="s">
        <v>35</v>
      </c>
      <c r="C179" t="s">
        <v>1383</v>
      </c>
      <c r="D179" s="22" t="s">
        <v>12</v>
      </c>
      <c r="DP179" s="22">
        <v>0</v>
      </c>
    </row>
    <row r="180" spans="1:120" x14ac:dyDescent="0.25">
      <c r="A180" s="22">
        <v>99</v>
      </c>
      <c r="B180" s="22" t="s">
        <v>35</v>
      </c>
      <c r="C180" t="s">
        <v>1557</v>
      </c>
      <c r="D180" s="22" t="s">
        <v>12</v>
      </c>
      <c r="DP180" s="22">
        <v>0</v>
      </c>
    </row>
    <row r="181" spans="1:120" x14ac:dyDescent="0.25">
      <c r="A181" s="22">
        <v>101</v>
      </c>
      <c r="B181" s="22">
        <v>3000000008</v>
      </c>
      <c r="C181" t="s">
        <v>1565</v>
      </c>
      <c r="D181" s="22" t="s">
        <v>12</v>
      </c>
      <c r="DP181" s="22">
        <v>0</v>
      </c>
    </row>
    <row r="182" spans="1:120" x14ac:dyDescent="0.25">
      <c r="A182" s="22">
        <v>178</v>
      </c>
      <c r="B182" s="22" t="s">
        <v>35</v>
      </c>
      <c r="C182" t="s">
        <v>1662</v>
      </c>
      <c r="D182" s="22" t="s">
        <v>12</v>
      </c>
      <c r="DP182" s="22">
        <v>0</v>
      </c>
    </row>
    <row r="183" spans="1:120" x14ac:dyDescent="0.25">
      <c r="A183" s="22">
        <v>80</v>
      </c>
      <c r="B183" s="22" t="s">
        <v>35</v>
      </c>
      <c r="C183" t="s">
        <v>1574</v>
      </c>
      <c r="D183" s="22" t="s">
        <v>12</v>
      </c>
      <c r="DP183" s="22">
        <v>0</v>
      </c>
    </row>
    <row r="184" spans="1:120" x14ac:dyDescent="0.25">
      <c r="A184" s="22">
        <v>81</v>
      </c>
      <c r="B184" s="22">
        <v>1000014673</v>
      </c>
      <c r="C184" t="s">
        <v>1575</v>
      </c>
      <c r="D184" s="22" t="s">
        <v>12</v>
      </c>
      <c r="DP184" s="22">
        <v>0</v>
      </c>
    </row>
    <row r="185" spans="1:120" x14ac:dyDescent="0.25">
      <c r="A185" s="22">
        <v>181</v>
      </c>
      <c r="B185" s="22">
        <v>4000021502</v>
      </c>
      <c r="C185" t="s">
        <v>1576</v>
      </c>
      <c r="D185" s="22" t="s">
        <v>12</v>
      </c>
      <c r="DP185" s="22">
        <v>0</v>
      </c>
    </row>
    <row r="186" spans="1:120" x14ac:dyDescent="0.25">
      <c r="A186" s="22">
        <v>100</v>
      </c>
      <c r="B186" s="22">
        <v>3000002696</v>
      </c>
      <c r="C186" t="s">
        <v>1580</v>
      </c>
      <c r="D186" s="22" t="s">
        <v>12</v>
      </c>
      <c r="DP186" s="22">
        <v>0</v>
      </c>
    </row>
    <row r="187" spans="1:120" x14ac:dyDescent="0.25">
      <c r="A187" s="22">
        <v>101</v>
      </c>
      <c r="B187" s="22">
        <v>3000000707</v>
      </c>
      <c r="C187" t="s">
        <v>1618</v>
      </c>
      <c r="D187" s="22" t="s">
        <v>12</v>
      </c>
      <c r="DP187" s="22">
        <v>0</v>
      </c>
    </row>
  </sheetData>
  <mergeCells count="3">
    <mergeCell ref="A1:A2"/>
    <mergeCell ref="B1:B2"/>
    <mergeCell ref="C1:C2"/>
  </mergeCells>
  <conditionalFormatting sqref="A47:XFD47">
    <cfRule type="expression" dxfId="365" priority="1" stopIfTrue="1">
      <formula>AND(ROW()&gt;=47,ROW()&lt;=47)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3"/>
  <sheetViews>
    <sheetView workbookViewId="0"/>
  </sheetViews>
  <sheetFormatPr defaultRowHeight="15" x14ac:dyDescent="0.25"/>
  <cols>
    <col min="1" max="1" width="8.5703125" bestFit="1" customWidth="1"/>
    <col min="2" max="2" width="31.42578125" bestFit="1" customWidth="1"/>
  </cols>
  <sheetData>
    <row r="1" spans="1:2" x14ac:dyDescent="0.25">
      <c r="A1" s="148" t="s">
        <v>1846</v>
      </c>
      <c r="B1" t="s">
        <v>295</v>
      </c>
    </row>
    <row r="2" spans="1:2" x14ac:dyDescent="0.25">
      <c r="A2" s="148" t="s">
        <v>1847</v>
      </c>
      <c r="B2">
        <v>0</v>
      </c>
    </row>
    <row r="3" spans="1:2" x14ac:dyDescent="0.25">
      <c r="A3" s="148" t="s">
        <v>1848</v>
      </c>
      <c r="B3">
        <v>0</v>
      </c>
    </row>
    <row r="4" spans="1:2" x14ac:dyDescent="0.25">
      <c r="A4" s="148" t="s">
        <v>1849</v>
      </c>
      <c r="B4">
        <v>0</v>
      </c>
    </row>
    <row r="5" spans="1:2" x14ac:dyDescent="0.25">
      <c r="A5" s="148" t="s">
        <v>1850</v>
      </c>
      <c r="B5">
        <v>128</v>
      </c>
    </row>
    <row r="6" spans="1:2" x14ac:dyDescent="0.25">
      <c r="A6" s="148" t="s">
        <v>1851</v>
      </c>
      <c r="B6">
        <v>0</v>
      </c>
    </row>
    <row r="7" spans="1:2" x14ac:dyDescent="0.25">
      <c r="A7" s="148" t="s">
        <v>1852</v>
      </c>
      <c r="B7">
        <v>0</v>
      </c>
    </row>
    <row r="8" spans="1:2" x14ac:dyDescent="0.25">
      <c r="A8" s="148" t="s">
        <v>1853</v>
      </c>
      <c r="B8">
        <v>0</v>
      </c>
    </row>
    <row r="9" spans="1:2" x14ac:dyDescent="0.25">
      <c r="A9" s="148" t="s">
        <v>1854</v>
      </c>
      <c r="B9">
        <v>0</v>
      </c>
    </row>
    <row r="10" spans="1:2" x14ac:dyDescent="0.25">
      <c r="A10" s="148" t="s">
        <v>1855</v>
      </c>
      <c r="B10">
        <v>0</v>
      </c>
    </row>
    <row r="11" spans="1:2" x14ac:dyDescent="0.25">
      <c r="A11" s="148" t="s">
        <v>1856</v>
      </c>
      <c r="B11">
        <v>0</v>
      </c>
    </row>
    <row r="12" spans="1:2" x14ac:dyDescent="0.25">
      <c r="A12" s="148" t="s">
        <v>1857</v>
      </c>
      <c r="B12">
        <v>0</v>
      </c>
    </row>
    <row r="13" spans="1:2" x14ac:dyDescent="0.25">
      <c r="A13" s="148" t="s">
        <v>1858</v>
      </c>
      <c r="B13">
        <v>128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87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1" activeCellId="1" sqref="A1:B1048576 D1:D1048576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.42578125" style="22" customWidth="1"/>
    <col min="5" max="6" width="9.140625" customWidth="1"/>
    <col min="7" max="7" width="11" bestFit="1" customWidth="1"/>
  </cols>
  <sheetData>
    <row r="1" spans="1:9" ht="33.75" customHeight="1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6"/>
      <c r="G1" s="26"/>
      <c r="H1" s="26"/>
      <c r="I1" s="38" t="s">
        <v>177</v>
      </c>
    </row>
    <row r="2" spans="1:9" s="52" customFormat="1" ht="19.5" thickBot="1" x14ac:dyDescent="0.3">
      <c r="A2" s="150"/>
      <c r="B2" s="150"/>
      <c r="C2" s="150"/>
      <c r="D2" s="131" t="s">
        <v>176</v>
      </c>
      <c r="E2" s="4" t="s">
        <v>186</v>
      </c>
      <c r="F2" s="25"/>
      <c r="G2" s="25"/>
      <c r="H2" s="25"/>
      <c r="I2" s="25"/>
    </row>
    <row r="3" spans="1:9" s="52" customFormat="1" ht="18.75" x14ac:dyDescent="0.25">
      <c r="A3" s="26"/>
      <c r="B3" s="26"/>
      <c r="C3" s="26" t="s">
        <v>10</v>
      </c>
      <c r="D3" s="26"/>
      <c r="E3" s="38" t="s">
        <v>187</v>
      </c>
      <c r="F3" s="27"/>
      <c r="G3" s="27"/>
      <c r="H3" s="27"/>
      <c r="I3" s="27"/>
    </row>
    <row r="4" spans="1:9" s="42" customFormat="1" ht="7.5" customHeight="1" x14ac:dyDescent="0.25">
      <c r="A4" s="23"/>
      <c r="B4" s="23"/>
      <c r="C4" s="24"/>
      <c r="D4" s="23"/>
      <c r="E4" s="23"/>
      <c r="F4" s="32"/>
      <c r="G4" s="32"/>
      <c r="H4" s="32"/>
      <c r="I4" s="32"/>
    </row>
    <row r="5" spans="1:9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I5" s="22">
        <v>0</v>
      </c>
    </row>
    <row r="6" spans="1:9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I6" s="22">
        <v>0</v>
      </c>
    </row>
    <row r="7" spans="1:9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I7" s="22">
        <v>0</v>
      </c>
    </row>
    <row r="8" spans="1:9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I8" s="22">
        <v>0</v>
      </c>
    </row>
    <row r="9" spans="1:9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I9" s="22">
        <v>0</v>
      </c>
    </row>
    <row r="10" spans="1:9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I10" s="22">
        <v>0</v>
      </c>
    </row>
    <row r="11" spans="1:9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I11" s="22">
        <v>0</v>
      </c>
    </row>
    <row r="12" spans="1:9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I12" s="22">
        <v>0</v>
      </c>
    </row>
    <row r="13" spans="1:9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I13" s="22">
        <v>0</v>
      </c>
    </row>
    <row r="14" spans="1:9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I14" s="22">
        <v>0</v>
      </c>
    </row>
    <row r="15" spans="1:9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I15" s="22">
        <v>0</v>
      </c>
    </row>
    <row r="16" spans="1:9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I16" s="22">
        <v>0</v>
      </c>
    </row>
    <row r="17" spans="1:9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I17" s="22">
        <v>0</v>
      </c>
    </row>
    <row r="18" spans="1:9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I18" s="22">
        <v>0</v>
      </c>
    </row>
    <row r="19" spans="1:9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I19" s="22">
        <v>0</v>
      </c>
    </row>
    <row r="20" spans="1:9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I20" s="22">
        <v>0</v>
      </c>
    </row>
    <row r="21" spans="1:9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I21" s="22">
        <v>0</v>
      </c>
    </row>
    <row r="22" spans="1:9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I22" s="22">
        <v>0</v>
      </c>
    </row>
    <row r="23" spans="1:9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I23" s="22">
        <v>0</v>
      </c>
    </row>
    <row r="24" spans="1:9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I24" s="22">
        <v>0</v>
      </c>
    </row>
    <row r="25" spans="1:9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I25" s="22">
        <v>0</v>
      </c>
    </row>
    <row r="26" spans="1:9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I26" s="22">
        <v>0</v>
      </c>
    </row>
    <row r="27" spans="1:9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I27" s="22">
        <v>0</v>
      </c>
    </row>
    <row r="28" spans="1:9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I28" s="22">
        <v>0</v>
      </c>
    </row>
    <row r="29" spans="1:9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I29" s="22">
        <v>0</v>
      </c>
    </row>
    <row r="30" spans="1:9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I30" s="22">
        <v>0</v>
      </c>
    </row>
    <row r="31" spans="1:9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I31" s="22">
        <v>0</v>
      </c>
    </row>
    <row r="32" spans="1:9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I32" s="22">
        <v>0</v>
      </c>
    </row>
    <row r="33" spans="1:9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I33" s="22">
        <v>0</v>
      </c>
    </row>
    <row r="34" spans="1:9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I34" s="22">
        <v>0</v>
      </c>
    </row>
    <row r="35" spans="1:9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I35" s="22">
        <v>0</v>
      </c>
    </row>
    <row r="36" spans="1:9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I36" s="22">
        <v>0</v>
      </c>
    </row>
    <row r="37" spans="1:9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I37" s="22">
        <v>0</v>
      </c>
    </row>
    <row r="38" spans="1:9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I38" s="22">
        <v>0</v>
      </c>
    </row>
    <row r="39" spans="1:9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I39" s="22">
        <v>0</v>
      </c>
    </row>
    <row r="40" spans="1:9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I40" s="22">
        <v>0</v>
      </c>
    </row>
    <row r="41" spans="1:9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I41" s="22">
        <v>0</v>
      </c>
    </row>
    <row r="42" spans="1:9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I42" s="22">
        <v>0</v>
      </c>
    </row>
    <row r="43" spans="1:9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I43" s="22">
        <v>0</v>
      </c>
    </row>
    <row r="44" spans="1:9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I44" s="22">
        <v>0</v>
      </c>
    </row>
    <row r="45" spans="1:9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I45" s="22">
        <v>0</v>
      </c>
    </row>
    <row r="46" spans="1:9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I46" s="22">
        <v>0</v>
      </c>
    </row>
    <row r="47" spans="1:9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I47" s="22">
        <v>0</v>
      </c>
    </row>
    <row r="48" spans="1:9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I48" s="22">
        <v>0</v>
      </c>
    </row>
    <row r="49" spans="1:9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I49" s="22">
        <v>0</v>
      </c>
    </row>
    <row r="50" spans="1:9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I50" s="22">
        <v>0</v>
      </c>
    </row>
    <row r="51" spans="1:9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I51" s="22">
        <v>0</v>
      </c>
    </row>
    <row r="52" spans="1:9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I52" s="22">
        <v>0</v>
      </c>
    </row>
    <row r="53" spans="1:9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I53" s="22">
        <v>0</v>
      </c>
    </row>
    <row r="54" spans="1:9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I54" s="22">
        <v>0</v>
      </c>
    </row>
    <row r="55" spans="1:9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I55" s="22">
        <v>0</v>
      </c>
    </row>
    <row r="56" spans="1:9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I56" s="22">
        <v>0</v>
      </c>
    </row>
    <row r="57" spans="1:9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I57" s="22">
        <v>0</v>
      </c>
    </row>
    <row r="58" spans="1:9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I58" s="22">
        <v>0</v>
      </c>
    </row>
    <row r="59" spans="1:9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I59" s="22">
        <v>0</v>
      </c>
    </row>
    <row r="60" spans="1:9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I60" s="22">
        <v>0</v>
      </c>
    </row>
    <row r="61" spans="1:9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I61" s="22">
        <v>0</v>
      </c>
    </row>
    <row r="62" spans="1:9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I62" s="22">
        <v>0</v>
      </c>
    </row>
    <row r="63" spans="1:9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I63" s="22">
        <v>0</v>
      </c>
    </row>
    <row r="64" spans="1:9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I64" s="22">
        <v>0</v>
      </c>
    </row>
    <row r="65" spans="1:9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I65" s="22">
        <v>0</v>
      </c>
    </row>
    <row r="66" spans="1:9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I66" s="22">
        <v>0</v>
      </c>
    </row>
    <row r="67" spans="1:9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I67" s="22">
        <v>0</v>
      </c>
    </row>
    <row r="68" spans="1:9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I68" s="22">
        <v>0</v>
      </c>
    </row>
    <row r="69" spans="1:9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I69" s="22">
        <v>0</v>
      </c>
    </row>
    <row r="70" spans="1:9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I70" s="22">
        <v>0</v>
      </c>
    </row>
    <row r="71" spans="1:9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I71" s="22">
        <v>0</v>
      </c>
    </row>
    <row r="72" spans="1:9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I72" s="22">
        <v>0</v>
      </c>
    </row>
    <row r="73" spans="1:9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I73" s="22">
        <v>0</v>
      </c>
    </row>
    <row r="74" spans="1:9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I74" s="22">
        <v>0</v>
      </c>
    </row>
    <row r="75" spans="1:9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I75" s="22">
        <v>0</v>
      </c>
    </row>
    <row r="76" spans="1:9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I76" s="22">
        <v>0</v>
      </c>
    </row>
    <row r="77" spans="1:9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I77" s="22">
        <v>0</v>
      </c>
    </row>
    <row r="78" spans="1:9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I78" s="22">
        <v>0</v>
      </c>
    </row>
    <row r="79" spans="1:9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I79" s="22">
        <v>0</v>
      </c>
    </row>
    <row r="80" spans="1:9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I80" s="22">
        <v>0</v>
      </c>
    </row>
    <row r="81" spans="1:9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I81" s="22">
        <v>0</v>
      </c>
    </row>
    <row r="82" spans="1:9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I82" s="22">
        <v>0</v>
      </c>
    </row>
    <row r="83" spans="1:9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I83" s="22">
        <v>0</v>
      </c>
    </row>
    <row r="84" spans="1:9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I84" s="22">
        <v>0</v>
      </c>
    </row>
    <row r="85" spans="1:9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I85" s="22">
        <v>0</v>
      </c>
    </row>
    <row r="86" spans="1:9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I86" s="22">
        <v>0</v>
      </c>
    </row>
    <row r="87" spans="1:9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I87" s="22">
        <v>0</v>
      </c>
    </row>
    <row r="88" spans="1:9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I88" s="22">
        <v>0</v>
      </c>
    </row>
    <row r="89" spans="1:9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I89" s="22">
        <v>0</v>
      </c>
    </row>
    <row r="90" spans="1:9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I90" s="22">
        <v>0</v>
      </c>
    </row>
    <row r="91" spans="1:9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I91" s="22">
        <v>0</v>
      </c>
    </row>
    <row r="92" spans="1:9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I92" s="22">
        <v>0</v>
      </c>
    </row>
    <row r="93" spans="1:9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I93" s="22">
        <v>0</v>
      </c>
    </row>
    <row r="94" spans="1:9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I94" s="22">
        <v>0</v>
      </c>
    </row>
    <row r="95" spans="1:9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I95" s="22">
        <v>0</v>
      </c>
    </row>
    <row r="96" spans="1:9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I96" s="22">
        <v>0</v>
      </c>
    </row>
    <row r="97" spans="1:9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I97" s="22">
        <v>0</v>
      </c>
    </row>
    <row r="98" spans="1:9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I98" s="22">
        <v>0</v>
      </c>
    </row>
    <row r="99" spans="1:9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I99" s="22">
        <v>0</v>
      </c>
    </row>
    <row r="100" spans="1:9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I100" s="22">
        <v>0</v>
      </c>
    </row>
    <row r="101" spans="1:9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I101" s="22">
        <v>0</v>
      </c>
    </row>
    <row r="102" spans="1:9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I102" s="22">
        <v>0</v>
      </c>
    </row>
    <row r="103" spans="1:9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I103" s="22">
        <v>0</v>
      </c>
    </row>
    <row r="104" spans="1:9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I104" s="22">
        <v>0</v>
      </c>
    </row>
    <row r="105" spans="1:9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I105" s="22">
        <v>0</v>
      </c>
    </row>
    <row r="106" spans="1:9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I106" s="22">
        <v>0</v>
      </c>
    </row>
    <row r="107" spans="1:9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I107" s="22">
        <v>0</v>
      </c>
    </row>
    <row r="108" spans="1:9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I108" s="22">
        <v>0</v>
      </c>
    </row>
    <row r="109" spans="1:9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I109" s="22">
        <v>0</v>
      </c>
    </row>
    <row r="110" spans="1:9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I110" s="22">
        <v>0</v>
      </c>
    </row>
    <row r="111" spans="1:9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I111" s="22">
        <v>0</v>
      </c>
    </row>
    <row r="112" spans="1:9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I112" s="22">
        <v>0</v>
      </c>
    </row>
    <row r="113" spans="1:9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I113" s="22">
        <v>0</v>
      </c>
    </row>
    <row r="114" spans="1:9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I114" s="22">
        <v>0</v>
      </c>
    </row>
    <row r="115" spans="1:9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I115" s="22">
        <v>0</v>
      </c>
    </row>
    <row r="116" spans="1:9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I116" s="22">
        <v>0</v>
      </c>
    </row>
    <row r="117" spans="1:9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I117" s="22">
        <v>0</v>
      </c>
    </row>
    <row r="118" spans="1:9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I118" s="22">
        <v>0</v>
      </c>
    </row>
    <row r="119" spans="1:9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I119" s="22">
        <v>0</v>
      </c>
    </row>
    <row r="120" spans="1:9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I120" s="22">
        <v>0</v>
      </c>
    </row>
    <row r="121" spans="1:9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I121" s="22">
        <v>0</v>
      </c>
    </row>
    <row r="122" spans="1:9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I122" s="22">
        <v>0</v>
      </c>
    </row>
    <row r="123" spans="1:9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I123" s="22">
        <v>0</v>
      </c>
    </row>
    <row r="124" spans="1:9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I124" s="22">
        <v>0</v>
      </c>
    </row>
    <row r="125" spans="1:9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I125" s="22">
        <v>0</v>
      </c>
    </row>
    <row r="126" spans="1:9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I126" s="22">
        <v>0</v>
      </c>
    </row>
    <row r="127" spans="1:9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I127" s="22">
        <v>0</v>
      </c>
    </row>
    <row r="128" spans="1:9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I128" s="22">
        <v>0</v>
      </c>
    </row>
    <row r="129" spans="1:9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I129" s="22">
        <v>0</v>
      </c>
    </row>
    <row r="130" spans="1:9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I130" s="22">
        <v>0</v>
      </c>
    </row>
    <row r="131" spans="1:9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I131" s="22">
        <v>0</v>
      </c>
    </row>
    <row r="132" spans="1:9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I132" s="22">
        <v>0</v>
      </c>
    </row>
    <row r="133" spans="1:9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I133" s="22">
        <v>0</v>
      </c>
    </row>
    <row r="134" spans="1:9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I134" s="22">
        <v>0</v>
      </c>
    </row>
    <row r="135" spans="1:9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I135" s="22">
        <v>0</v>
      </c>
    </row>
    <row r="136" spans="1:9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I136" s="22">
        <v>0</v>
      </c>
    </row>
    <row r="137" spans="1:9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I137" s="22">
        <v>0</v>
      </c>
    </row>
    <row r="138" spans="1:9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I138" s="22">
        <v>0</v>
      </c>
    </row>
    <row r="139" spans="1:9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I139" s="22">
        <v>0</v>
      </c>
    </row>
    <row r="140" spans="1:9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I140" s="22">
        <v>0</v>
      </c>
    </row>
    <row r="141" spans="1:9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I141" s="22">
        <v>0</v>
      </c>
    </row>
    <row r="142" spans="1:9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I142" s="22">
        <v>0</v>
      </c>
    </row>
    <row r="143" spans="1:9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I143" s="22">
        <v>0</v>
      </c>
    </row>
    <row r="144" spans="1:9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I144" s="22">
        <v>0</v>
      </c>
    </row>
    <row r="145" spans="1:9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I145" s="22">
        <v>0</v>
      </c>
    </row>
    <row r="146" spans="1:9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I146" s="22">
        <v>0</v>
      </c>
    </row>
    <row r="147" spans="1:9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I147" s="22">
        <v>0</v>
      </c>
    </row>
    <row r="148" spans="1:9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I148" s="22">
        <v>0</v>
      </c>
    </row>
    <row r="149" spans="1:9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I149" s="22">
        <v>0</v>
      </c>
    </row>
    <row r="150" spans="1:9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I150" s="22">
        <v>0</v>
      </c>
    </row>
    <row r="151" spans="1:9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I151" s="22">
        <v>0</v>
      </c>
    </row>
    <row r="152" spans="1:9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I152" s="22">
        <v>0</v>
      </c>
    </row>
    <row r="153" spans="1:9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I153" s="22">
        <v>0</v>
      </c>
    </row>
    <row r="154" spans="1:9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I154" s="22">
        <v>0</v>
      </c>
    </row>
    <row r="155" spans="1:9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I155" s="22">
        <v>0</v>
      </c>
    </row>
    <row r="156" spans="1:9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I156" s="22">
        <v>0</v>
      </c>
    </row>
    <row r="157" spans="1:9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I157" s="22">
        <v>0</v>
      </c>
    </row>
    <row r="158" spans="1:9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I158" s="22">
        <v>0</v>
      </c>
    </row>
    <row r="159" spans="1:9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I159" s="22">
        <v>0</v>
      </c>
    </row>
    <row r="160" spans="1:9" s="22" customFormat="1" x14ac:dyDescent="0.25">
      <c r="A160" s="14">
        <v>156</v>
      </c>
      <c r="B160" s="15">
        <v>4000017082</v>
      </c>
      <c r="C160" s="16" t="s">
        <v>170</v>
      </c>
      <c r="D160" s="44" t="s">
        <v>12</v>
      </c>
      <c r="I160" s="22">
        <v>0</v>
      </c>
    </row>
    <row r="161" spans="1:9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I161" s="22">
        <v>0</v>
      </c>
    </row>
    <row r="162" spans="1:9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I162" s="22">
        <v>0</v>
      </c>
    </row>
    <row r="163" spans="1:9" s="22" customFormat="1" x14ac:dyDescent="0.25">
      <c r="A163" s="14">
        <v>159</v>
      </c>
      <c r="B163" s="15">
        <v>4000017084</v>
      </c>
      <c r="C163" s="16" t="s">
        <v>173</v>
      </c>
      <c r="D163" s="44" t="s">
        <v>12</v>
      </c>
      <c r="I163" s="22">
        <v>0</v>
      </c>
    </row>
    <row r="164" spans="1:9" x14ac:dyDescent="0.25">
      <c r="A164" s="22">
        <v>160</v>
      </c>
      <c r="B164" s="22">
        <v>3000003029</v>
      </c>
      <c r="C164" t="s">
        <v>211</v>
      </c>
      <c r="D164" s="22" t="s">
        <v>12</v>
      </c>
      <c r="E164" s="22"/>
      <c r="I164">
        <v>0</v>
      </c>
    </row>
    <row r="165" spans="1:9" x14ac:dyDescent="0.25">
      <c r="A165" s="22">
        <v>161</v>
      </c>
      <c r="B165" s="22">
        <v>3000003029</v>
      </c>
      <c r="C165" t="s">
        <v>297</v>
      </c>
      <c r="D165" s="22" t="s">
        <v>12</v>
      </c>
      <c r="E165" s="22"/>
      <c r="I165">
        <v>0</v>
      </c>
    </row>
    <row r="166" spans="1:9" x14ac:dyDescent="0.25">
      <c r="A166" s="22">
        <v>162</v>
      </c>
      <c r="B166" s="22">
        <v>1000006010</v>
      </c>
      <c r="C166" t="s">
        <v>298</v>
      </c>
      <c r="D166" s="22" t="s">
        <v>12</v>
      </c>
      <c r="I166">
        <v>0</v>
      </c>
    </row>
    <row r="167" spans="1:9" x14ac:dyDescent="0.25">
      <c r="A167" s="22">
        <v>163</v>
      </c>
      <c r="B167" s="22">
        <v>3000001220</v>
      </c>
      <c r="C167" t="s">
        <v>300</v>
      </c>
      <c r="D167" s="22" t="s">
        <v>12</v>
      </c>
      <c r="I167">
        <v>0</v>
      </c>
    </row>
    <row r="168" spans="1:9" x14ac:dyDescent="0.25">
      <c r="A168" s="22">
        <v>164</v>
      </c>
      <c r="B168" s="22">
        <v>3000001221</v>
      </c>
      <c r="C168" t="s">
        <v>302</v>
      </c>
      <c r="D168" s="22" t="s">
        <v>12</v>
      </c>
      <c r="I168">
        <v>0</v>
      </c>
    </row>
    <row r="169" spans="1:9" x14ac:dyDescent="0.25">
      <c r="A169" s="22">
        <v>165</v>
      </c>
      <c r="B169" s="22">
        <v>3000001223</v>
      </c>
      <c r="C169" t="s">
        <v>304</v>
      </c>
      <c r="D169" s="22" t="s">
        <v>12</v>
      </c>
      <c r="I169">
        <v>0</v>
      </c>
    </row>
    <row r="170" spans="1:9" x14ac:dyDescent="0.25">
      <c r="A170" s="22">
        <v>166</v>
      </c>
      <c r="B170" s="22">
        <v>3000001224</v>
      </c>
      <c r="C170" t="s">
        <v>306</v>
      </c>
      <c r="D170" s="22" t="s">
        <v>12</v>
      </c>
      <c r="I170">
        <v>0</v>
      </c>
    </row>
    <row r="171" spans="1:9" x14ac:dyDescent="0.25">
      <c r="A171" s="22">
        <v>167</v>
      </c>
      <c r="B171" s="22">
        <v>3000003827</v>
      </c>
      <c r="C171" t="s">
        <v>446</v>
      </c>
      <c r="D171" s="22" t="s">
        <v>12</v>
      </c>
      <c r="I171">
        <v>0</v>
      </c>
    </row>
    <row r="172" spans="1:9" x14ac:dyDescent="0.25">
      <c r="A172" s="22">
        <v>168</v>
      </c>
      <c r="B172" s="22">
        <v>3000001802</v>
      </c>
      <c r="C172" t="s">
        <v>448</v>
      </c>
      <c r="D172" s="22" t="s">
        <v>12</v>
      </c>
      <c r="I172">
        <v>0</v>
      </c>
    </row>
    <row r="173" spans="1:9" x14ac:dyDescent="0.25">
      <c r="A173" s="22">
        <v>169</v>
      </c>
      <c r="B173" s="22" t="s">
        <v>35</v>
      </c>
      <c r="C173" t="s">
        <v>449</v>
      </c>
      <c r="D173" s="22" t="s">
        <v>12</v>
      </c>
      <c r="I173">
        <v>0</v>
      </c>
    </row>
    <row r="174" spans="1:9" x14ac:dyDescent="0.25">
      <c r="A174" s="22">
        <v>170</v>
      </c>
      <c r="B174" s="22" t="s">
        <v>35</v>
      </c>
      <c r="C174" t="s">
        <v>450</v>
      </c>
      <c r="D174" s="22" t="s">
        <v>12</v>
      </c>
      <c r="I174">
        <v>0</v>
      </c>
    </row>
    <row r="175" spans="1:9" x14ac:dyDescent="0.25">
      <c r="A175" s="22">
        <v>171</v>
      </c>
      <c r="B175" s="22" t="s">
        <v>35</v>
      </c>
      <c r="C175" t="s">
        <v>510</v>
      </c>
      <c r="D175" s="22" t="s">
        <v>12</v>
      </c>
      <c r="I175">
        <v>0</v>
      </c>
    </row>
    <row r="176" spans="1:9" x14ac:dyDescent="0.25">
      <c r="A176" s="22">
        <v>172</v>
      </c>
      <c r="B176" s="22" t="s">
        <v>35</v>
      </c>
      <c r="C176" t="s">
        <v>516</v>
      </c>
      <c r="D176" s="22" t="s">
        <v>12</v>
      </c>
      <c r="I176">
        <v>0</v>
      </c>
    </row>
    <row r="177" spans="1:9" x14ac:dyDescent="0.25">
      <c r="A177" s="22">
        <v>173</v>
      </c>
      <c r="B177" s="22" t="s">
        <v>35</v>
      </c>
      <c r="C177" t="s">
        <v>600</v>
      </c>
      <c r="D177" s="22" t="s">
        <v>12</v>
      </c>
      <c r="I177">
        <v>0</v>
      </c>
    </row>
    <row r="178" spans="1:9" x14ac:dyDescent="0.25">
      <c r="A178" s="22">
        <v>174</v>
      </c>
      <c r="B178" s="22" t="s">
        <v>35</v>
      </c>
      <c r="C178" t="s">
        <v>601</v>
      </c>
      <c r="D178" s="22" t="s">
        <v>12</v>
      </c>
      <c r="I178">
        <v>0</v>
      </c>
    </row>
    <row r="179" spans="1:9" x14ac:dyDescent="0.25">
      <c r="A179" s="22">
        <v>99</v>
      </c>
      <c r="B179" s="22" t="s">
        <v>35</v>
      </c>
      <c r="C179" t="s">
        <v>1383</v>
      </c>
      <c r="D179" s="22" t="s">
        <v>12</v>
      </c>
      <c r="I179">
        <v>0</v>
      </c>
    </row>
    <row r="180" spans="1:9" x14ac:dyDescent="0.25">
      <c r="A180" s="22">
        <v>99</v>
      </c>
      <c r="B180" s="22" t="s">
        <v>35</v>
      </c>
      <c r="C180" t="s">
        <v>1557</v>
      </c>
      <c r="D180" s="22" t="s">
        <v>12</v>
      </c>
      <c r="I180">
        <v>0</v>
      </c>
    </row>
    <row r="181" spans="1:9" x14ac:dyDescent="0.25">
      <c r="A181" s="22">
        <v>101</v>
      </c>
      <c r="B181" s="22">
        <v>3000000008</v>
      </c>
      <c r="C181" t="s">
        <v>1565</v>
      </c>
      <c r="D181" s="22" t="s">
        <v>12</v>
      </c>
      <c r="I181">
        <v>0</v>
      </c>
    </row>
    <row r="182" spans="1:9" x14ac:dyDescent="0.25">
      <c r="A182" s="22">
        <v>178</v>
      </c>
      <c r="B182" s="22" t="s">
        <v>35</v>
      </c>
      <c r="C182" t="s">
        <v>1662</v>
      </c>
      <c r="D182" s="22" t="s">
        <v>12</v>
      </c>
      <c r="I182">
        <v>0</v>
      </c>
    </row>
    <row r="183" spans="1:9" x14ac:dyDescent="0.25">
      <c r="A183" s="22">
        <v>80</v>
      </c>
      <c r="B183" s="22" t="s">
        <v>35</v>
      </c>
      <c r="C183" t="s">
        <v>1574</v>
      </c>
      <c r="D183" s="22" t="s">
        <v>12</v>
      </c>
      <c r="I183">
        <v>0</v>
      </c>
    </row>
    <row r="184" spans="1:9" x14ac:dyDescent="0.25">
      <c r="A184" s="22">
        <v>81</v>
      </c>
      <c r="B184" s="22">
        <v>1000014673</v>
      </c>
      <c r="C184" t="s">
        <v>1575</v>
      </c>
      <c r="D184" s="22" t="s">
        <v>12</v>
      </c>
      <c r="I184">
        <v>0</v>
      </c>
    </row>
    <row r="185" spans="1:9" x14ac:dyDescent="0.25">
      <c r="A185" s="22">
        <v>181</v>
      </c>
      <c r="B185" s="22">
        <v>4000021502</v>
      </c>
      <c r="C185" t="s">
        <v>1576</v>
      </c>
      <c r="D185" s="22" t="s">
        <v>12</v>
      </c>
      <c r="I185">
        <v>0</v>
      </c>
    </row>
    <row r="186" spans="1:9" x14ac:dyDescent="0.25">
      <c r="A186" s="22">
        <v>100</v>
      </c>
      <c r="B186" s="22">
        <v>3000002696</v>
      </c>
      <c r="C186" t="s">
        <v>1580</v>
      </c>
      <c r="D186" s="22" t="s">
        <v>12</v>
      </c>
      <c r="I186">
        <v>0</v>
      </c>
    </row>
    <row r="187" spans="1:9" x14ac:dyDescent="0.25">
      <c r="A187" s="22">
        <v>101</v>
      </c>
      <c r="B187" s="22">
        <v>3000000707</v>
      </c>
      <c r="C187" t="s">
        <v>1618</v>
      </c>
      <c r="D187" s="22" t="s">
        <v>12</v>
      </c>
      <c r="I187">
        <v>0</v>
      </c>
    </row>
  </sheetData>
  <mergeCells count="3">
    <mergeCell ref="A1:A2"/>
    <mergeCell ref="B1:B2"/>
    <mergeCell ref="C1:C2"/>
  </mergeCells>
  <conditionalFormatting sqref="A1:XFD1048576">
    <cfRule type="expression" dxfId="364" priority="1" stopIfTrue="1">
      <formula>AND(ROW()&gt;=1,ROW()&lt;=1048576)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87"/>
  <sheetViews>
    <sheetView showGridLines="0" workbookViewId="0">
      <pane xSplit="5" ySplit="4" topLeftCell="F10" activePane="bottomRight" state="frozen"/>
      <selection pane="topRight" activeCell="F1" sqref="F1"/>
      <selection pane="bottomLeft" activeCell="A5" sqref="A5"/>
      <selection pane="bottomRight" activeCell="M143" sqref="M143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.42578125" style="22" customWidth="1"/>
    <col min="5" max="8" width="9.140625" customWidth="1"/>
    <col min="9" max="9" width="10.28515625" customWidth="1"/>
    <col min="10" max="10" width="9.140625" customWidth="1"/>
    <col min="11" max="11" width="9.140625" style="22"/>
    <col min="14" max="14" width="44.85546875" bestFit="1" customWidth="1"/>
  </cols>
  <sheetData>
    <row r="1" spans="1:11" ht="33.75" customHeight="1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4</v>
      </c>
      <c r="E1" s="27" t="s">
        <v>188</v>
      </c>
      <c r="F1" s="26" t="s">
        <v>287</v>
      </c>
      <c r="G1" s="26" t="s">
        <v>287</v>
      </c>
      <c r="H1" s="26" t="s">
        <v>287</v>
      </c>
      <c r="I1" s="26" t="s">
        <v>287</v>
      </c>
      <c r="J1" s="26"/>
      <c r="K1" s="38" t="s">
        <v>177</v>
      </c>
    </row>
    <row r="2" spans="1:11" s="52" customFormat="1" ht="26.25" thickBot="1" x14ac:dyDescent="0.3">
      <c r="A2" s="150"/>
      <c r="B2" s="150"/>
      <c r="C2" s="150"/>
      <c r="D2" s="131" t="s">
        <v>176</v>
      </c>
      <c r="E2" s="4" t="s">
        <v>186</v>
      </c>
      <c r="F2" s="25" t="s">
        <v>288</v>
      </c>
      <c r="G2" s="25" t="s">
        <v>289</v>
      </c>
      <c r="H2" s="25" t="s">
        <v>290</v>
      </c>
      <c r="I2" s="25" t="s">
        <v>291</v>
      </c>
      <c r="J2" s="25"/>
      <c r="K2" s="25"/>
    </row>
    <row r="3" spans="1:11" s="52" customFormat="1" ht="18.75" x14ac:dyDescent="0.25">
      <c r="A3" s="26"/>
      <c r="B3" s="26"/>
      <c r="C3" s="26" t="s">
        <v>10</v>
      </c>
      <c r="D3" s="26"/>
      <c r="E3" s="38" t="s">
        <v>187</v>
      </c>
      <c r="F3" s="27">
        <v>45789</v>
      </c>
      <c r="G3" s="27">
        <v>45850</v>
      </c>
      <c r="H3" s="27">
        <v>45853</v>
      </c>
      <c r="I3" s="27">
        <v>45865</v>
      </c>
      <c r="J3" s="27"/>
      <c r="K3" s="27"/>
    </row>
    <row r="4" spans="1:11" s="42" customFormat="1" ht="7.5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</row>
    <row r="5" spans="1:11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K5" s="22">
        <v>0</v>
      </c>
    </row>
    <row r="6" spans="1:11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K6" s="22">
        <v>0</v>
      </c>
    </row>
    <row r="7" spans="1:11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K7" s="22">
        <v>0</v>
      </c>
    </row>
    <row r="8" spans="1:11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K8" s="22">
        <v>0</v>
      </c>
    </row>
    <row r="9" spans="1:11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K9" s="22">
        <v>0</v>
      </c>
    </row>
    <row r="10" spans="1:11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K10" s="22">
        <v>0</v>
      </c>
    </row>
    <row r="11" spans="1:11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H11" s="22">
        <v>30</v>
      </c>
      <c r="K11" s="22">
        <v>30</v>
      </c>
    </row>
    <row r="12" spans="1:11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K12" s="22">
        <v>0</v>
      </c>
    </row>
    <row r="13" spans="1:11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K13" s="22">
        <v>0</v>
      </c>
    </row>
    <row r="14" spans="1:11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K14" s="22">
        <v>0</v>
      </c>
    </row>
    <row r="15" spans="1:11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K15" s="22">
        <v>0</v>
      </c>
    </row>
    <row r="16" spans="1:11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K16" s="22">
        <v>0</v>
      </c>
    </row>
    <row r="17" spans="1:11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K17" s="22">
        <v>0</v>
      </c>
    </row>
    <row r="18" spans="1:11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K18" s="22">
        <v>0</v>
      </c>
    </row>
    <row r="19" spans="1:11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F19" s="22">
        <v>160</v>
      </c>
      <c r="I19" s="22">
        <v>1050</v>
      </c>
      <c r="K19" s="22">
        <v>1210</v>
      </c>
    </row>
    <row r="20" spans="1:11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K20" s="22">
        <v>0</v>
      </c>
    </row>
    <row r="21" spans="1:11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K21" s="22">
        <v>0</v>
      </c>
    </row>
    <row r="22" spans="1:11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K22" s="22">
        <v>0</v>
      </c>
    </row>
    <row r="23" spans="1:11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K23" s="22">
        <v>0</v>
      </c>
    </row>
    <row r="24" spans="1:11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K24" s="22">
        <v>0</v>
      </c>
    </row>
    <row r="25" spans="1:11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K25" s="22">
        <v>0</v>
      </c>
    </row>
    <row r="26" spans="1:11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K26" s="22">
        <v>0</v>
      </c>
    </row>
    <row r="27" spans="1:11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F27" s="22">
        <v>100</v>
      </c>
      <c r="G27" s="22">
        <v>38</v>
      </c>
      <c r="H27" s="22">
        <v>15</v>
      </c>
      <c r="K27" s="22">
        <v>153</v>
      </c>
    </row>
    <row r="28" spans="1:11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K28" s="22">
        <v>0</v>
      </c>
    </row>
    <row r="29" spans="1:11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K29" s="22">
        <v>0</v>
      </c>
    </row>
    <row r="30" spans="1:11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K30" s="22">
        <v>0</v>
      </c>
    </row>
    <row r="31" spans="1:11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K31" s="22">
        <v>0</v>
      </c>
    </row>
    <row r="32" spans="1:11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K32" s="22">
        <v>0</v>
      </c>
    </row>
    <row r="33" spans="1:11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K33" s="22">
        <v>0</v>
      </c>
    </row>
    <row r="34" spans="1:11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K34" s="22">
        <v>0</v>
      </c>
    </row>
    <row r="35" spans="1:11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K35" s="22">
        <v>0</v>
      </c>
    </row>
    <row r="36" spans="1:11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K36" s="22">
        <v>0</v>
      </c>
    </row>
    <row r="37" spans="1:11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K37" s="22">
        <v>0</v>
      </c>
    </row>
    <row r="38" spans="1:11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K38" s="22">
        <v>0</v>
      </c>
    </row>
    <row r="39" spans="1:11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K39" s="22">
        <v>0</v>
      </c>
    </row>
    <row r="40" spans="1:11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K40" s="22">
        <v>0</v>
      </c>
    </row>
    <row r="41" spans="1:11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K41" s="22">
        <v>0</v>
      </c>
    </row>
    <row r="42" spans="1:11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K42" s="22">
        <v>0</v>
      </c>
    </row>
    <row r="43" spans="1:11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K43" s="22">
        <v>0</v>
      </c>
    </row>
    <row r="44" spans="1:11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K44" s="22">
        <v>0</v>
      </c>
    </row>
    <row r="45" spans="1:11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K45" s="22">
        <v>0</v>
      </c>
    </row>
    <row r="46" spans="1:11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K46" s="22">
        <v>0</v>
      </c>
    </row>
    <row r="47" spans="1:11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K47" s="22">
        <v>0</v>
      </c>
    </row>
    <row r="48" spans="1:11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K48" s="22">
        <v>0</v>
      </c>
    </row>
    <row r="49" spans="1:11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K49" s="22">
        <v>0</v>
      </c>
    </row>
    <row r="50" spans="1:11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K50" s="22">
        <v>0</v>
      </c>
    </row>
    <row r="51" spans="1:11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K51" s="22">
        <v>0</v>
      </c>
    </row>
    <row r="52" spans="1:11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K52" s="22">
        <v>0</v>
      </c>
    </row>
    <row r="53" spans="1:11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K53" s="22">
        <v>0</v>
      </c>
    </row>
    <row r="54" spans="1:11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I54" s="22">
        <v>140</v>
      </c>
      <c r="K54" s="22">
        <v>140</v>
      </c>
    </row>
    <row r="55" spans="1:11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K55" s="22">
        <v>0</v>
      </c>
    </row>
    <row r="56" spans="1:11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K56" s="22">
        <v>0</v>
      </c>
    </row>
    <row r="57" spans="1:11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K57" s="22">
        <v>0</v>
      </c>
    </row>
    <row r="58" spans="1:11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K58" s="22">
        <v>0</v>
      </c>
    </row>
    <row r="59" spans="1:11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K59" s="22">
        <v>0</v>
      </c>
    </row>
    <row r="60" spans="1:11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K60" s="22">
        <v>0</v>
      </c>
    </row>
    <row r="61" spans="1:11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K61" s="22">
        <v>0</v>
      </c>
    </row>
    <row r="62" spans="1:11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K62" s="22">
        <v>0</v>
      </c>
    </row>
    <row r="63" spans="1:11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K63" s="22">
        <v>0</v>
      </c>
    </row>
    <row r="64" spans="1:11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K64" s="22">
        <v>0</v>
      </c>
    </row>
    <row r="65" spans="1:11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K65" s="22">
        <v>0</v>
      </c>
    </row>
    <row r="66" spans="1:11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K66" s="22">
        <v>0</v>
      </c>
    </row>
    <row r="67" spans="1:11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G67" s="22">
        <v>175</v>
      </c>
      <c r="K67" s="22">
        <v>175</v>
      </c>
    </row>
    <row r="68" spans="1:11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K68" s="22">
        <v>0</v>
      </c>
    </row>
    <row r="69" spans="1:11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G69" s="22">
        <v>238</v>
      </c>
      <c r="H69" s="22">
        <v>19</v>
      </c>
      <c r="K69" s="22">
        <v>257</v>
      </c>
    </row>
    <row r="70" spans="1:11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G70" s="22">
        <v>175</v>
      </c>
      <c r="K70" s="22">
        <v>175</v>
      </c>
    </row>
    <row r="71" spans="1:11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G71" s="22">
        <v>175</v>
      </c>
      <c r="H71" s="22">
        <v>200</v>
      </c>
      <c r="K71" s="22">
        <v>375</v>
      </c>
    </row>
    <row r="72" spans="1:11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G72" s="22">
        <v>175</v>
      </c>
      <c r="H72" s="22">
        <v>300</v>
      </c>
      <c r="K72" s="22">
        <v>475</v>
      </c>
    </row>
    <row r="73" spans="1:11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K73" s="22">
        <v>0</v>
      </c>
    </row>
    <row r="74" spans="1:11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K74" s="22">
        <v>0</v>
      </c>
    </row>
    <row r="75" spans="1:11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K75" s="22">
        <v>0</v>
      </c>
    </row>
    <row r="76" spans="1:11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K76" s="22">
        <v>0</v>
      </c>
    </row>
    <row r="77" spans="1:11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K77" s="22">
        <v>0</v>
      </c>
    </row>
    <row r="78" spans="1:11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K78" s="22">
        <v>0</v>
      </c>
    </row>
    <row r="79" spans="1:11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K79" s="22">
        <v>0</v>
      </c>
    </row>
    <row r="80" spans="1:11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H80" s="22">
        <v>79</v>
      </c>
      <c r="K80" s="22">
        <v>79</v>
      </c>
    </row>
    <row r="81" spans="1:11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I81" s="22">
        <v>1100</v>
      </c>
      <c r="K81" s="22">
        <v>1100</v>
      </c>
    </row>
    <row r="82" spans="1:11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K82" s="22">
        <v>0</v>
      </c>
    </row>
    <row r="83" spans="1:11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H83" s="22">
        <v>243</v>
      </c>
      <c r="K83" s="22">
        <v>243</v>
      </c>
    </row>
    <row r="84" spans="1:11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K84" s="22">
        <v>0</v>
      </c>
    </row>
    <row r="85" spans="1:11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F85" s="22">
        <v>260</v>
      </c>
      <c r="I85" s="22">
        <v>1003</v>
      </c>
      <c r="K85" s="22">
        <v>1263</v>
      </c>
    </row>
    <row r="86" spans="1:11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K86" s="22">
        <v>0</v>
      </c>
    </row>
    <row r="87" spans="1:11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F87" s="22">
        <v>277</v>
      </c>
      <c r="I87" s="22">
        <v>2327</v>
      </c>
      <c r="K87" s="22">
        <v>2604</v>
      </c>
    </row>
    <row r="88" spans="1:11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K88" s="22">
        <v>0</v>
      </c>
    </row>
    <row r="89" spans="1:11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K89" s="22">
        <v>0</v>
      </c>
    </row>
    <row r="90" spans="1:11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K90" s="22">
        <v>0</v>
      </c>
    </row>
    <row r="91" spans="1:11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K91" s="22">
        <v>0</v>
      </c>
    </row>
    <row r="92" spans="1:11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K92" s="22">
        <v>0</v>
      </c>
    </row>
    <row r="93" spans="1:11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K93" s="22">
        <v>0</v>
      </c>
    </row>
    <row r="94" spans="1:11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K94" s="22">
        <v>0</v>
      </c>
    </row>
    <row r="95" spans="1:11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K95" s="22">
        <v>0</v>
      </c>
    </row>
    <row r="96" spans="1:11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K96" s="22">
        <v>0</v>
      </c>
    </row>
    <row r="97" spans="1:11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K97" s="22">
        <v>0</v>
      </c>
    </row>
    <row r="98" spans="1:11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K98" s="22">
        <v>0</v>
      </c>
    </row>
    <row r="99" spans="1:11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K99" s="22">
        <v>0</v>
      </c>
    </row>
    <row r="100" spans="1:11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K100" s="22">
        <v>0</v>
      </c>
    </row>
    <row r="101" spans="1:11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K101" s="22">
        <v>0</v>
      </c>
    </row>
    <row r="102" spans="1:11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K102" s="22">
        <v>0</v>
      </c>
    </row>
    <row r="103" spans="1:11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K103" s="22">
        <v>0</v>
      </c>
    </row>
    <row r="104" spans="1:11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K104" s="22">
        <v>0</v>
      </c>
    </row>
    <row r="105" spans="1:11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K105" s="22">
        <v>0</v>
      </c>
    </row>
    <row r="106" spans="1:11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F106" s="22">
        <v>50</v>
      </c>
      <c r="I106" s="22">
        <v>320</v>
      </c>
      <c r="K106" s="22">
        <v>370</v>
      </c>
    </row>
    <row r="107" spans="1:11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K107" s="22">
        <v>0</v>
      </c>
    </row>
    <row r="108" spans="1:11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K108" s="22">
        <v>0</v>
      </c>
    </row>
    <row r="109" spans="1:11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F109" s="22">
        <v>478</v>
      </c>
      <c r="G109" s="22">
        <v>3622</v>
      </c>
      <c r="H109" s="22">
        <v>112</v>
      </c>
      <c r="I109" s="22">
        <v>2275</v>
      </c>
      <c r="K109" s="22">
        <v>6487</v>
      </c>
    </row>
    <row r="110" spans="1:11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K110" s="22">
        <v>0</v>
      </c>
    </row>
    <row r="111" spans="1:11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K111" s="22">
        <v>0</v>
      </c>
    </row>
    <row r="112" spans="1:11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F112" s="22">
        <v>65</v>
      </c>
      <c r="I112" s="22">
        <v>840</v>
      </c>
      <c r="K112" s="22">
        <v>905</v>
      </c>
    </row>
    <row r="113" spans="1:11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I113" s="22">
        <v>120</v>
      </c>
      <c r="K113" s="22">
        <v>120</v>
      </c>
    </row>
    <row r="114" spans="1:11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K114" s="22">
        <v>0</v>
      </c>
    </row>
    <row r="115" spans="1:11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K115" s="22">
        <v>0</v>
      </c>
    </row>
    <row r="116" spans="1:11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I116" s="22">
        <v>683</v>
      </c>
      <c r="K116" s="22">
        <v>683</v>
      </c>
    </row>
    <row r="117" spans="1:11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K117" s="22">
        <v>0</v>
      </c>
    </row>
    <row r="118" spans="1:11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K118" s="22">
        <v>0</v>
      </c>
    </row>
    <row r="119" spans="1:11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F119" s="22">
        <v>151</v>
      </c>
      <c r="I119" s="22">
        <v>1010</v>
      </c>
      <c r="K119" s="22">
        <v>1161</v>
      </c>
    </row>
    <row r="120" spans="1:11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K120" s="22">
        <v>0</v>
      </c>
    </row>
    <row r="121" spans="1:11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K121" s="22">
        <v>0</v>
      </c>
    </row>
    <row r="122" spans="1:11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K122" s="22">
        <v>0</v>
      </c>
    </row>
    <row r="123" spans="1:11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F123" s="22">
        <v>25</v>
      </c>
      <c r="H123" s="22">
        <v>600</v>
      </c>
      <c r="K123" s="22">
        <v>625</v>
      </c>
    </row>
    <row r="124" spans="1:11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K124" s="22">
        <v>0</v>
      </c>
    </row>
    <row r="125" spans="1:11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H125" s="22">
        <v>564</v>
      </c>
      <c r="K125" s="22">
        <v>564</v>
      </c>
    </row>
    <row r="126" spans="1:11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F126" s="22">
        <v>228</v>
      </c>
      <c r="G126" s="22">
        <v>66</v>
      </c>
      <c r="H126" s="22">
        <v>386</v>
      </c>
      <c r="K126" s="22">
        <v>680</v>
      </c>
    </row>
    <row r="127" spans="1:11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G127" s="22">
        <v>567</v>
      </c>
      <c r="H127" s="22">
        <v>305</v>
      </c>
      <c r="I127" s="22">
        <v>210</v>
      </c>
      <c r="K127" s="22">
        <v>1082</v>
      </c>
    </row>
    <row r="128" spans="1:11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G128" s="22">
        <v>298</v>
      </c>
      <c r="H128" s="22">
        <v>298</v>
      </c>
      <c r="I128" s="22">
        <v>200</v>
      </c>
      <c r="K128" s="22">
        <v>796</v>
      </c>
    </row>
    <row r="129" spans="1:11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G129" s="22">
        <v>204</v>
      </c>
      <c r="K129" s="22">
        <v>204</v>
      </c>
    </row>
    <row r="130" spans="1:11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F130" s="22">
        <v>30</v>
      </c>
      <c r="G130" s="22">
        <v>231</v>
      </c>
      <c r="H130" s="22">
        <v>298</v>
      </c>
      <c r="I130" s="22">
        <v>310</v>
      </c>
      <c r="K130" s="22">
        <v>869</v>
      </c>
    </row>
    <row r="131" spans="1:11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G131" s="22">
        <v>307</v>
      </c>
      <c r="K131" s="22">
        <v>307</v>
      </c>
    </row>
    <row r="132" spans="1:11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F132" s="22">
        <v>30</v>
      </c>
      <c r="I132" s="22">
        <v>606</v>
      </c>
      <c r="K132" s="22">
        <v>636</v>
      </c>
    </row>
    <row r="133" spans="1:11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K133" s="22">
        <v>0</v>
      </c>
    </row>
    <row r="134" spans="1:11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K134" s="22">
        <v>0</v>
      </c>
    </row>
    <row r="135" spans="1:11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F135" s="22">
        <v>160</v>
      </c>
      <c r="I135" s="22">
        <v>575</v>
      </c>
      <c r="K135" s="22">
        <v>735</v>
      </c>
    </row>
    <row r="136" spans="1:11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K136" s="22">
        <v>0</v>
      </c>
    </row>
    <row r="137" spans="1:11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K137" s="22">
        <v>0</v>
      </c>
    </row>
    <row r="138" spans="1:11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K138" s="22">
        <v>0</v>
      </c>
    </row>
    <row r="139" spans="1:11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K139" s="22">
        <v>0</v>
      </c>
    </row>
    <row r="140" spans="1:11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K140" s="22">
        <v>0</v>
      </c>
    </row>
    <row r="141" spans="1:11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K141" s="22">
        <v>0</v>
      </c>
    </row>
    <row r="142" spans="1:11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K142" s="22">
        <v>0</v>
      </c>
    </row>
    <row r="143" spans="1:11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F143" s="22">
        <v>350</v>
      </c>
      <c r="H143" s="22">
        <v>1050</v>
      </c>
      <c r="I143" s="22">
        <v>1250</v>
      </c>
      <c r="K143" s="22">
        <v>2650</v>
      </c>
    </row>
    <row r="144" spans="1:11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K144" s="22">
        <v>0</v>
      </c>
    </row>
    <row r="145" spans="1:11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K145" s="22">
        <v>0</v>
      </c>
    </row>
    <row r="146" spans="1:11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K146" s="22">
        <v>0</v>
      </c>
    </row>
    <row r="147" spans="1:11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K147" s="22">
        <v>0</v>
      </c>
    </row>
    <row r="148" spans="1:11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K148" s="22">
        <v>0</v>
      </c>
    </row>
    <row r="149" spans="1:11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K149" s="22">
        <v>0</v>
      </c>
    </row>
    <row r="150" spans="1:11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K150" s="22">
        <v>0</v>
      </c>
    </row>
    <row r="151" spans="1:11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K151" s="22">
        <v>0</v>
      </c>
    </row>
    <row r="152" spans="1:11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H152" s="22">
        <v>140</v>
      </c>
      <c r="K152" s="22">
        <v>140</v>
      </c>
    </row>
    <row r="153" spans="1:11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K153" s="22">
        <v>0</v>
      </c>
    </row>
    <row r="154" spans="1:11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K154" s="22">
        <v>0</v>
      </c>
    </row>
    <row r="155" spans="1:11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K155" s="22">
        <v>0</v>
      </c>
    </row>
    <row r="156" spans="1:11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K156" s="22">
        <v>0</v>
      </c>
    </row>
    <row r="157" spans="1:11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K157" s="22">
        <v>0</v>
      </c>
    </row>
    <row r="158" spans="1:11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K158" s="22">
        <v>0</v>
      </c>
    </row>
    <row r="159" spans="1:11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K159" s="22">
        <v>0</v>
      </c>
    </row>
    <row r="160" spans="1:11" s="22" customFormat="1" x14ac:dyDescent="0.25">
      <c r="A160" s="14">
        <v>156</v>
      </c>
      <c r="B160" s="15">
        <v>4000017082</v>
      </c>
      <c r="C160" s="16" t="s">
        <v>170</v>
      </c>
      <c r="D160" s="44" t="s">
        <v>12</v>
      </c>
      <c r="F160" s="22">
        <v>100</v>
      </c>
      <c r="I160" s="22">
        <v>100</v>
      </c>
      <c r="K160" s="22">
        <v>200</v>
      </c>
    </row>
    <row r="161" spans="1:11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K161" s="22">
        <v>0</v>
      </c>
    </row>
    <row r="162" spans="1:11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I162" s="22">
        <v>120</v>
      </c>
      <c r="K162" s="22">
        <v>120</v>
      </c>
    </row>
    <row r="163" spans="1:11" s="22" customFormat="1" x14ac:dyDescent="0.25">
      <c r="A163" s="14">
        <v>159</v>
      </c>
      <c r="B163" s="15">
        <v>4000017084</v>
      </c>
      <c r="C163" s="16" t="s">
        <v>173</v>
      </c>
      <c r="D163" s="13" t="s">
        <v>12</v>
      </c>
      <c r="I163" s="22">
        <v>40</v>
      </c>
      <c r="K163" s="22">
        <v>40</v>
      </c>
    </row>
    <row r="164" spans="1:11" x14ac:dyDescent="0.25">
      <c r="A164" s="22">
        <v>160</v>
      </c>
      <c r="B164" s="15">
        <v>3000003029</v>
      </c>
      <c r="C164" s="16" t="s">
        <v>211</v>
      </c>
      <c r="D164" s="13" t="s">
        <v>12</v>
      </c>
      <c r="E164" s="22"/>
      <c r="K164" s="22">
        <v>0</v>
      </c>
    </row>
    <row r="165" spans="1:11" x14ac:dyDescent="0.25">
      <c r="A165" s="22">
        <v>161</v>
      </c>
      <c r="B165" s="15">
        <v>3000003029</v>
      </c>
      <c r="C165" s="16" t="s">
        <v>297</v>
      </c>
      <c r="D165" s="13" t="s">
        <v>12</v>
      </c>
      <c r="E165" s="22"/>
      <c r="K165" s="22">
        <v>0</v>
      </c>
    </row>
    <row r="166" spans="1:11" x14ac:dyDescent="0.25">
      <c r="A166" s="22">
        <v>162</v>
      </c>
      <c r="B166" s="15">
        <v>1000006010</v>
      </c>
      <c r="C166" s="16" t="s">
        <v>298</v>
      </c>
      <c r="D166" s="13" t="s">
        <v>12</v>
      </c>
      <c r="K166" s="22">
        <v>0</v>
      </c>
    </row>
    <row r="167" spans="1:11" x14ac:dyDescent="0.25">
      <c r="A167" s="22">
        <v>163</v>
      </c>
      <c r="B167" s="15" t="s">
        <v>299</v>
      </c>
      <c r="C167" s="16" t="s">
        <v>300</v>
      </c>
      <c r="D167" s="13" t="s">
        <v>12</v>
      </c>
      <c r="K167" s="22">
        <v>0</v>
      </c>
    </row>
    <row r="168" spans="1:11" x14ac:dyDescent="0.25">
      <c r="A168" s="22">
        <v>164</v>
      </c>
      <c r="B168" s="15" t="s">
        <v>301</v>
      </c>
      <c r="C168" s="16" t="s">
        <v>302</v>
      </c>
      <c r="D168" s="13" t="s">
        <v>12</v>
      </c>
      <c r="K168" s="22">
        <v>0</v>
      </c>
    </row>
    <row r="169" spans="1:11" x14ac:dyDescent="0.25">
      <c r="A169" s="22">
        <v>165</v>
      </c>
      <c r="B169" s="15" t="s">
        <v>303</v>
      </c>
      <c r="C169" s="16" t="s">
        <v>304</v>
      </c>
      <c r="D169" s="13" t="s">
        <v>12</v>
      </c>
      <c r="K169" s="22">
        <v>0</v>
      </c>
    </row>
    <row r="170" spans="1:11" x14ac:dyDescent="0.25">
      <c r="A170" s="22">
        <v>166</v>
      </c>
      <c r="B170" s="15" t="s">
        <v>305</v>
      </c>
      <c r="C170" s="16" t="s">
        <v>306</v>
      </c>
      <c r="D170" s="13" t="s">
        <v>12</v>
      </c>
      <c r="K170" s="22">
        <v>0</v>
      </c>
    </row>
    <row r="171" spans="1:11" x14ac:dyDescent="0.25">
      <c r="A171" s="22">
        <v>167</v>
      </c>
      <c r="B171" s="13">
        <v>3000003827</v>
      </c>
      <c r="C171" s="16" t="s">
        <v>446</v>
      </c>
      <c r="D171" s="13" t="s">
        <v>12</v>
      </c>
      <c r="K171" s="22">
        <v>0</v>
      </c>
    </row>
    <row r="172" spans="1:11" x14ac:dyDescent="0.25">
      <c r="A172" s="22">
        <v>168</v>
      </c>
      <c r="B172" s="22">
        <v>3000001802</v>
      </c>
      <c r="C172" t="s">
        <v>448</v>
      </c>
      <c r="D172" s="22" t="s">
        <v>12</v>
      </c>
      <c r="K172" s="22">
        <v>0</v>
      </c>
    </row>
    <row r="173" spans="1:11" x14ac:dyDescent="0.25">
      <c r="A173" s="22">
        <v>169</v>
      </c>
      <c r="B173" s="22" t="s">
        <v>35</v>
      </c>
      <c r="C173" t="s">
        <v>449</v>
      </c>
      <c r="D173" s="22" t="s">
        <v>12</v>
      </c>
      <c r="K173" s="22">
        <v>0</v>
      </c>
    </row>
    <row r="174" spans="1:11" x14ac:dyDescent="0.25">
      <c r="A174" s="22">
        <v>170</v>
      </c>
      <c r="B174" s="22" t="s">
        <v>35</v>
      </c>
      <c r="C174" t="s">
        <v>450</v>
      </c>
      <c r="D174" s="22" t="s">
        <v>12</v>
      </c>
      <c r="K174" s="22">
        <v>0</v>
      </c>
    </row>
    <row r="175" spans="1:11" x14ac:dyDescent="0.25">
      <c r="A175" s="22">
        <v>171</v>
      </c>
      <c r="B175" s="22" t="s">
        <v>35</v>
      </c>
      <c r="C175" t="s">
        <v>510</v>
      </c>
      <c r="D175" s="22" t="s">
        <v>12</v>
      </c>
      <c r="K175" s="22">
        <v>0</v>
      </c>
    </row>
    <row r="176" spans="1:11" x14ac:dyDescent="0.25">
      <c r="A176" s="22">
        <v>172</v>
      </c>
      <c r="B176" s="22" t="s">
        <v>35</v>
      </c>
      <c r="C176" t="s">
        <v>516</v>
      </c>
      <c r="D176" s="22" t="s">
        <v>12</v>
      </c>
      <c r="K176" s="22">
        <v>0</v>
      </c>
    </row>
    <row r="177" spans="1:11" x14ac:dyDescent="0.25">
      <c r="A177" s="22">
        <v>173</v>
      </c>
      <c r="B177" s="22" t="s">
        <v>35</v>
      </c>
      <c r="C177" t="s">
        <v>600</v>
      </c>
      <c r="D177" s="22" t="s">
        <v>12</v>
      </c>
      <c r="K177" s="22">
        <v>0</v>
      </c>
    </row>
    <row r="178" spans="1:11" x14ac:dyDescent="0.25">
      <c r="A178" s="22">
        <v>174</v>
      </c>
      <c r="B178" s="22" t="s">
        <v>35</v>
      </c>
      <c r="C178" t="s">
        <v>601</v>
      </c>
      <c r="D178" s="22" t="s">
        <v>12</v>
      </c>
      <c r="K178" s="22">
        <v>0</v>
      </c>
    </row>
    <row r="179" spans="1:11" x14ac:dyDescent="0.25">
      <c r="A179" s="22">
        <v>99</v>
      </c>
      <c r="B179" s="22" t="s">
        <v>35</v>
      </c>
      <c r="C179" t="s">
        <v>1383</v>
      </c>
      <c r="D179" s="22" t="s">
        <v>12</v>
      </c>
      <c r="K179" s="22">
        <v>0</v>
      </c>
    </row>
    <row r="180" spans="1:11" x14ac:dyDescent="0.25">
      <c r="A180" s="22">
        <v>99</v>
      </c>
      <c r="B180" s="22" t="s">
        <v>35</v>
      </c>
      <c r="C180" t="s">
        <v>1557</v>
      </c>
      <c r="D180" s="22" t="s">
        <v>12</v>
      </c>
      <c r="K180" s="22">
        <v>0</v>
      </c>
    </row>
    <row r="181" spans="1:11" x14ac:dyDescent="0.25">
      <c r="A181" s="22">
        <v>101</v>
      </c>
      <c r="B181" s="22">
        <v>3000000008</v>
      </c>
      <c r="C181" t="s">
        <v>1565</v>
      </c>
      <c r="D181" s="22" t="s">
        <v>12</v>
      </c>
      <c r="K181" s="22">
        <v>0</v>
      </c>
    </row>
    <row r="182" spans="1:11" x14ac:dyDescent="0.25">
      <c r="A182" s="22">
        <v>178</v>
      </c>
      <c r="B182" s="22" t="s">
        <v>35</v>
      </c>
      <c r="C182" t="s">
        <v>1662</v>
      </c>
      <c r="D182" s="22" t="s">
        <v>12</v>
      </c>
      <c r="K182" s="22">
        <v>0</v>
      </c>
    </row>
    <row r="183" spans="1:11" x14ac:dyDescent="0.25">
      <c r="A183" s="22">
        <v>80</v>
      </c>
      <c r="B183" s="22" t="s">
        <v>35</v>
      </c>
      <c r="C183" t="s">
        <v>1574</v>
      </c>
      <c r="D183" s="22" t="s">
        <v>12</v>
      </c>
      <c r="K183" s="22">
        <v>0</v>
      </c>
    </row>
    <row r="184" spans="1:11" x14ac:dyDescent="0.25">
      <c r="A184" s="22">
        <v>81</v>
      </c>
      <c r="B184" s="22">
        <v>1000014673</v>
      </c>
      <c r="C184" t="s">
        <v>1575</v>
      </c>
      <c r="D184" s="22" t="s">
        <v>12</v>
      </c>
      <c r="K184" s="22">
        <v>0</v>
      </c>
    </row>
    <row r="185" spans="1:11" x14ac:dyDescent="0.25">
      <c r="A185" s="22">
        <v>181</v>
      </c>
      <c r="B185" s="22">
        <v>4000021502</v>
      </c>
      <c r="C185" t="s">
        <v>1576</v>
      </c>
      <c r="D185" s="22" t="s">
        <v>12</v>
      </c>
      <c r="K185" s="22">
        <v>0</v>
      </c>
    </row>
    <row r="186" spans="1:11" x14ac:dyDescent="0.25">
      <c r="A186" s="22">
        <v>100</v>
      </c>
      <c r="B186" s="22">
        <v>3000002696</v>
      </c>
      <c r="C186" t="s">
        <v>1580</v>
      </c>
      <c r="D186" s="22" t="s">
        <v>12</v>
      </c>
      <c r="K186" s="22">
        <v>0</v>
      </c>
    </row>
    <row r="187" spans="1:11" x14ac:dyDescent="0.25">
      <c r="A187" s="22">
        <v>101</v>
      </c>
      <c r="B187" s="22">
        <v>3000000707</v>
      </c>
      <c r="C187" t="s">
        <v>1618</v>
      </c>
      <c r="D187" s="22" t="s">
        <v>12</v>
      </c>
      <c r="K187" s="22">
        <v>0</v>
      </c>
    </row>
  </sheetData>
  <autoFilter ref="A4:K187"/>
  <mergeCells count="3">
    <mergeCell ref="A1:A2"/>
    <mergeCell ref="B1:B2"/>
    <mergeCell ref="C1:C2"/>
  </mergeCells>
  <conditionalFormatting sqref="A143:L143 N143:XFD143">
    <cfRule type="expression" dxfId="363" priority="1" stopIfTrue="1">
      <formula>AND(ROW()&gt;=143,ROW()&lt;=143)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I7:J27"/>
  <sheetViews>
    <sheetView workbookViewId="0">
      <selection activeCell="I7" sqref="I7:J27"/>
    </sheetView>
  </sheetViews>
  <sheetFormatPr defaultRowHeight="15" x14ac:dyDescent="0.25"/>
  <cols>
    <col min="9" max="9" width="44.85546875" bestFit="1" customWidth="1"/>
    <col min="10" max="10" width="5" bestFit="1" customWidth="1"/>
  </cols>
  <sheetData>
    <row r="7" spans="9:10" x14ac:dyDescent="0.25">
      <c r="I7" t="s">
        <v>1859</v>
      </c>
      <c r="J7">
        <v>1010</v>
      </c>
    </row>
    <row r="8" spans="9:10" x14ac:dyDescent="0.25">
      <c r="I8" t="s">
        <v>1860</v>
      </c>
      <c r="J8">
        <v>120</v>
      </c>
    </row>
    <row r="9" spans="9:10" x14ac:dyDescent="0.25">
      <c r="I9" t="s">
        <v>1861</v>
      </c>
      <c r="J9">
        <v>558</v>
      </c>
    </row>
    <row r="10" spans="9:10" x14ac:dyDescent="0.25">
      <c r="I10" t="s">
        <v>1861</v>
      </c>
      <c r="J10">
        <v>125</v>
      </c>
    </row>
    <row r="11" spans="9:10" x14ac:dyDescent="0.25">
      <c r="I11" t="s">
        <v>1862</v>
      </c>
      <c r="J11">
        <v>1100</v>
      </c>
    </row>
    <row r="12" spans="9:10" x14ac:dyDescent="0.25">
      <c r="I12" t="s">
        <v>1863</v>
      </c>
      <c r="J12">
        <v>1003</v>
      </c>
    </row>
    <row r="13" spans="9:10" x14ac:dyDescent="0.25">
      <c r="I13" t="s">
        <v>1864</v>
      </c>
      <c r="J13">
        <v>2327</v>
      </c>
    </row>
    <row r="14" spans="9:10" x14ac:dyDescent="0.25">
      <c r="I14" t="s">
        <v>1865</v>
      </c>
      <c r="J14">
        <v>1050</v>
      </c>
    </row>
    <row r="15" spans="9:10" x14ac:dyDescent="0.25">
      <c r="I15" t="s">
        <v>1866</v>
      </c>
      <c r="J15">
        <v>2275</v>
      </c>
    </row>
    <row r="16" spans="9:10" x14ac:dyDescent="0.25">
      <c r="I16" t="s">
        <v>1867</v>
      </c>
      <c r="J16">
        <v>120</v>
      </c>
    </row>
    <row r="17" spans="9:10" x14ac:dyDescent="0.25">
      <c r="I17" t="s">
        <v>1868</v>
      </c>
      <c r="J17">
        <v>320</v>
      </c>
    </row>
    <row r="18" spans="9:10" x14ac:dyDescent="0.25">
      <c r="I18" t="s">
        <v>119</v>
      </c>
      <c r="J18">
        <v>840</v>
      </c>
    </row>
    <row r="19" spans="9:10" x14ac:dyDescent="0.25">
      <c r="I19" t="s">
        <v>1869</v>
      </c>
      <c r="J19">
        <v>140</v>
      </c>
    </row>
    <row r="20" spans="9:10" x14ac:dyDescent="0.25">
      <c r="I20" t="s">
        <v>1870</v>
      </c>
      <c r="J20">
        <v>210</v>
      </c>
    </row>
    <row r="21" spans="9:10" x14ac:dyDescent="0.25">
      <c r="I21" t="s">
        <v>1871</v>
      </c>
      <c r="J21">
        <v>200</v>
      </c>
    </row>
    <row r="22" spans="9:10" x14ac:dyDescent="0.25">
      <c r="I22" t="s">
        <v>1872</v>
      </c>
      <c r="J22">
        <v>310</v>
      </c>
    </row>
    <row r="23" spans="9:10" x14ac:dyDescent="0.25">
      <c r="I23" t="s">
        <v>1873</v>
      </c>
      <c r="J23">
        <v>606</v>
      </c>
    </row>
    <row r="24" spans="9:10" x14ac:dyDescent="0.25">
      <c r="I24" t="s">
        <v>1874</v>
      </c>
      <c r="J24">
        <v>575</v>
      </c>
    </row>
    <row r="25" spans="9:10" x14ac:dyDescent="0.25">
      <c r="I25" t="s">
        <v>1875</v>
      </c>
      <c r="J25">
        <v>100</v>
      </c>
    </row>
    <row r="26" spans="9:10" x14ac:dyDescent="0.25">
      <c r="I26" t="s">
        <v>1876</v>
      </c>
      <c r="J26">
        <v>40</v>
      </c>
    </row>
    <row r="27" spans="9:10" x14ac:dyDescent="0.25">
      <c r="I27" t="s">
        <v>1877</v>
      </c>
      <c r="J27">
        <v>1250</v>
      </c>
    </row>
  </sheetData>
  <conditionalFormatting sqref="A7:XFD27">
    <cfRule type="expression" dxfId="362" priority="1" stopIfTrue="1">
      <formula>AND(ROW()&gt;=7,ROW()&lt;=27)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87"/>
  <sheetViews>
    <sheetView workbookViewId="0">
      <pane xSplit="5" topLeftCell="F1" activePane="topRight" state="frozen"/>
      <selection pane="topRight" activeCell="H1" sqref="H1:H1048576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6" width="9.85546875" style="22" customWidth="1"/>
    <col min="7" max="8" width="11" style="22" bestFit="1" customWidth="1"/>
    <col min="9" max="10" width="9.140625" style="22" customWidth="1"/>
    <col min="11" max="11" width="9.140625" style="22"/>
  </cols>
  <sheetData>
    <row r="1" spans="1:11" ht="26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2</v>
      </c>
      <c r="E1" s="27" t="s">
        <v>188</v>
      </c>
      <c r="F1" s="26" t="s">
        <v>213</v>
      </c>
      <c r="G1" s="26" t="s">
        <v>213</v>
      </c>
      <c r="H1" s="26"/>
      <c r="I1" s="26"/>
      <c r="J1" s="26"/>
      <c r="K1" s="25" t="s">
        <v>177</v>
      </c>
    </row>
    <row r="2" spans="1:11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1681</v>
      </c>
      <c r="G2" s="25" t="s">
        <v>1804</v>
      </c>
      <c r="H2" s="25"/>
      <c r="I2" s="25"/>
      <c r="J2" s="25"/>
      <c r="K2" s="25"/>
    </row>
    <row r="3" spans="1:11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27">
        <v>46042</v>
      </c>
      <c r="G3" s="34">
        <v>46051</v>
      </c>
      <c r="H3" s="34"/>
      <c r="I3" s="27"/>
      <c r="J3" s="27"/>
      <c r="K3" s="27"/>
    </row>
    <row r="4" spans="1:11" ht="12" customHeight="1" x14ac:dyDescent="0.25">
      <c r="A4" s="23"/>
      <c r="B4" s="23"/>
      <c r="C4" s="24"/>
      <c r="D4" s="23"/>
      <c r="E4" s="23"/>
      <c r="F4" s="111"/>
      <c r="G4" s="32"/>
      <c r="H4" s="32"/>
      <c r="I4" s="32"/>
      <c r="J4" s="32"/>
      <c r="K4" s="32"/>
    </row>
    <row r="5" spans="1:11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G5" s="22" t="s">
        <v>1805</v>
      </c>
      <c r="K5" s="22">
        <v>0</v>
      </c>
    </row>
    <row r="6" spans="1:11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G6" s="22" t="s">
        <v>1805</v>
      </c>
      <c r="K6" s="22">
        <v>0</v>
      </c>
    </row>
    <row r="7" spans="1:11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G7" s="22" t="s">
        <v>1805</v>
      </c>
      <c r="K7" s="22">
        <v>0</v>
      </c>
    </row>
    <row r="8" spans="1:11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F8" s="22">
        <v>1</v>
      </c>
      <c r="K8" s="22">
        <v>1</v>
      </c>
    </row>
    <row r="9" spans="1:11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G9" s="22" t="s">
        <v>1805</v>
      </c>
      <c r="K9" s="22">
        <v>0</v>
      </c>
    </row>
    <row r="10" spans="1:11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G10" s="22">
        <v>10</v>
      </c>
      <c r="K10" s="22">
        <v>10</v>
      </c>
    </row>
    <row r="11" spans="1:11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G11" s="22">
        <v>7</v>
      </c>
      <c r="K11" s="22">
        <v>7</v>
      </c>
    </row>
    <row r="12" spans="1:11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G12" s="22" t="s">
        <v>1805</v>
      </c>
      <c r="K12" s="22">
        <v>0</v>
      </c>
    </row>
    <row r="13" spans="1:11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G13" s="22" t="s">
        <v>1805</v>
      </c>
      <c r="K13" s="22">
        <v>0</v>
      </c>
    </row>
    <row r="14" spans="1:11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G14" s="22" t="s">
        <v>1805</v>
      </c>
      <c r="K14" s="22">
        <v>0</v>
      </c>
    </row>
    <row r="15" spans="1:11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G15" s="22" t="s">
        <v>1805</v>
      </c>
      <c r="K15" s="22">
        <v>0</v>
      </c>
    </row>
    <row r="16" spans="1:11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G16" s="22">
        <v>3</v>
      </c>
      <c r="K16" s="22">
        <v>3</v>
      </c>
    </row>
    <row r="17" spans="1:11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G17" s="22" t="s">
        <v>1805</v>
      </c>
      <c r="K17" s="22">
        <v>0</v>
      </c>
    </row>
    <row r="18" spans="1:11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G18" s="22" t="s">
        <v>1805</v>
      </c>
      <c r="K18" s="22">
        <v>0</v>
      </c>
    </row>
    <row r="19" spans="1:11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G19" s="22">
        <v>22</v>
      </c>
      <c r="K19" s="22">
        <v>22</v>
      </c>
    </row>
    <row r="20" spans="1:11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G20" s="22">
        <v>21</v>
      </c>
      <c r="K20" s="22">
        <v>21</v>
      </c>
    </row>
    <row r="21" spans="1:11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G21" s="22">
        <v>18</v>
      </c>
      <c r="K21" s="22">
        <v>18</v>
      </c>
    </row>
    <row r="22" spans="1:11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G22" s="22" t="s">
        <v>1805</v>
      </c>
      <c r="K22" s="22">
        <v>0</v>
      </c>
    </row>
    <row r="23" spans="1:11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G23" s="22" t="s">
        <v>1805</v>
      </c>
      <c r="K23" s="22">
        <v>0</v>
      </c>
    </row>
    <row r="24" spans="1:11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G24" s="22" t="s">
        <v>1805</v>
      </c>
      <c r="K24" s="22">
        <v>0</v>
      </c>
    </row>
    <row r="25" spans="1:11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G25" s="22" t="s">
        <v>1805</v>
      </c>
      <c r="K25" s="22">
        <v>0</v>
      </c>
    </row>
    <row r="26" spans="1:11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G26" s="22" t="s">
        <v>1805</v>
      </c>
      <c r="K26" s="22">
        <v>0</v>
      </c>
    </row>
    <row r="27" spans="1:11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G27" s="22">
        <v>105</v>
      </c>
      <c r="K27" s="22">
        <v>105</v>
      </c>
    </row>
    <row r="28" spans="1:11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G28" s="22" t="s">
        <v>1805</v>
      </c>
      <c r="K28" s="22">
        <v>0</v>
      </c>
    </row>
    <row r="29" spans="1:11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G29" s="22" t="s">
        <v>1805</v>
      </c>
      <c r="K29" s="22">
        <v>0</v>
      </c>
    </row>
    <row r="30" spans="1:11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G30" s="22" t="s">
        <v>1805</v>
      </c>
      <c r="K30" s="22">
        <v>0</v>
      </c>
    </row>
    <row r="31" spans="1:11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G31" s="22" t="s">
        <v>1805</v>
      </c>
      <c r="K31" s="22">
        <v>0</v>
      </c>
    </row>
    <row r="32" spans="1:11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G32" s="22" t="s">
        <v>1805</v>
      </c>
      <c r="K32" s="22">
        <v>0</v>
      </c>
    </row>
    <row r="33" spans="1:11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G33" s="22" t="s">
        <v>1805</v>
      </c>
      <c r="K33" s="22">
        <v>0</v>
      </c>
    </row>
    <row r="34" spans="1:11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G34" s="22" t="s">
        <v>1805</v>
      </c>
      <c r="K34" s="22">
        <v>0</v>
      </c>
    </row>
    <row r="35" spans="1:11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G35" s="22" t="s">
        <v>1805</v>
      </c>
      <c r="K35" s="22">
        <v>0</v>
      </c>
    </row>
    <row r="36" spans="1:11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G36" s="22" t="s">
        <v>1805</v>
      </c>
      <c r="K36" s="22">
        <v>0</v>
      </c>
    </row>
    <row r="37" spans="1:11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G37" s="22" t="s">
        <v>1805</v>
      </c>
      <c r="K37" s="22">
        <v>0</v>
      </c>
    </row>
    <row r="38" spans="1:11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G38" s="22" t="s">
        <v>1805</v>
      </c>
      <c r="K38" s="22">
        <v>0</v>
      </c>
    </row>
    <row r="39" spans="1:11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G39" s="22" t="s">
        <v>1805</v>
      </c>
      <c r="K39" s="22">
        <v>0</v>
      </c>
    </row>
    <row r="40" spans="1:11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G40" s="22" t="s">
        <v>1805</v>
      </c>
      <c r="K40" s="22">
        <v>0</v>
      </c>
    </row>
    <row r="41" spans="1:11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G41" s="22" t="s">
        <v>1805</v>
      </c>
      <c r="K41" s="22">
        <v>0</v>
      </c>
    </row>
    <row r="42" spans="1:11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G42" s="22" t="s">
        <v>1805</v>
      </c>
      <c r="K42" s="22">
        <v>0</v>
      </c>
    </row>
    <row r="43" spans="1:11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G43" s="22" t="s">
        <v>1805</v>
      </c>
      <c r="K43" s="22">
        <v>0</v>
      </c>
    </row>
    <row r="44" spans="1:11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G44" s="22" t="s">
        <v>1805</v>
      </c>
      <c r="K44" s="22">
        <v>0</v>
      </c>
    </row>
    <row r="45" spans="1:11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G45" s="22" t="s">
        <v>1805</v>
      </c>
      <c r="K45" s="22">
        <v>0</v>
      </c>
    </row>
    <row r="46" spans="1:11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G46" s="22" t="s">
        <v>1805</v>
      </c>
      <c r="K46" s="22">
        <v>0</v>
      </c>
    </row>
    <row r="47" spans="1:11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G47" s="22" t="s">
        <v>1805</v>
      </c>
      <c r="K47" s="22">
        <v>0</v>
      </c>
    </row>
    <row r="48" spans="1:11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G48" s="22" t="s">
        <v>1805</v>
      </c>
      <c r="K48" s="22">
        <v>0</v>
      </c>
    </row>
    <row r="49" spans="1:11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G49" s="22" t="s">
        <v>1805</v>
      </c>
      <c r="K49" s="22">
        <v>0</v>
      </c>
    </row>
    <row r="50" spans="1:11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G50" s="22" t="s">
        <v>1805</v>
      </c>
      <c r="K50" s="22">
        <v>0</v>
      </c>
    </row>
    <row r="51" spans="1:11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G51" s="22" t="s">
        <v>1805</v>
      </c>
      <c r="K51" s="22">
        <v>0</v>
      </c>
    </row>
    <row r="52" spans="1:11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G52" s="22" t="s">
        <v>1805</v>
      </c>
      <c r="K52" s="22">
        <v>0</v>
      </c>
    </row>
    <row r="53" spans="1:11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G53" s="22" t="s">
        <v>1805</v>
      </c>
      <c r="K53" s="22">
        <v>0</v>
      </c>
    </row>
    <row r="54" spans="1:11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G54" s="22" t="s">
        <v>1805</v>
      </c>
      <c r="K54" s="22">
        <v>0</v>
      </c>
    </row>
    <row r="55" spans="1:11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G55" s="22" t="s">
        <v>1805</v>
      </c>
      <c r="K55" s="22">
        <v>0</v>
      </c>
    </row>
    <row r="56" spans="1:11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G56" s="22" t="s">
        <v>1805</v>
      </c>
      <c r="K56" s="22">
        <v>0</v>
      </c>
    </row>
    <row r="57" spans="1:11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G57" s="22" t="s">
        <v>1805</v>
      </c>
      <c r="K57" s="22">
        <v>0</v>
      </c>
    </row>
    <row r="58" spans="1:11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G58" s="22" t="s">
        <v>1805</v>
      </c>
      <c r="K58" s="22">
        <v>0</v>
      </c>
    </row>
    <row r="59" spans="1:11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G59" s="22" t="s">
        <v>1805</v>
      </c>
      <c r="K59" s="22">
        <v>0</v>
      </c>
    </row>
    <row r="60" spans="1:11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G60" s="22" t="s">
        <v>1805</v>
      </c>
      <c r="K60" s="22">
        <v>0</v>
      </c>
    </row>
    <row r="61" spans="1:11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G61" s="22" t="s">
        <v>1805</v>
      </c>
      <c r="K61" s="22">
        <v>0</v>
      </c>
    </row>
    <row r="62" spans="1:11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G62" s="22" t="s">
        <v>1805</v>
      </c>
      <c r="K62" s="22">
        <v>0</v>
      </c>
    </row>
    <row r="63" spans="1:11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G63" s="22" t="s">
        <v>1805</v>
      </c>
      <c r="K63" s="22">
        <v>0</v>
      </c>
    </row>
    <row r="64" spans="1:11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G64" s="22" t="s">
        <v>1805</v>
      </c>
      <c r="K64" s="22">
        <v>0</v>
      </c>
    </row>
    <row r="65" spans="1:11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G65" s="22" t="s">
        <v>1805</v>
      </c>
      <c r="K65" s="22">
        <v>0</v>
      </c>
    </row>
    <row r="66" spans="1:11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G66" s="22" t="s">
        <v>1805</v>
      </c>
      <c r="K66" s="22">
        <v>0</v>
      </c>
    </row>
    <row r="67" spans="1:11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G67" s="22" t="s">
        <v>1805</v>
      </c>
      <c r="K67" s="22">
        <v>0</v>
      </c>
    </row>
    <row r="68" spans="1:11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G68" s="22" t="s">
        <v>1805</v>
      </c>
      <c r="K68" s="22">
        <v>0</v>
      </c>
    </row>
    <row r="69" spans="1:11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G69" s="22" t="s">
        <v>1805</v>
      </c>
      <c r="K69" s="22">
        <v>0</v>
      </c>
    </row>
    <row r="70" spans="1:11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G70" s="22" t="s">
        <v>1805</v>
      </c>
      <c r="K70" s="22">
        <v>0</v>
      </c>
    </row>
    <row r="71" spans="1:11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G71" s="22" t="s">
        <v>1805</v>
      </c>
      <c r="K71" s="22">
        <v>0</v>
      </c>
    </row>
    <row r="72" spans="1:11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G72" s="22" t="s">
        <v>1805</v>
      </c>
      <c r="K72" s="22">
        <v>0</v>
      </c>
    </row>
    <row r="73" spans="1:11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G73" s="22" t="s">
        <v>1805</v>
      </c>
      <c r="K73" s="22">
        <v>0</v>
      </c>
    </row>
    <row r="74" spans="1:11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G74" s="22" t="s">
        <v>1805</v>
      </c>
      <c r="K74" s="22">
        <v>0</v>
      </c>
    </row>
    <row r="75" spans="1:11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G75" s="22" t="s">
        <v>1805</v>
      </c>
      <c r="K75" s="22">
        <v>0</v>
      </c>
    </row>
    <row r="76" spans="1:11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G76" s="22" t="s">
        <v>1805</v>
      </c>
      <c r="K76" s="22">
        <v>0</v>
      </c>
    </row>
    <row r="77" spans="1:11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G77" s="22" t="s">
        <v>1805</v>
      </c>
      <c r="K77" s="22">
        <v>0</v>
      </c>
    </row>
    <row r="78" spans="1:11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G78" s="22" t="s">
        <v>1805</v>
      </c>
      <c r="K78" s="22">
        <v>0</v>
      </c>
    </row>
    <row r="79" spans="1:11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G79" s="22" t="s">
        <v>1805</v>
      </c>
      <c r="K79" s="22">
        <v>0</v>
      </c>
    </row>
    <row r="80" spans="1:11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G80" s="22">
        <v>135</v>
      </c>
      <c r="K80" s="22">
        <v>135</v>
      </c>
    </row>
    <row r="81" spans="1:11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G81" s="22">
        <v>109</v>
      </c>
      <c r="K81" s="22">
        <v>109</v>
      </c>
    </row>
    <row r="82" spans="1:11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G82" s="22">
        <v>11</v>
      </c>
      <c r="K82" s="22">
        <v>11</v>
      </c>
    </row>
    <row r="83" spans="1:11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G83" s="22">
        <v>41</v>
      </c>
      <c r="K83" s="22">
        <v>41</v>
      </c>
    </row>
    <row r="84" spans="1:11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G84" s="22" t="s">
        <v>1805</v>
      </c>
      <c r="K84" s="22">
        <v>0</v>
      </c>
    </row>
    <row r="85" spans="1:11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G85" s="22" t="s">
        <v>1805</v>
      </c>
      <c r="K85" s="22">
        <v>0</v>
      </c>
    </row>
    <row r="86" spans="1:11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G86" s="22" t="s">
        <v>1805</v>
      </c>
      <c r="K86" s="22">
        <v>0</v>
      </c>
    </row>
    <row r="87" spans="1:11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G87" s="22" t="s">
        <v>1805</v>
      </c>
      <c r="K87" s="22">
        <v>0</v>
      </c>
    </row>
    <row r="88" spans="1:11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G88" s="22" t="s">
        <v>1805</v>
      </c>
      <c r="K88" s="22">
        <v>0</v>
      </c>
    </row>
    <row r="89" spans="1:11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G89" s="22" t="s">
        <v>1805</v>
      </c>
      <c r="K89" s="22">
        <v>0</v>
      </c>
    </row>
    <row r="90" spans="1:11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G90" s="22" t="s">
        <v>1805</v>
      </c>
      <c r="K90" s="22">
        <v>0</v>
      </c>
    </row>
    <row r="91" spans="1:11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G91" s="22" t="s">
        <v>1805</v>
      </c>
      <c r="K91" s="22">
        <v>0</v>
      </c>
    </row>
    <row r="92" spans="1:11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G92" s="22" t="s">
        <v>1805</v>
      </c>
      <c r="K92" s="22">
        <v>0</v>
      </c>
    </row>
    <row r="93" spans="1:11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G93" s="22" t="s">
        <v>1805</v>
      </c>
      <c r="K93" s="22">
        <v>0</v>
      </c>
    </row>
    <row r="94" spans="1:11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G94" s="22" t="s">
        <v>1805</v>
      </c>
      <c r="K94" s="22">
        <v>0</v>
      </c>
    </row>
    <row r="95" spans="1:11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G95" s="22" t="s">
        <v>1805</v>
      </c>
      <c r="K95" s="22">
        <v>0</v>
      </c>
    </row>
    <row r="96" spans="1:11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G96" s="22" t="s">
        <v>1805</v>
      </c>
      <c r="K96" s="22">
        <v>0</v>
      </c>
    </row>
    <row r="97" spans="1:11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G97" s="22" t="s">
        <v>1805</v>
      </c>
      <c r="K97" s="22">
        <v>0</v>
      </c>
    </row>
    <row r="98" spans="1:11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G98" s="22" t="s">
        <v>1805</v>
      </c>
      <c r="K98" s="22">
        <v>0</v>
      </c>
    </row>
    <row r="99" spans="1:11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G99" s="22" t="s">
        <v>1805</v>
      </c>
      <c r="K99" s="22">
        <v>0</v>
      </c>
    </row>
    <row r="100" spans="1:11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G100" s="22" t="s">
        <v>1805</v>
      </c>
      <c r="K100" s="22">
        <v>0</v>
      </c>
    </row>
    <row r="101" spans="1:11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G101" s="22" t="s">
        <v>1805</v>
      </c>
      <c r="K101" s="22">
        <v>0</v>
      </c>
    </row>
    <row r="102" spans="1:11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G102" s="22" t="s">
        <v>1805</v>
      </c>
      <c r="K102" s="22">
        <v>0</v>
      </c>
    </row>
    <row r="103" spans="1:11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G103" s="22" t="s">
        <v>1805</v>
      </c>
      <c r="K103" s="22">
        <v>0</v>
      </c>
    </row>
    <row r="104" spans="1:11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G104" s="22" t="s">
        <v>1805</v>
      </c>
      <c r="K104" s="22">
        <v>0</v>
      </c>
    </row>
    <row r="105" spans="1:11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G105" s="22" t="s">
        <v>1805</v>
      </c>
      <c r="K105" s="22">
        <v>0</v>
      </c>
    </row>
    <row r="106" spans="1:11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G106" s="22">
        <v>56</v>
      </c>
      <c r="K106" s="22">
        <v>56</v>
      </c>
    </row>
    <row r="107" spans="1:11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G107" s="22" t="s">
        <v>1805</v>
      </c>
      <c r="K107" s="22">
        <v>0</v>
      </c>
    </row>
    <row r="108" spans="1:11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G108" s="22" t="s">
        <v>1805</v>
      </c>
      <c r="K108" s="22">
        <v>0</v>
      </c>
    </row>
    <row r="109" spans="1:11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G109" s="22">
        <v>92</v>
      </c>
      <c r="K109" s="22">
        <v>92</v>
      </c>
    </row>
    <row r="110" spans="1:11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G110" s="22" t="s">
        <v>1805</v>
      </c>
      <c r="K110" s="22">
        <v>0</v>
      </c>
    </row>
    <row r="111" spans="1:11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G111" s="22">
        <v>24</v>
      </c>
      <c r="K111" s="22">
        <v>24</v>
      </c>
    </row>
    <row r="112" spans="1:11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G112" s="22" t="s">
        <v>1805</v>
      </c>
      <c r="K112" s="22">
        <v>0</v>
      </c>
    </row>
    <row r="113" spans="1:11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G113" s="22" t="s">
        <v>1805</v>
      </c>
      <c r="K113" s="22">
        <v>0</v>
      </c>
    </row>
    <row r="114" spans="1:11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G114" s="22" t="s">
        <v>1805</v>
      </c>
      <c r="K114" s="22">
        <v>0</v>
      </c>
    </row>
    <row r="115" spans="1:11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G115" s="22" t="s">
        <v>1805</v>
      </c>
      <c r="K115" s="22">
        <v>0</v>
      </c>
    </row>
    <row r="116" spans="1:11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G116" s="22">
        <v>33</v>
      </c>
      <c r="K116" s="22">
        <v>33</v>
      </c>
    </row>
    <row r="117" spans="1:11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G117" s="22" t="s">
        <v>1805</v>
      </c>
      <c r="K117" s="22">
        <v>0</v>
      </c>
    </row>
    <row r="118" spans="1:11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G118" s="22" t="s">
        <v>1805</v>
      </c>
      <c r="K118" s="22">
        <v>0</v>
      </c>
    </row>
    <row r="119" spans="1:11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G119" s="22" t="s">
        <v>1805</v>
      </c>
      <c r="K119" s="22">
        <v>0</v>
      </c>
    </row>
    <row r="120" spans="1:11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G120" s="22" t="s">
        <v>1805</v>
      </c>
      <c r="K120" s="22">
        <v>0</v>
      </c>
    </row>
    <row r="121" spans="1:11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G121" s="22" t="s">
        <v>1805</v>
      </c>
      <c r="K121" s="22">
        <v>0</v>
      </c>
    </row>
    <row r="122" spans="1:11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G122" s="22" t="s">
        <v>1805</v>
      </c>
      <c r="K122" s="22">
        <v>0</v>
      </c>
    </row>
    <row r="123" spans="1:11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G123" s="22">
        <v>8</v>
      </c>
      <c r="K123" s="22">
        <v>8</v>
      </c>
    </row>
    <row r="124" spans="1:11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G124" s="22">
        <v>4</v>
      </c>
      <c r="K124" s="22">
        <v>4</v>
      </c>
    </row>
    <row r="125" spans="1:11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G125" s="22" t="s">
        <v>1805</v>
      </c>
      <c r="K125" s="22">
        <v>0</v>
      </c>
    </row>
    <row r="126" spans="1:11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G126" s="22">
        <v>73</v>
      </c>
      <c r="K126" s="22">
        <v>73</v>
      </c>
    </row>
    <row r="127" spans="1:11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G127" s="22">
        <v>43</v>
      </c>
      <c r="K127" s="22">
        <v>43</v>
      </c>
    </row>
    <row r="128" spans="1:11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G128" s="22" t="s">
        <v>1805</v>
      </c>
      <c r="K128" s="22">
        <v>0</v>
      </c>
    </row>
    <row r="129" spans="1:11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G129" s="22" t="s">
        <v>1805</v>
      </c>
      <c r="K129" s="22">
        <v>0</v>
      </c>
    </row>
    <row r="130" spans="1:11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G130" s="22" t="s">
        <v>1805</v>
      </c>
      <c r="K130" s="22">
        <v>0</v>
      </c>
    </row>
    <row r="131" spans="1:11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G131" s="22" t="s">
        <v>1805</v>
      </c>
      <c r="K131" s="22">
        <v>0</v>
      </c>
    </row>
    <row r="132" spans="1:11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G132" s="22">
        <v>19</v>
      </c>
      <c r="K132" s="22">
        <v>19</v>
      </c>
    </row>
    <row r="133" spans="1:11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G133" s="22" t="s">
        <v>1805</v>
      </c>
      <c r="K133" s="22">
        <v>0</v>
      </c>
    </row>
    <row r="134" spans="1:11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G134" s="22" t="s">
        <v>1805</v>
      </c>
      <c r="K134" s="22">
        <v>0</v>
      </c>
    </row>
    <row r="135" spans="1:11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G135" s="22" t="s">
        <v>1805</v>
      </c>
      <c r="K135" s="22">
        <v>0</v>
      </c>
    </row>
    <row r="136" spans="1:11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G136" s="22" t="s">
        <v>1805</v>
      </c>
      <c r="K136" s="22">
        <v>0</v>
      </c>
    </row>
    <row r="137" spans="1:11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G137" s="22" t="s">
        <v>1805</v>
      </c>
      <c r="K137" s="22">
        <v>0</v>
      </c>
    </row>
    <row r="138" spans="1:11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G138" s="22" t="s">
        <v>1805</v>
      </c>
      <c r="K138" s="22">
        <v>0</v>
      </c>
    </row>
    <row r="139" spans="1:11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G139" s="22" t="s">
        <v>1805</v>
      </c>
      <c r="K139" s="22">
        <v>0</v>
      </c>
    </row>
    <row r="140" spans="1:11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G140" s="22" t="s">
        <v>1805</v>
      </c>
      <c r="K140" s="22">
        <v>0</v>
      </c>
    </row>
    <row r="141" spans="1:11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G141" s="22" t="s">
        <v>1805</v>
      </c>
      <c r="K141" s="22">
        <v>0</v>
      </c>
    </row>
    <row r="142" spans="1:11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G142" s="22" t="s">
        <v>1805</v>
      </c>
      <c r="K142" s="22">
        <v>0</v>
      </c>
    </row>
    <row r="143" spans="1:11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G143" s="22">
        <v>642</v>
      </c>
      <c r="K143" s="22">
        <v>642</v>
      </c>
    </row>
    <row r="144" spans="1:11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G144" s="22" t="s">
        <v>1805</v>
      </c>
      <c r="K144" s="22">
        <v>0</v>
      </c>
    </row>
    <row r="145" spans="1:11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G145" s="22">
        <v>28</v>
      </c>
      <c r="K145" s="22">
        <v>28</v>
      </c>
    </row>
    <row r="146" spans="1:11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G146" s="22">
        <v>29</v>
      </c>
      <c r="K146" s="22">
        <v>29</v>
      </c>
    </row>
    <row r="147" spans="1:11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G147" s="22" t="s">
        <v>1805</v>
      </c>
      <c r="K147" s="22">
        <v>0</v>
      </c>
    </row>
    <row r="148" spans="1:11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G148" s="22">
        <v>8</v>
      </c>
      <c r="K148" s="22">
        <v>8</v>
      </c>
    </row>
    <row r="149" spans="1:11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G149" s="22" t="s">
        <v>1805</v>
      </c>
      <c r="K149" s="22">
        <v>0</v>
      </c>
    </row>
    <row r="150" spans="1:11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G150" s="22" t="s">
        <v>1805</v>
      </c>
      <c r="K150" s="22">
        <v>0</v>
      </c>
    </row>
    <row r="151" spans="1:11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G151" s="22" t="s">
        <v>1805</v>
      </c>
      <c r="K151" s="22">
        <v>0</v>
      </c>
    </row>
    <row r="152" spans="1:11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G152" s="22" t="s">
        <v>1805</v>
      </c>
      <c r="K152" s="22">
        <v>0</v>
      </c>
    </row>
    <row r="153" spans="1:11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G153" s="22" t="s">
        <v>1805</v>
      </c>
      <c r="K153" s="22">
        <v>0</v>
      </c>
    </row>
    <row r="154" spans="1:11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G154" s="22" t="s">
        <v>1805</v>
      </c>
      <c r="K154" s="22">
        <v>0</v>
      </c>
    </row>
    <row r="155" spans="1:11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G155" s="22" t="s">
        <v>1805</v>
      </c>
      <c r="K155" s="22">
        <v>0</v>
      </c>
    </row>
    <row r="156" spans="1:11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G156" s="22" t="s">
        <v>1805</v>
      </c>
      <c r="K156" s="22">
        <v>0</v>
      </c>
    </row>
    <row r="157" spans="1:11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G157" s="22" t="s">
        <v>1805</v>
      </c>
      <c r="K157" s="22">
        <v>0</v>
      </c>
    </row>
    <row r="158" spans="1:11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G158" s="22" t="s">
        <v>1805</v>
      </c>
      <c r="K158" s="22">
        <v>0</v>
      </c>
    </row>
    <row r="159" spans="1:11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G159" s="22" t="s">
        <v>1805</v>
      </c>
      <c r="K159" s="22">
        <v>0</v>
      </c>
    </row>
    <row r="160" spans="1:11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G160" s="22" t="s">
        <v>1805</v>
      </c>
      <c r="K160" s="22">
        <v>0</v>
      </c>
    </row>
    <row r="161" spans="1:11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G161" s="22" t="s">
        <v>1805</v>
      </c>
      <c r="K161" s="22">
        <v>0</v>
      </c>
    </row>
    <row r="162" spans="1:11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G162" s="22" t="s">
        <v>1805</v>
      </c>
      <c r="K162" s="22">
        <v>0</v>
      </c>
    </row>
    <row r="163" spans="1:11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G163" s="22" t="s">
        <v>1805</v>
      </c>
      <c r="K163" s="22">
        <v>0</v>
      </c>
    </row>
    <row r="164" spans="1:11" x14ac:dyDescent="0.25">
      <c r="A164" s="22">
        <v>160</v>
      </c>
      <c r="B164" s="22">
        <v>3000003029</v>
      </c>
      <c r="C164" s="12" t="s">
        <v>211</v>
      </c>
      <c r="D164" s="22" t="s">
        <v>12</v>
      </c>
      <c r="G164" s="22" t="s">
        <v>1805</v>
      </c>
      <c r="K164" s="22">
        <v>0</v>
      </c>
    </row>
    <row r="165" spans="1:11" x14ac:dyDescent="0.25">
      <c r="A165" s="22">
        <v>161</v>
      </c>
      <c r="B165" s="22">
        <v>3000003029</v>
      </c>
      <c r="C165" t="s">
        <v>297</v>
      </c>
      <c r="D165" s="22" t="s">
        <v>12</v>
      </c>
      <c r="G165" s="22" t="s">
        <v>1805</v>
      </c>
      <c r="K165" s="22">
        <v>0</v>
      </c>
    </row>
    <row r="166" spans="1:11" x14ac:dyDescent="0.25">
      <c r="A166" s="22">
        <v>162</v>
      </c>
      <c r="B166" s="22">
        <v>1000006010</v>
      </c>
      <c r="C166" t="s">
        <v>298</v>
      </c>
      <c r="D166" s="22" t="s">
        <v>12</v>
      </c>
      <c r="G166" s="22" t="s">
        <v>1805</v>
      </c>
      <c r="K166" s="22">
        <v>0</v>
      </c>
    </row>
    <row r="167" spans="1:11" x14ac:dyDescent="0.25">
      <c r="A167" s="22">
        <v>163</v>
      </c>
      <c r="B167" s="22">
        <v>3000001220</v>
      </c>
      <c r="C167" t="s">
        <v>300</v>
      </c>
      <c r="D167" s="22" t="s">
        <v>12</v>
      </c>
      <c r="G167" s="22" t="s">
        <v>1805</v>
      </c>
      <c r="K167" s="22">
        <v>0</v>
      </c>
    </row>
    <row r="168" spans="1:11" x14ac:dyDescent="0.25">
      <c r="A168" s="22">
        <v>164</v>
      </c>
      <c r="B168" s="22">
        <v>3000001221</v>
      </c>
      <c r="C168" t="s">
        <v>302</v>
      </c>
      <c r="D168" s="22" t="s">
        <v>12</v>
      </c>
      <c r="G168" s="22" t="s">
        <v>1805</v>
      </c>
      <c r="K168" s="22">
        <v>0</v>
      </c>
    </row>
    <row r="169" spans="1:11" x14ac:dyDescent="0.25">
      <c r="A169" s="22">
        <v>165</v>
      </c>
      <c r="B169" s="22">
        <v>3000001223</v>
      </c>
      <c r="C169" t="s">
        <v>304</v>
      </c>
      <c r="D169" s="22" t="s">
        <v>12</v>
      </c>
      <c r="G169" s="22" t="s">
        <v>1805</v>
      </c>
      <c r="K169" s="22">
        <v>0</v>
      </c>
    </row>
    <row r="170" spans="1:11" x14ac:dyDescent="0.25">
      <c r="A170" s="22">
        <v>166</v>
      </c>
      <c r="B170" s="22">
        <v>3000001224</v>
      </c>
      <c r="C170" t="s">
        <v>306</v>
      </c>
      <c r="D170" s="22" t="s">
        <v>12</v>
      </c>
      <c r="G170" s="22" t="s">
        <v>1805</v>
      </c>
      <c r="K170" s="22">
        <v>0</v>
      </c>
    </row>
    <row r="171" spans="1:11" x14ac:dyDescent="0.25">
      <c r="A171" s="22">
        <v>167</v>
      </c>
      <c r="B171" s="22">
        <v>3000003827</v>
      </c>
      <c r="C171" t="s">
        <v>446</v>
      </c>
      <c r="D171" s="22" t="s">
        <v>12</v>
      </c>
      <c r="G171" s="22" t="s">
        <v>1805</v>
      </c>
      <c r="K171" s="22">
        <v>0</v>
      </c>
    </row>
    <row r="172" spans="1:11" x14ac:dyDescent="0.25">
      <c r="A172" s="22">
        <v>168</v>
      </c>
      <c r="B172" s="22">
        <v>3000001802</v>
      </c>
      <c r="C172" t="s">
        <v>448</v>
      </c>
      <c r="D172" s="22" t="s">
        <v>12</v>
      </c>
      <c r="G172" s="22" t="s">
        <v>1805</v>
      </c>
      <c r="K172" s="22">
        <v>0</v>
      </c>
    </row>
    <row r="173" spans="1:11" x14ac:dyDescent="0.25">
      <c r="A173" s="22">
        <v>169</v>
      </c>
      <c r="B173" s="22" t="s">
        <v>35</v>
      </c>
      <c r="C173" t="s">
        <v>449</v>
      </c>
      <c r="D173" s="22" t="s">
        <v>12</v>
      </c>
      <c r="G173" s="22" t="s">
        <v>1805</v>
      </c>
      <c r="K173" s="22">
        <v>0</v>
      </c>
    </row>
    <row r="174" spans="1:11" x14ac:dyDescent="0.25">
      <c r="A174" s="22">
        <v>170</v>
      </c>
      <c r="B174" s="22" t="s">
        <v>35</v>
      </c>
      <c r="C174" t="s">
        <v>450</v>
      </c>
      <c r="D174" s="22" t="s">
        <v>12</v>
      </c>
      <c r="G174" s="22" t="s">
        <v>1805</v>
      </c>
      <c r="K174" s="22">
        <v>0</v>
      </c>
    </row>
    <row r="175" spans="1:11" x14ac:dyDescent="0.25">
      <c r="A175" s="22">
        <v>171</v>
      </c>
      <c r="B175" s="22" t="s">
        <v>35</v>
      </c>
      <c r="C175" t="s">
        <v>510</v>
      </c>
      <c r="D175" s="22" t="s">
        <v>12</v>
      </c>
      <c r="G175" s="22" t="s">
        <v>1805</v>
      </c>
      <c r="K175" s="22">
        <v>0</v>
      </c>
    </row>
    <row r="176" spans="1:11" x14ac:dyDescent="0.25">
      <c r="A176" s="22">
        <v>172</v>
      </c>
      <c r="B176" s="22" t="s">
        <v>35</v>
      </c>
      <c r="C176" t="s">
        <v>516</v>
      </c>
      <c r="D176" s="22" t="s">
        <v>12</v>
      </c>
      <c r="G176" s="22" t="s">
        <v>1805</v>
      </c>
      <c r="K176" s="22">
        <v>0</v>
      </c>
    </row>
    <row r="177" spans="1:11" x14ac:dyDescent="0.25">
      <c r="A177" s="22">
        <v>173</v>
      </c>
      <c r="B177" s="22" t="s">
        <v>35</v>
      </c>
      <c r="C177" t="s">
        <v>600</v>
      </c>
      <c r="D177" s="22" t="s">
        <v>12</v>
      </c>
      <c r="G177" s="22" t="s">
        <v>1805</v>
      </c>
      <c r="K177" s="22">
        <v>0</v>
      </c>
    </row>
    <row r="178" spans="1:11" x14ac:dyDescent="0.25">
      <c r="A178" s="22">
        <v>174</v>
      </c>
      <c r="B178" s="22" t="s">
        <v>35</v>
      </c>
      <c r="C178" t="s">
        <v>601</v>
      </c>
      <c r="D178" s="22" t="s">
        <v>12</v>
      </c>
      <c r="G178" s="22" t="s">
        <v>1805</v>
      </c>
      <c r="K178" s="22">
        <v>0</v>
      </c>
    </row>
    <row r="179" spans="1:11" x14ac:dyDescent="0.25">
      <c r="A179" s="22">
        <v>99</v>
      </c>
      <c r="B179" s="22" t="s">
        <v>35</v>
      </c>
      <c r="C179" t="s">
        <v>1383</v>
      </c>
      <c r="D179" s="22" t="s">
        <v>12</v>
      </c>
      <c r="G179" s="22" t="s">
        <v>1805</v>
      </c>
      <c r="K179" s="22">
        <v>0</v>
      </c>
    </row>
    <row r="180" spans="1:11" x14ac:dyDescent="0.25">
      <c r="A180" s="22">
        <v>99</v>
      </c>
      <c r="B180" s="22" t="s">
        <v>35</v>
      </c>
      <c r="C180" t="s">
        <v>1557</v>
      </c>
      <c r="D180" s="22" t="s">
        <v>12</v>
      </c>
      <c r="G180" s="22" t="s">
        <v>1805</v>
      </c>
      <c r="K180" s="22">
        <v>0</v>
      </c>
    </row>
    <row r="181" spans="1:11" x14ac:dyDescent="0.25">
      <c r="A181" s="22">
        <v>101</v>
      </c>
      <c r="B181" s="22">
        <v>3000000008</v>
      </c>
      <c r="C181" t="s">
        <v>1565</v>
      </c>
      <c r="D181" s="22" t="s">
        <v>12</v>
      </c>
      <c r="G181" s="22" t="s">
        <v>1805</v>
      </c>
      <c r="K181" s="22">
        <v>0</v>
      </c>
    </row>
    <row r="182" spans="1:11" x14ac:dyDescent="0.25">
      <c r="A182" s="22">
        <v>178</v>
      </c>
      <c r="B182" s="22" t="s">
        <v>35</v>
      </c>
      <c r="C182" t="s">
        <v>1662</v>
      </c>
      <c r="D182" s="22" t="s">
        <v>12</v>
      </c>
      <c r="G182" s="22" t="s">
        <v>1805</v>
      </c>
      <c r="K182" s="22">
        <v>0</v>
      </c>
    </row>
    <row r="183" spans="1:11" x14ac:dyDescent="0.25">
      <c r="A183" s="22">
        <v>80</v>
      </c>
      <c r="B183" s="22" t="s">
        <v>35</v>
      </c>
      <c r="C183" t="s">
        <v>1574</v>
      </c>
      <c r="D183" s="22" t="s">
        <v>12</v>
      </c>
      <c r="G183" s="22" t="s">
        <v>1805</v>
      </c>
      <c r="K183" s="22">
        <v>0</v>
      </c>
    </row>
    <row r="184" spans="1:11" x14ac:dyDescent="0.25">
      <c r="A184" s="22">
        <v>81</v>
      </c>
      <c r="B184" s="22">
        <v>1000014673</v>
      </c>
      <c r="C184" t="s">
        <v>1575</v>
      </c>
      <c r="D184" s="22" t="s">
        <v>12</v>
      </c>
      <c r="G184" s="22" t="s">
        <v>1805</v>
      </c>
      <c r="K184" s="22">
        <v>0</v>
      </c>
    </row>
    <row r="185" spans="1:11" x14ac:dyDescent="0.25">
      <c r="A185" s="22">
        <v>181</v>
      </c>
      <c r="B185" s="22">
        <v>4000021502</v>
      </c>
      <c r="C185" t="s">
        <v>1576</v>
      </c>
      <c r="D185" s="22" t="s">
        <v>12</v>
      </c>
      <c r="G185" s="22" t="s">
        <v>1805</v>
      </c>
      <c r="K185" s="22">
        <v>0</v>
      </c>
    </row>
    <row r="186" spans="1:11" x14ac:dyDescent="0.25">
      <c r="A186" s="22">
        <v>100</v>
      </c>
      <c r="B186" s="22">
        <v>3000002696</v>
      </c>
      <c r="C186" t="s">
        <v>1580</v>
      </c>
      <c r="D186" s="22" t="s">
        <v>12</v>
      </c>
      <c r="G186" s="22" t="s">
        <v>1805</v>
      </c>
      <c r="K186" s="22">
        <v>0</v>
      </c>
    </row>
    <row r="187" spans="1:11" x14ac:dyDescent="0.25">
      <c r="A187" s="22">
        <v>101</v>
      </c>
      <c r="B187" s="22">
        <v>3000000707</v>
      </c>
      <c r="C187" t="s">
        <v>1618</v>
      </c>
      <c r="D187" s="22" t="s">
        <v>12</v>
      </c>
      <c r="G187" s="22" t="s">
        <v>1805</v>
      </c>
      <c r="K187" s="22">
        <v>0</v>
      </c>
    </row>
  </sheetData>
  <autoFilter ref="A4:J187"/>
  <mergeCells count="3">
    <mergeCell ref="A1:A2"/>
    <mergeCell ref="B1:B2"/>
    <mergeCell ref="C1:C2"/>
  </mergeCells>
  <conditionalFormatting sqref="A1:XFD1048576">
    <cfRule type="expression" dxfId="361" priority="1" stopIfTrue="1">
      <formula>AND(ROW()&gt;=1,ROW()&lt;=1048576)</formula>
    </cfRule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S1048572"/>
  <sheetViews>
    <sheetView workbookViewId="0">
      <pane xSplit="5" ySplit="4" topLeftCell="AC5" activePane="bottomRight" state="frozen"/>
      <selection pane="topRight" activeCell="F1" sqref="F1"/>
      <selection pane="bottomLeft" activeCell="A5" sqref="A5"/>
      <selection pane="bottomRight" activeCell="AO2" sqref="AO2"/>
    </sheetView>
  </sheetViews>
  <sheetFormatPr defaultRowHeight="15" x14ac:dyDescent="0.25"/>
  <cols>
    <col min="1" max="1" width="8" customWidth="1"/>
    <col min="2" max="2" width="15.7109375" customWidth="1"/>
    <col min="3" max="3" width="52.7109375" customWidth="1"/>
    <col min="4" max="4" width="8.140625" style="31" customWidth="1"/>
    <col min="5" max="5" width="8.140625" customWidth="1"/>
    <col min="6" max="30" width="12" customWidth="1"/>
    <col min="31" max="34" width="11.140625" customWidth="1"/>
    <col min="35" max="35" width="10.85546875" bestFit="1" customWidth="1"/>
    <col min="36" max="37" width="10.85546875" customWidth="1"/>
    <col min="38" max="38" width="11.140625" customWidth="1"/>
    <col min="39" max="41" width="11.140625" style="22" customWidth="1"/>
    <col min="42" max="42" width="9.140625" customWidth="1"/>
    <col min="43" max="43" width="9.140625" style="22"/>
  </cols>
  <sheetData>
    <row r="1" spans="1:45" ht="26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36</v>
      </c>
      <c r="E1" s="27" t="s">
        <v>188</v>
      </c>
      <c r="F1" s="26" t="s">
        <v>213</v>
      </c>
      <c r="G1" s="26" t="s">
        <v>213</v>
      </c>
      <c r="H1" s="26" t="s">
        <v>213</v>
      </c>
      <c r="I1" s="26" t="s">
        <v>213</v>
      </c>
      <c r="J1" s="26" t="s">
        <v>213</v>
      </c>
      <c r="K1" s="26" t="s">
        <v>213</v>
      </c>
      <c r="L1" s="26" t="s">
        <v>213</v>
      </c>
      <c r="M1" s="26" t="s">
        <v>213</v>
      </c>
      <c r="N1" s="26" t="s">
        <v>213</v>
      </c>
      <c r="O1" s="26" t="s">
        <v>213</v>
      </c>
      <c r="P1" s="26" t="s">
        <v>213</v>
      </c>
      <c r="Q1" s="26" t="s">
        <v>213</v>
      </c>
      <c r="R1" s="26" t="s">
        <v>213</v>
      </c>
      <c r="S1" s="26" t="s">
        <v>213</v>
      </c>
      <c r="T1" s="26" t="s">
        <v>213</v>
      </c>
      <c r="U1" s="26" t="s">
        <v>213</v>
      </c>
      <c r="V1" s="26" t="s">
        <v>213</v>
      </c>
      <c r="W1" s="26" t="s">
        <v>213</v>
      </c>
      <c r="X1" s="26" t="s">
        <v>213</v>
      </c>
      <c r="Y1" s="26" t="s">
        <v>213</v>
      </c>
      <c r="Z1" s="26" t="s">
        <v>213</v>
      </c>
      <c r="AA1" s="26" t="s">
        <v>213</v>
      </c>
      <c r="AB1" s="26" t="s">
        <v>213</v>
      </c>
      <c r="AC1" s="26" t="s">
        <v>213</v>
      </c>
      <c r="AD1" s="26" t="s">
        <v>213</v>
      </c>
      <c r="AE1" s="26" t="s">
        <v>213</v>
      </c>
      <c r="AF1" s="26" t="s">
        <v>213</v>
      </c>
      <c r="AG1" s="26" t="s">
        <v>213</v>
      </c>
      <c r="AH1" s="26" t="s">
        <v>213</v>
      </c>
      <c r="AI1" s="26" t="s">
        <v>213</v>
      </c>
      <c r="AJ1" s="26" t="s">
        <v>213</v>
      </c>
      <c r="AK1" s="26" t="s">
        <v>213</v>
      </c>
      <c r="AL1" s="26" t="s">
        <v>213</v>
      </c>
      <c r="AM1" s="26" t="s">
        <v>213</v>
      </c>
      <c r="AN1" s="26" t="s">
        <v>213</v>
      </c>
      <c r="AO1" s="26" t="s">
        <v>213</v>
      </c>
      <c r="AP1" s="26"/>
      <c r="AQ1" s="25" t="s">
        <v>177</v>
      </c>
      <c r="AS1" s="68"/>
    </row>
    <row r="2" spans="1:45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214</v>
      </c>
      <c r="G2" s="25" t="s">
        <v>215</v>
      </c>
      <c r="H2" s="25" t="s">
        <v>216</v>
      </c>
      <c r="I2" s="25" t="s">
        <v>217</v>
      </c>
      <c r="J2" s="25" t="s">
        <v>218</v>
      </c>
      <c r="K2" s="25" t="s">
        <v>219</v>
      </c>
      <c r="L2" s="25" t="s">
        <v>220</v>
      </c>
      <c r="M2" s="25" t="s">
        <v>221</v>
      </c>
      <c r="N2" s="25" t="s">
        <v>222</v>
      </c>
      <c r="O2" s="25" t="s">
        <v>223</v>
      </c>
      <c r="P2" s="25" t="s">
        <v>224</v>
      </c>
      <c r="Q2" s="25" t="s">
        <v>225</v>
      </c>
      <c r="R2" s="25" t="s">
        <v>226</v>
      </c>
      <c r="S2" s="25" t="s">
        <v>227</v>
      </c>
      <c r="T2" s="25" t="s">
        <v>228</v>
      </c>
      <c r="U2" s="25" t="s">
        <v>214</v>
      </c>
      <c r="V2" s="25" t="s">
        <v>229</v>
      </c>
      <c r="W2" s="25" t="s">
        <v>230</v>
      </c>
      <c r="X2" s="25" t="s">
        <v>231</v>
      </c>
      <c r="Y2" s="25" t="s">
        <v>232</v>
      </c>
      <c r="Z2" s="25" t="s">
        <v>233</v>
      </c>
      <c r="AA2" s="25" t="s">
        <v>234</v>
      </c>
      <c r="AB2" s="25" t="s">
        <v>235</v>
      </c>
      <c r="AC2" s="25" t="s">
        <v>236</v>
      </c>
      <c r="AD2" s="25" t="s">
        <v>237</v>
      </c>
      <c r="AE2" s="41">
        <v>6191</v>
      </c>
      <c r="AF2" s="41">
        <v>6192</v>
      </c>
      <c r="AG2" s="41">
        <v>6193</v>
      </c>
      <c r="AH2" s="41">
        <v>6196</v>
      </c>
      <c r="AI2" s="25" t="s">
        <v>604</v>
      </c>
      <c r="AJ2" s="41">
        <v>6198</v>
      </c>
      <c r="AK2" s="41">
        <v>6199</v>
      </c>
      <c r="AL2" s="25" t="s">
        <v>1322</v>
      </c>
      <c r="AM2" s="25" t="s">
        <v>1547</v>
      </c>
      <c r="AN2" s="25" t="s">
        <v>1617</v>
      </c>
      <c r="AO2" s="25" t="s">
        <v>1678</v>
      </c>
      <c r="AP2" s="25"/>
      <c r="AQ2" s="25"/>
    </row>
    <row r="3" spans="1:45" s="28" customFormat="1" ht="12" customHeight="1" x14ac:dyDescent="0.25">
      <c r="A3" s="26"/>
      <c r="B3" s="26"/>
      <c r="C3" s="26" t="s">
        <v>10</v>
      </c>
      <c r="D3" s="26"/>
      <c r="E3" s="38" t="s">
        <v>187</v>
      </c>
      <c r="F3" s="27">
        <v>45717</v>
      </c>
      <c r="G3" s="34">
        <v>45195</v>
      </c>
      <c r="H3" s="34">
        <v>45225</v>
      </c>
      <c r="I3" s="34">
        <v>45232</v>
      </c>
      <c r="J3" s="34">
        <v>45237</v>
      </c>
      <c r="K3" s="34">
        <v>45238</v>
      </c>
      <c r="L3" s="34">
        <v>45417</v>
      </c>
      <c r="M3" s="34">
        <v>45496</v>
      </c>
      <c r="N3" s="34">
        <v>45130</v>
      </c>
      <c r="O3" s="34">
        <v>45500</v>
      </c>
      <c r="P3" s="34">
        <v>45685</v>
      </c>
      <c r="Q3" s="34">
        <v>45696</v>
      </c>
      <c r="R3" s="34">
        <v>45699</v>
      </c>
      <c r="S3" s="34">
        <v>45706</v>
      </c>
      <c r="T3" s="34">
        <v>45713</v>
      </c>
      <c r="U3" s="34">
        <v>45717</v>
      </c>
      <c r="V3" s="34">
        <v>45738</v>
      </c>
      <c r="W3" s="34">
        <v>45750</v>
      </c>
      <c r="X3" s="34">
        <v>45757</v>
      </c>
      <c r="Y3" s="34">
        <v>45766</v>
      </c>
      <c r="Z3" s="34">
        <v>45795</v>
      </c>
      <c r="AA3" s="34">
        <v>45841</v>
      </c>
      <c r="AB3" s="34">
        <v>45814</v>
      </c>
      <c r="AC3" s="34">
        <v>45859</v>
      </c>
      <c r="AD3" s="34">
        <v>45880</v>
      </c>
      <c r="AE3" s="34">
        <v>45883</v>
      </c>
      <c r="AF3" s="34">
        <v>45883</v>
      </c>
      <c r="AG3" s="34">
        <v>45895</v>
      </c>
      <c r="AH3" s="34">
        <v>45915</v>
      </c>
      <c r="AI3" s="34">
        <v>45933</v>
      </c>
      <c r="AJ3" s="34">
        <v>45959</v>
      </c>
      <c r="AK3" s="34">
        <v>45960</v>
      </c>
      <c r="AL3" s="34">
        <v>45971</v>
      </c>
      <c r="AM3" s="34">
        <v>46023</v>
      </c>
      <c r="AN3" s="34">
        <v>46032</v>
      </c>
      <c r="AO3" s="34">
        <v>46040</v>
      </c>
      <c r="AP3" s="27"/>
      <c r="AQ3" s="27"/>
    </row>
    <row r="4" spans="1:45" s="69" customFormat="1" ht="12" customHeight="1" x14ac:dyDescent="0.25">
      <c r="R4" s="69" t="s">
        <v>470</v>
      </c>
      <c r="Y4" s="69" t="s">
        <v>471</v>
      </c>
      <c r="Z4" s="69" t="s">
        <v>469</v>
      </c>
      <c r="AI4" s="69" t="s">
        <v>1523</v>
      </c>
      <c r="AJ4" s="69" t="s">
        <v>1635</v>
      </c>
      <c r="AK4" s="69" t="s">
        <v>1324</v>
      </c>
      <c r="AL4" s="69" t="s">
        <v>1323</v>
      </c>
      <c r="AM4" s="69" t="s">
        <v>1634</v>
      </c>
      <c r="AN4" s="69" t="s">
        <v>1633</v>
      </c>
      <c r="AQ4" s="32"/>
    </row>
    <row r="5" spans="1:45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22"/>
      <c r="AF5" s="22"/>
      <c r="AG5" s="35"/>
      <c r="AH5" s="35"/>
      <c r="AI5" s="35"/>
      <c r="AJ5" s="35"/>
      <c r="AK5" s="35"/>
      <c r="AL5" s="35"/>
      <c r="AM5" s="35"/>
      <c r="AN5" s="35"/>
      <c r="AO5" s="35"/>
      <c r="AQ5" s="22">
        <v>0</v>
      </c>
    </row>
    <row r="6" spans="1:45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22"/>
      <c r="AF6" s="22"/>
      <c r="AG6" s="35"/>
      <c r="AH6" s="35"/>
      <c r="AI6" s="35"/>
      <c r="AJ6" s="35"/>
      <c r="AK6" s="35"/>
      <c r="AL6" s="35"/>
      <c r="AM6" s="35"/>
      <c r="AN6" s="35"/>
      <c r="AO6" s="35"/>
      <c r="AQ6" s="22">
        <v>0</v>
      </c>
    </row>
    <row r="7" spans="1:45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22"/>
      <c r="AF7" s="22"/>
      <c r="AG7" s="35"/>
      <c r="AH7" s="35"/>
      <c r="AI7" s="35"/>
      <c r="AJ7" s="35"/>
      <c r="AK7" s="35"/>
      <c r="AL7" s="35"/>
      <c r="AM7" s="35"/>
      <c r="AN7" s="35"/>
      <c r="AO7" s="35"/>
      <c r="AQ7" s="22">
        <v>0</v>
      </c>
    </row>
    <row r="8" spans="1:45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>
        <v>2</v>
      </c>
      <c r="P8" s="35"/>
      <c r="Q8" s="35"/>
      <c r="R8" s="35"/>
      <c r="S8" s="35"/>
      <c r="T8" s="35"/>
      <c r="U8" s="35"/>
      <c r="V8" s="35">
        <v>2</v>
      </c>
      <c r="W8" s="35"/>
      <c r="X8" s="35">
        <v>4</v>
      </c>
      <c r="Y8" s="35"/>
      <c r="Z8" s="35"/>
      <c r="AA8" s="35"/>
      <c r="AB8" s="35">
        <v>5</v>
      </c>
      <c r="AC8" s="35">
        <v>5</v>
      </c>
      <c r="AD8" s="35"/>
      <c r="AE8" s="22"/>
      <c r="AF8" s="22">
        <v>10</v>
      </c>
      <c r="AG8" s="35"/>
      <c r="AH8" s="35"/>
      <c r="AI8" s="35"/>
      <c r="AJ8" s="35"/>
      <c r="AK8" s="35"/>
      <c r="AL8" s="35"/>
      <c r="AM8" s="35"/>
      <c r="AN8" s="35"/>
      <c r="AO8" s="35"/>
      <c r="AQ8" s="22">
        <v>28</v>
      </c>
    </row>
    <row r="9" spans="1:45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F9" s="35"/>
      <c r="G9" s="35"/>
      <c r="H9" s="35"/>
      <c r="I9" s="35"/>
      <c r="J9" s="35">
        <v>8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>
        <v>2</v>
      </c>
      <c r="W9" s="35"/>
      <c r="X9" s="35"/>
      <c r="Y9" s="35"/>
      <c r="Z9" s="35"/>
      <c r="AA9" s="35"/>
      <c r="AB9" s="35"/>
      <c r="AC9" s="35"/>
      <c r="AD9" s="35"/>
      <c r="AE9" s="22"/>
      <c r="AF9" s="22">
        <v>5</v>
      </c>
      <c r="AG9" s="35"/>
      <c r="AH9" s="35"/>
      <c r="AI9" s="35"/>
      <c r="AJ9" s="35"/>
      <c r="AK9" s="35"/>
      <c r="AL9" s="35">
        <v>10</v>
      </c>
      <c r="AM9" s="35"/>
      <c r="AN9" s="35">
        <v>10</v>
      </c>
      <c r="AO9" s="35"/>
      <c r="AQ9" s="22">
        <v>35</v>
      </c>
    </row>
    <row r="10" spans="1:45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F10" s="36">
        <v>10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22"/>
      <c r="AF10" s="22"/>
      <c r="AG10" s="36"/>
      <c r="AH10" s="36"/>
      <c r="AI10" s="36"/>
      <c r="AJ10" s="36"/>
      <c r="AK10" s="36"/>
      <c r="AL10" s="36"/>
      <c r="AM10" s="36"/>
      <c r="AN10" s="36"/>
      <c r="AO10" s="36"/>
      <c r="AQ10" s="22">
        <v>10</v>
      </c>
    </row>
    <row r="11" spans="1:45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F11" s="36">
        <v>10</v>
      </c>
      <c r="G11" s="36"/>
      <c r="H11" s="36"/>
      <c r="I11" s="36"/>
      <c r="J11" s="36"/>
      <c r="K11" s="36"/>
      <c r="L11" s="36"/>
      <c r="M11" s="36"/>
      <c r="N11" s="36"/>
      <c r="O11" s="36">
        <v>4</v>
      </c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22"/>
      <c r="AF11" s="22"/>
      <c r="AG11" s="36"/>
      <c r="AH11" s="36"/>
      <c r="AI11" s="36"/>
      <c r="AJ11" s="36"/>
      <c r="AK11" s="36"/>
      <c r="AL11" s="36"/>
      <c r="AM11" s="36"/>
      <c r="AN11" s="36">
        <v>10</v>
      </c>
      <c r="AO11" s="36"/>
      <c r="AQ11" s="22">
        <v>24</v>
      </c>
    </row>
    <row r="12" spans="1:45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22"/>
      <c r="AF12" s="22"/>
      <c r="AG12" s="36"/>
      <c r="AH12" s="36"/>
      <c r="AI12" s="36"/>
      <c r="AJ12" s="36"/>
      <c r="AK12" s="36"/>
      <c r="AL12" s="36"/>
      <c r="AM12" s="36"/>
      <c r="AN12" s="36"/>
      <c r="AO12" s="36"/>
      <c r="AQ12" s="22">
        <v>0</v>
      </c>
    </row>
    <row r="13" spans="1:45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22"/>
      <c r="AF13" s="22"/>
      <c r="AG13" s="36"/>
      <c r="AH13" s="36"/>
      <c r="AI13" s="36"/>
      <c r="AJ13" s="36"/>
      <c r="AK13" s="36"/>
      <c r="AL13" s="36"/>
      <c r="AM13" s="36"/>
      <c r="AN13" s="36"/>
      <c r="AO13" s="36"/>
      <c r="AQ13" s="22">
        <v>0</v>
      </c>
    </row>
    <row r="14" spans="1:45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>
        <v>15</v>
      </c>
      <c r="AB14" s="36"/>
      <c r="AC14" s="36"/>
      <c r="AD14" s="36"/>
      <c r="AE14" s="22"/>
      <c r="AF14" s="22"/>
      <c r="AG14" s="36"/>
      <c r="AH14" s="36"/>
      <c r="AI14" s="36"/>
      <c r="AJ14" s="36"/>
      <c r="AK14" s="36"/>
      <c r="AL14" s="36"/>
      <c r="AM14" s="36"/>
      <c r="AN14" s="36"/>
      <c r="AO14" s="36"/>
      <c r="AQ14" s="22">
        <v>15</v>
      </c>
    </row>
    <row r="15" spans="1:45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22"/>
      <c r="AF15" s="22"/>
      <c r="AG15" s="36"/>
      <c r="AH15" s="36"/>
      <c r="AI15" s="36"/>
      <c r="AJ15" s="36"/>
      <c r="AK15" s="36"/>
      <c r="AL15" s="36"/>
      <c r="AM15" s="36"/>
      <c r="AN15" s="36"/>
      <c r="AO15" s="36"/>
      <c r="AQ15" s="22">
        <v>0</v>
      </c>
    </row>
    <row r="16" spans="1:45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F16" s="36"/>
      <c r="G16" s="36">
        <v>1</v>
      </c>
      <c r="H16" s="36">
        <v>5</v>
      </c>
      <c r="I16" s="36"/>
      <c r="J16" s="36">
        <v>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22"/>
      <c r="AF16" s="22"/>
      <c r="AG16" s="36"/>
      <c r="AH16" s="36"/>
      <c r="AI16" s="36"/>
      <c r="AJ16" s="36"/>
      <c r="AK16" s="36"/>
      <c r="AL16" s="36"/>
      <c r="AM16" s="36"/>
      <c r="AN16" s="36"/>
      <c r="AO16" s="36"/>
      <c r="AQ16" s="22">
        <v>7</v>
      </c>
    </row>
    <row r="17" spans="1:43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22"/>
      <c r="AF17" s="22"/>
      <c r="AG17" s="36"/>
      <c r="AH17" s="36"/>
      <c r="AI17" s="36"/>
      <c r="AJ17" s="36"/>
      <c r="AK17" s="36"/>
      <c r="AL17" s="36"/>
      <c r="AM17" s="36"/>
      <c r="AN17" s="36"/>
      <c r="AO17" s="36"/>
      <c r="AQ17" s="22">
        <v>0</v>
      </c>
    </row>
    <row r="18" spans="1:43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22"/>
      <c r="AF18" s="22"/>
      <c r="AG18" s="36"/>
      <c r="AH18" s="36"/>
      <c r="AI18" s="36"/>
      <c r="AJ18" s="36"/>
      <c r="AK18" s="36"/>
      <c r="AL18" s="36"/>
      <c r="AM18" s="36"/>
      <c r="AN18" s="36"/>
      <c r="AO18" s="36"/>
      <c r="AQ18" s="22">
        <v>0</v>
      </c>
    </row>
    <row r="19" spans="1:43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F19" s="36">
        <v>50</v>
      </c>
      <c r="G19" s="36">
        <v>17</v>
      </c>
      <c r="H19" s="36">
        <v>10</v>
      </c>
      <c r="I19" s="36">
        <v>22</v>
      </c>
      <c r="J19" s="36">
        <v>50</v>
      </c>
      <c r="K19" s="36"/>
      <c r="L19" s="36"/>
      <c r="M19" s="36"/>
      <c r="N19" s="36">
        <v>50</v>
      </c>
      <c r="O19" s="36"/>
      <c r="P19" s="36"/>
      <c r="Q19" s="36"/>
      <c r="R19" s="36">
        <v>30</v>
      </c>
      <c r="S19" s="36"/>
      <c r="T19" s="36"/>
      <c r="U19" s="36"/>
      <c r="V19" s="36"/>
      <c r="W19" s="36"/>
      <c r="X19" s="36"/>
      <c r="Y19" s="36"/>
      <c r="Z19" s="36">
        <v>100</v>
      </c>
      <c r="AA19" s="36"/>
      <c r="AB19" s="36"/>
      <c r="AC19" s="36"/>
      <c r="AD19" s="36">
        <v>200</v>
      </c>
      <c r="AE19" s="22"/>
      <c r="AF19" s="22">
        <v>200</v>
      </c>
      <c r="AG19" s="36"/>
      <c r="AH19" s="36"/>
      <c r="AI19" s="36"/>
      <c r="AJ19" s="36"/>
      <c r="AK19" s="36"/>
      <c r="AL19" s="36"/>
      <c r="AM19" s="36"/>
      <c r="AN19" s="36"/>
      <c r="AO19" s="36"/>
      <c r="AQ19" s="22">
        <v>729</v>
      </c>
    </row>
    <row r="20" spans="1:43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F20" s="36"/>
      <c r="G20" s="36"/>
      <c r="H20" s="36">
        <v>35</v>
      </c>
      <c r="I20" s="36">
        <v>8</v>
      </c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>
        <v>50</v>
      </c>
      <c r="W20" s="36"/>
      <c r="X20" s="36">
        <v>100</v>
      </c>
      <c r="Y20" s="36"/>
      <c r="Z20" s="36"/>
      <c r="AA20" s="36"/>
      <c r="AB20" s="36"/>
      <c r="AC20" s="36"/>
      <c r="AD20" s="36"/>
      <c r="AE20" s="22"/>
      <c r="AF20" s="22"/>
      <c r="AG20" s="36"/>
      <c r="AH20" s="36"/>
      <c r="AI20" s="36"/>
      <c r="AJ20" s="36"/>
      <c r="AK20" s="36"/>
      <c r="AL20" s="36">
        <v>100</v>
      </c>
      <c r="AM20" s="36"/>
      <c r="AN20" s="36">
        <v>200</v>
      </c>
      <c r="AO20" s="36"/>
      <c r="AQ20" s="22">
        <v>493</v>
      </c>
    </row>
    <row r="21" spans="1:43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F21" s="36"/>
      <c r="G21" s="36"/>
      <c r="H21" s="36"/>
      <c r="I21" s="36"/>
      <c r="J21" s="36"/>
      <c r="K21" s="36"/>
      <c r="L21" s="36">
        <v>50</v>
      </c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>
        <v>50</v>
      </c>
      <c r="X21" s="36"/>
      <c r="Y21" s="36"/>
      <c r="Z21" s="36"/>
      <c r="AA21" s="36"/>
      <c r="AB21" s="36"/>
      <c r="AC21" s="36"/>
      <c r="AD21" s="36"/>
      <c r="AE21" s="22"/>
      <c r="AF21" s="22">
        <v>50</v>
      </c>
      <c r="AG21" s="36"/>
      <c r="AH21" s="36"/>
      <c r="AI21" s="36">
        <v>100</v>
      </c>
      <c r="AJ21" s="36"/>
      <c r="AK21" s="36"/>
      <c r="AL21" s="36"/>
      <c r="AM21" s="36"/>
      <c r="AN21" s="36"/>
      <c r="AO21" s="36"/>
      <c r="AQ21" s="22">
        <v>250</v>
      </c>
    </row>
    <row r="22" spans="1:43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22"/>
      <c r="AF22" s="22"/>
      <c r="AG22" s="36"/>
      <c r="AH22" s="36"/>
      <c r="AI22" s="36"/>
      <c r="AJ22" s="36"/>
      <c r="AK22" s="36"/>
      <c r="AL22" s="36"/>
      <c r="AM22" s="36"/>
      <c r="AN22" s="36"/>
      <c r="AO22" s="36"/>
      <c r="AQ22" s="22">
        <v>0</v>
      </c>
    </row>
    <row r="23" spans="1:43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22"/>
      <c r="AF23" s="22"/>
      <c r="AG23" s="36"/>
      <c r="AH23" s="36"/>
      <c r="AI23" s="36"/>
      <c r="AJ23" s="36"/>
      <c r="AK23" s="36"/>
      <c r="AL23" s="36"/>
      <c r="AM23" s="36"/>
      <c r="AN23" s="36"/>
      <c r="AO23" s="36"/>
      <c r="AQ23" s="22">
        <v>0</v>
      </c>
    </row>
    <row r="24" spans="1:43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22"/>
      <c r="AF24" s="22"/>
      <c r="AG24" s="36"/>
      <c r="AH24" s="36"/>
      <c r="AI24" s="36"/>
      <c r="AJ24" s="36"/>
      <c r="AK24" s="36"/>
      <c r="AL24" s="36"/>
      <c r="AM24" s="36"/>
      <c r="AN24" s="36"/>
      <c r="AO24" s="36"/>
      <c r="AQ24" s="22">
        <v>0</v>
      </c>
    </row>
    <row r="25" spans="1:43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22"/>
      <c r="AF25" s="22"/>
      <c r="AG25" s="36"/>
      <c r="AH25" s="36"/>
      <c r="AI25" s="36"/>
      <c r="AJ25" s="36"/>
      <c r="AK25" s="36"/>
      <c r="AL25" s="36"/>
      <c r="AM25" s="36"/>
      <c r="AN25" s="36"/>
      <c r="AO25" s="36"/>
      <c r="AQ25" s="22">
        <v>0</v>
      </c>
    </row>
    <row r="26" spans="1:43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22"/>
      <c r="AF26" s="22"/>
      <c r="AG26" s="36"/>
      <c r="AH26" s="36"/>
      <c r="AI26" s="36"/>
      <c r="AJ26" s="36"/>
      <c r="AK26" s="36"/>
      <c r="AL26" s="36"/>
      <c r="AM26" s="36"/>
      <c r="AN26" s="36"/>
      <c r="AO26" s="36"/>
      <c r="AQ26" s="22">
        <v>0</v>
      </c>
    </row>
    <row r="27" spans="1:43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F27" s="36">
        <v>100</v>
      </c>
      <c r="G27" s="36">
        <v>50</v>
      </c>
      <c r="H27" s="36">
        <v>60</v>
      </c>
      <c r="I27" s="36">
        <v>216</v>
      </c>
      <c r="J27" s="36">
        <v>100</v>
      </c>
      <c r="K27" s="36"/>
      <c r="L27" s="36"/>
      <c r="M27" s="36"/>
      <c r="N27" s="36">
        <v>250</v>
      </c>
      <c r="O27" s="36"/>
      <c r="P27" s="36"/>
      <c r="Q27" s="36"/>
      <c r="R27" s="36"/>
      <c r="S27" s="36"/>
      <c r="T27" s="36">
        <v>350</v>
      </c>
      <c r="U27" s="36"/>
      <c r="V27" s="36"/>
      <c r="W27" s="36">
        <v>800</v>
      </c>
      <c r="X27" s="36"/>
      <c r="Y27" s="36">
        <v>100</v>
      </c>
      <c r="Z27" s="36"/>
      <c r="AA27" s="36"/>
      <c r="AB27" s="36"/>
      <c r="AC27" s="36"/>
      <c r="AD27" s="36"/>
      <c r="AE27" s="22"/>
      <c r="AF27" s="22">
        <v>448</v>
      </c>
      <c r="AG27" s="36"/>
      <c r="AH27" s="36"/>
      <c r="AI27" s="36"/>
      <c r="AJ27" s="36"/>
      <c r="AK27" s="36"/>
      <c r="AL27" s="36">
        <v>544</v>
      </c>
      <c r="AM27" s="36"/>
      <c r="AN27" s="36"/>
      <c r="AO27" s="36"/>
      <c r="AQ27" s="22">
        <v>3018</v>
      </c>
    </row>
    <row r="28" spans="1:43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22"/>
      <c r="AF28" s="22"/>
      <c r="AG28" s="36"/>
      <c r="AH28" s="36"/>
      <c r="AI28" s="36"/>
      <c r="AJ28" s="36"/>
      <c r="AK28" s="36"/>
      <c r="AL28" s="36"/>
      <c r="AM28" s="36"/>
      <c r="AN28" s="36"/>
      <c r="AO28" s="36"/>
      <c r="AQ28" s="22">
        <v>0</v>
      </c>
    </row>
    <row r="29" spans="1:43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22"/>
      <c r="AF29" s="22"/>
      <c r="AG29" s="36"/>
      <c r="AH29" s="36"/>
      <c r="AI29" s="36"/>
      <c r="AJ29" s="36"/>
      <c r="AK29" s="36"/>
      <c r="AL29" s="36"/>
      <c r="AM29" s="36"/>
      <c r="AN29" s="36"/>
      <c r="AO29" s="36"/>
      <c r="AQ29" s="22">
        <v>0</v>
      </c>
    </row>
    <row r="30" spans="1:43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22"/>
      <c r="AF30" s="22"/>
      <c r="AG30" s="36"/>
      <c r="AH30" s="36"/>
      <c r="AI30" s="36"/>
      <c r="AJ30" s="36"/>
      <c r="AK30" s="36"/>
      <c r="AL30" s="36"/>
      <c r="AM30" s="36"/>
      <c r="AN30" s="36"/>
      <c r="AO30" s="36"/>
      <c r="AQ30" s="22">
        <v>0</v>
      </c>
    </row>
    <row r="31" spans="1:43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22"/>
      <c r="AF31" s="22"/>
      <c r="AG31" s="36"/>
      <c r="AH31" s="36"/>
      <c r="AI31" s="36"/>
      <c r="AJ31" s="36"/>
      <c r="AK31" s="36"/>
      <c r="AL31" s="36"/>
      <c r="AM31" s="36"/>
      <c r="AN31" s="36"/>
      <c r="AO31" s="36"/>
      <c r="AQ31" s="22">
        <v>0</v>
      </c>
    </row>
    <row r="32" spans="1:43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F32" s="36">
        <v>4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>
        <v>4</v>
      </c>
      <c r="Z32" s="36"/>
      <c r="AA32" s="36"/>
      <c r="AB32" s="36"/>
      <c r="AC32" s="36"/>
      <c r="AD32" s="36"/>
      <c r="AE32" s="22"/>
      <c r="AF32" s="22"/>
      <c r="AG32" s="36"/>
      <c r="AH32" s="36"/>
      <c r="AI32" s="36"/>
      <c r="AJ32" s="36"/>
      <c r="AK32" s="36"/>
      <c r="AL32" s="36"/>
      <c r="AM32" s="36"/>
      <c r="AN32" s="36"/>
      <c r="AO32" s="36"/>
      <c r="AQ32" s="22">
        <v>8</v>
      </c>
    </row>
    <row r="33" spans="1:43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22"/>
      <c r="AF33" s="22"/>
      <c r="AG33" s="36"/>
      <c r="AH33" s="36"/>
      <c r="AI33" s="36"/>
      <c r="AJ33" s="36"/>
      <c r="AK33" s="36"/>
      <c r="AL33" s="36"/>
      <c r="AM33" s="36"/>
      <c r="AN33" s="36"/>
      <c r="AO33" s="36"/>
      <c r="AQ33" s="22">
        <v>0</v>
      </c>
    </row>
    <row r="34" spans="1:43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22"/>
      <c r="AF34" s="22"/>
      <c r="AG34" s="36"/>
      <c r="AH34" s="36"/>
      <c r="AI34" s="36"/>
      <c r="AJ34" s="36"/>
      <c r="AK34" s="36"/>
      <c r="AL34" s="36"/>
      <c r="AM34" s="36"/>
      <c r="AN34" s="36"/>
      <c r="AO34" s="36"/>
      <c r="AQ34" s="22">
        <v>0</v>
      </c>
    </row>
    <row r="35" spans="1:43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22"/>
      <c r="AF35" s="22"/>
      <c r="AG35" s="36"/>
      <c r="AH35" s="36"/>
      <c r="AI35" s="36"/>
      <c r="AJ35" s="36"/>
      <c r="AK35" s="36"/>
      <c r="AL35" s="36"/>
      <c r="AM35" s="36"/>
      <c r="AN35" s="36"/>
      <c r="AO35" s="36"/>
      <c r="AQ35" s="22">
        <v>0</v>
      </c>
    </row>
    <row r="36" spans="1:43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22"/>
      <c r="AF36" s="22"/>
      <c r="AG36" s="36"/>
      <c r="AH36" s="36"/>
      <c r="AI36" s="36"/>
      <c r="AJ36" s="36"/>
      <c r="AK36" s="36"/>
      <c r="AL36" s="36"/>
      <c r="AM36" s="36"/>
      <c r="AN36" s="36"/>
      <c r="AO36" s="36"/>
      <c r="AQ36" s="22">
        <v>0</v>
      </c>
    </row>
    <row r="37" spans="1:43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22"/>
      <c r="AF37" s="22"/>
      <c r="AG37" s="36"/>
      <c r="AH37" s="36"/>
      <c r="AI37" s="36"/>
      <c r="AJ37" s="36"/>
      <c r="AK37" s="36"/>
      <c r="AL37" s="36"/>
      <c r="AM37" s="36"/>
      <c r="AN37" s="36"/>
      <c r="AO37" s="36"/>
      <c r="AQ37" s="22">
        <v>0</v>
      </c>
    </row>
    <row r="38" spans="1:43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>
        <v>600</v>
      </c>
      <c r="AA38" s="36"/>
      <c r="AB38" s="36"/>
      <c r="AC38" s="36"/>
      <c r="AD38" s="36"/>
      <c r="AE38" s="22"/>
      <c r="AF38" s="22"/>
      <c r="AG38" s="36"/>
      <c r="AH38" s="36"/>
      <c r="AI38" s="36"/>
      <c r="AJ38" s="36"/>
      <c r="AK38" s="36"/>
      <c r="AL38" s="36"/>
      <c r="AM38" s="36"/>
      <c r="AN38" s="36"/>
      <c r="AO38" s="36"/>
      <c r="AQ38" s="22">
        <v>600</v>
      </c>
    </row>
    <row r="39" spans="1:43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22"/>
      <c r="AF39" s="22"/>
      <c r="AG39" s="36"/>
      <c r="AH39" s="36"/>
      <c r="AI39" s="36"/>
      <c r="AJ39" s="36"/>
      <c r="AK39" s="36"/>
      <c r="AL39" s="36"/>
      <c r="AM39" s="36"/>
      <c r="AN39" s="36"/>
      <c r="AO39" s="36"/>
      <c r="AQ39" s="22">
        <v>0</v>
      </c>
    </row>
    <row r="40" spans="1:43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22"/>
      <c r="AF40" s="22"/>
      <c r="AG40" s="36">
        <v>325</v>
      </c>
      <c r="AH40" s="36"/>
      <c r="AI40" s="36"/>
      <c r="AJ40" s="36">
        <v>82</v>
      </c>
      <c r="AK40" s="36"/>
      <c r="AL40" s="36"/>
      <c r="AM40" s="36"/>
      <c r="AN40" s="36"/>
      <c r="AO40" s="36"/>
      <c r="AQ40" s="22">
        <v>407</v>
      </c>
    </row>
    <row r="41" spans="1:43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22"/>
      <c r="AF41" s="22"/>
      <c r="AG41" s="36"/>
      <c r="AH41" s="36"/>
      <c r="AI41" s="36"/>
      <c r="AJ41" s="36"/>
      <c r="AK41" s="36"/>
      <c r="AL41" s="36"/>
      <c r="AM41" s="36"/>
      <c r="AN41" s="36"/>
      <c r="AO41" s="36"/>
      <c r="AQ41" s="22">
        <v>0</v>
      </c>
    </row>
    <row r="42" spans="1:43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22"/>
      <c r="AF42" s="22"/>
      <c r="AG42" s="36"/>
      <c r="AH42" s="36"/>
      <c r="AI42" s="36"/>
      <c r="AJ42" s="36"/>
      <c r="AK42" s="36"/>
      <c r="AL42" s="36"/>
      <c r="AM42" s="36"/>
      <c r="AN42" s="36"/>
      <c r="AO42" s="36"/>
      <c r="AQ42" s="22">
        <v>0</v>
      </c>
    </row>
    <row r="43" spans="1:43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22"/>
      <c r="AF43" s="22"/>
      <c r="AG43" s="36"/>
      <c r="AH43" s="36"/>
      <c r="AI43" s="36"/>
      <c r="AJ43" s="36"/>
      <c r="AK43" s="36"/>
      <c r="AL43" s="36"/>
      <c r="AM43" s="36"/>
      <c r="AN43" s="36"/>
      <c r="AO43" s="36"/>
      <c r="AQ43" s="22">
        <v>0</v>
      </c>
    </row>
    <row r="44" spans="1:43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22"/>
      <c r="AF44" s="22"/>
      <c r="AG44" s="36"/>
      <c r="AH44" s="36"/>
      <c r="AI44" s="36"/>
      <c r="AJ44" s="36"/>
      <c r="AK44" s="36"/>
      <c r="AL44" s="36"/>
      <c r="AM44" s="36"/>
      <c r="AN44" s="36"/>
      <c r="AO44" s="36"/>
      <c r="AQ44" s="22">
        <v>0</v>
      </c>
    </row>
    <row r="45" spans="1:43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22"/>
      <c r="AF45" s="22"/>
      <c r="AG45" s="36"/>
      <c r="AH45" s="36"/>
      <c r="AI45" s="36"/>
      <c r="AJ45" s="36"/>
      <c r="AK45" s="36"/>
      <c r="AL45" s="36"/>
      <c r="AM45" s="36"/>
      <c r="AN45" s="36"/>
      <c r="AO45" s="36"/>
      <c r="AQ45" s="22">
        <v>0</v>
      </c>
    </row>
    <row r="46" spans="1:43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22"/>
      <c r="AF46" s="22"/>
      <c r="AG46" s="36"/>
      <c r="AH46" s="36"/>
      <c r="AI46" s="36"/>
      <c r="AJ46" s="36"/>
      <c r="AK46" s="36"/>
      <c r="AL46" s="36"/>
      <c r="AM46" s="36"/>
      <c r="AN46" s="36"/>
      <c r="AO46" s="36"/>
      <c r="AQ46" s="22">
        <v>0</v>
      </c>
    </row>
    <row r="47" spans="1:43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22"/>
      <c r="AF47" s="22"/>
      <c r="AG47" s="36"/>
      <c r="AH47" s="36"/>
      <c r="AI47" s="36"/>
      <c r="AJ47" s="36"/>
      <c r="AK47" s="36"/>
      <c r="AL47" s="36"/>
      <c r="AM47" s="36"/>
      <c r="AN47" s="36"/>
      <c r="AO47" s="36"/>
      <c r="AQ47" s="22">
        <v>0</v>
      </c>
    </row>
    <row r="48" spans="1:43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22"/>
      <c r="AF48" s="22"/>
      <c r="AG48" s="36"/>
      <c r="AH48" s="36"/>
      <c r="AI48" s="36"/>
      <c r="AJ48" s="36"/>
      <c r="AK48" s="36"/>
      <c r="AL48" s="36"/>
      <c r="AM48" s="36"/>
      <c r="AN48" s="36"/>
      <c r="AO48" s="36"/>
      <c r="AQ48" s="22">
        <v>0</v>
      </c>
    </row>
    <row r="49" spans="1:43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22"/>
      <c r="AF49" s="22"/>
      <c r="AG49" s="36"/>
      <c r="AH49" s="36"/>
      <c r="AI49" s="36"/>
      <c r="AJ49" s="36"/>
      <c r="AK49" s="36"/>
      <c r="AL49" s="36"/>
      <c r="AM49" s="36"/>
      <c r="AN49" s="36"/>
      <c r="AO49" s="36"/>
      <c r="AQ49" s="22">
        <v>0</v>
      </c>
    </row>
    <row r="50" spans="1:43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22"/>
      <c r="AF50" s="22"/>
      <c r="AG50" s="36"/>
      <c r="AH50" s="36"/>
      <c r="AI50" s="36"/>
      <c r="AJ50" s="36"/>
      <c r="AK50" s="36"/>
      <c r="AL50" s="36"/>
      <c r="AM50" s="36"/>
      <c r="AN50" s="36"/>
      <c r="AO50" s="36"/>
      <c r="AQ50" s="22">
        <v>0</v>
      </c>
    </row>
    <row r="51" spans="1:43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22"/>
      <c r="AF51" s="22"/>
      <c r="AG51" s="36"/>
      <c r="AH51" s="36"/>
      <c r="AI51" s="36"/>
      <c r="AJ51" s="36"/>
      <c r="AK51" s="36"/>
      <c r="AL51" s="36"/>
      <c r="AM51" s="36"/>
      <c r="AN51" s="36"/>
      <c r="AO51" s="36"/>
      <c r="AQ51" s="22">
        <v>0</v>
      </c>
    </row>
    <row r="52" spans="1:43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22"/>
      <c r="AF52" s="22"/>
      <c r="AG52" s="36"/>
      <c r="AH52" s="36"/>
      <c r="AI52" s="36"/>
      <c r="AJ52" s="36"/>
      <c r="AK52" s="36"/>
      <c r="AL52" s="36"/>
      <c r="AM52" s="36"/>
      <c r="AN52" s="36"/>
      <c r="AO52" s="36"/>
      <c r="AQ52" s="22">
        <v>0</v>
      </c>
    </row>
    <row r="53" spans="1:43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22"/>
      <c r="AF53" s="22"/>
      <c r="AG53" s="36"/>
      <c r="AH53" s="36"/>
      <c r="AI53" s="36"/>
      <c r="AJ53" s="36"/>
      <c r="AK53" s="36"/>
      <c r="AL53" s="36"/>
      <c r="AM53" s="36"/>
      <c r="AN53" s="36"/>
      <c r="AO53" s="36"/>
      <c r="AQ53" s="22">
        <v>0</v>
      </c>
    </row>
    <row r="54" spans="1:43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F54" s="36">
        <v>100</v>
      </c>
      <c r="G54" s="36"/>
      <c r="H54" s="36">
        <v>20</v>
      </c>
      <c r="I54" s="36">
        <v>50</v>
      </c>
      <c r="J54" s="36">
        <v>50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22">
        <v>200</v>
      </c>
      <c r="AF54" s="22"/>
      <c r="AG54" s="36"/>
      <c r="AH54" s="36"/>
      <c r="AI54" s="36"/>
      <c r="AJ54" s="36"/>
      <c r="AK54" s="36"/>
      <c r="AL54" s="36">
        <v>1150</v>
      </c>
      <c r="AM54" s="36"/>
      <c r="AN54" s="36"/>
      <c r="AO54" s="36"/>
      <c r="AQ54" s="22">
        <v>1570</v>
      </c>
    </row>
    <row r="55" spans="1:43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22"/>
      <c r="AF55" s="22"/>
      <c r="AG55" s="36"/>
      <c r="AH55" s="36"/>
      <c r="AI55" s="36"/>
      <c r="AJ55" s="36"/>
      <c r="AK55" s="36"/>
      <c r="AL55" s="36"/>
      <c r="AM55" s="36"/>
      <c r="AN55" s="36"/>
      <c r="AO55" s="36"/>
      <c r="AQ55" s="22">
        <v>0</v>
      </c>
    </row>
    <row r="56" spans="1:43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22"/>
      <c r="AF56" s="22"/>
      <c r="AG56" s="36"/>
      <c r="AH56" s="36"/>
      <c r="AI56" s="36"/>
      <c r="AJ56" s="36"/>
      <c r="AK56" s="36"/>
      <c r="AL56" s="36"/>
      <c r="AM56" s="36"/>
      <c r="AN56" s="36"/>
      <c r="AO56" s="36"/>
      <c r="AQ56" s="22">
        <v>0</v>
      </c>
    </row>
    <row r="57" spans="1:43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22"/>
      <c r="AF57" s="22"/>
      <c r="AG57" s="36"/>
      <c r="AH57" s="36"/>
      <c r="AI57" s="36"/>
      <c r="AJ57" s="36"/>
      <c r="AK57" s="36"/>
      <c r="AL57" s="36"/>
      <c r="AM57" s="36"/>
      <c r="AN57" s="36"/>
      <c r="AO57" s="36"/>
      <c r="AQ57" s="22">
        <v>0</v>
      </c>
    </row>
    <row r="58" spans="1:43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22"/>
      <c r="AF58" s="22"/>
      <c r="AG58" s="36"/>
      <c r="AH58" s="36"/>
      <c r="AI58" s="36"/>
      <c r="AJ58" s="36"/>
      <c r="AK58" s="36"/>
      <c r="AL58" s="36"/>
      <c r="AM58" s="36"/>
      <c r="AN58" s="36"/>
      <c r="AO58" s="36"/>
      <c r="AQ58" s="22">
        <v>0</v>
      </c>
    </row>
    <row r="59" spans="1:43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22"/>
      <c r="AF59" s="22"/>
      <c r="AG59" s="36"/>
      <c r="AH59" s="36"/>
      <c r="AI59" s="36"/>
      <c r="AJ59" s="36"/>
      <c r="AK59" s="36"/>
      <c r="AL59" s="36"/>
      <c r="AM59" s="36"/>
      <c r="AN59" s="36"/>
      <c r="AO59" s="36"/>
      <c r="AQ59" s="22">
        <v>0</v>
      </c>
    </row>
    <row r="60" spans="1:43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22"/>
      <c r="AF60" s="22"/>
      <c r="AG60" s="36"/>
      <c r="AH60" s="36"/>
      <c r="AI60" s="36"/>
      <c r="AJ60" s="36"/>
      <c r="AK60" s="36"/>
      <c r="AL60" s="36"/>
      <c r="AM60" s="36"/>
      <c r="AN60" s="36"/>
      <c r="AO60" s="36"/>
      <c r="AQ60" s="22">
        <v>0</v>
      </c>
    </row>
    <row r="61" spans="1:43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22"/>
      <c r="AF61" s="22"/>
      <c r="AG61" s="36"/>
      <c r="AH61" s="36"/>
      <c r="AI61" s="36"/>
      <c r="AJ61" s="36"/>
      <c r="AK61" s="36"/>
      <c r="AL61" s="36"/>
      <c r="AM61" s="36"/>
      <c r="AN61" s="36"/>
      <c r="AO61" s="36"/>
      <c r="AQ61" s="22">
        <v>0</v>
      </c>
    </row>
    <row r="62" spans="1:43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22"/>
      <c r="AF62" s="22"/>
      <c r="AG62" s="36"/>
      <c r="AH62" s="36"/>
      <c r="AI62" s="36"/>
      <c r="AJ62" s="36"/>
      <c r="AK62" s="36"/>
      <c r="AL62" s="36"/>
      <c r="AM62" s="36"/>
      <c r="AN62" s="36"/>
      <c r="AO62" s="36"/>
      <c r="AQ62" s="22">
        <v>0</v>
      </c>
    </row>
    <row r="63" spans="1:43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22"/>
      <c r="AF63" s="22"/>
      <c r="AG63" s="36"/>
      <c r="AH63" s="36"/>
      <c r="AI63" s="36"/>
      <c r="AJ63" s="36"/>
      <c r="AK63" s="36"/>
      <c r="AL63" s="36"/>
      <c r="AM63" s="36"/>
      <c r="AN63" s="36"/>
      <c r="AO63" s="36"/>
      <c r="AQ63" s="22">
        <v>0</v>
      </c>
    </row>
    <row r="64" spans="1:43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22"/>
      <c r="AF64" s="22"/>
      <c r="AG64" s="36"/>
      <c r="AH64" s="36"/>
      <c r="AI64" s="36"/>
      <c r="AJ64" s="36"/>
      <c r="AK64" s="36"/>
      <c r="AL64" s="36"/>
      <c r="AM64" s="36"/>
      <c r="AN64" s="36"/>
      <c r="AO64" s="36"/>
      <c r="AQ64" s="22">
        <v>0</v>
      </c>
    </row>
    <row r="65" spans="1:43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22"/>
      <c r="AF65" s="22"/>
      <c r="AG65" s="36"/>
      <c r="AH65" s="36"/>
      <c r="AI65" s="36"/>
      <c r="AJ65" s="36"/>
      <c r="AK65" s="36"/>
      <c r="AL65" s="36"/>
      <c r="AM65" s="36"/>
      <c r="AN65" s="36"/>
      <c r="AO65" s="36"/>
      <c r="AQ65" s="22">
        <v>0</v>
      </c>
    </row>
    <row r="66" spans="1:43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22"/>
      <c r="AF66" s="22"/>
      <c r="AG66" s="36"/>
      <c r="AH66" s="36"/>
      <c r="AI66" s="36"/>
      <c r="AJ66" s="36"/>
      <c r="AK66" s="36"/>
      <c r="AL66" s="36"/>
      <c r="AM66" s="36"/>
      <c r="AN66" s="36"/>
      <c r="AO66" s="36"/>
      <c r="AQ66" s="22">
        <v>0</v>
      </c>
    </row>
    <row r="67" spans="1:43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F67" s="36">
        <v>50</v>
      </c>
      <c r="G67" s="36"/>
      <c r="H67" s="36"/>
      <c r="I67" s="36"/>
      <c r="J67" s="36"/>
      <c r="K67" s="36"/>
      <c r="L67" s="36"/>
      <c r="M67" s="36">
        <v>28</v>
      </c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22">
        <v>100</v>
      </c>
      <c r="AF67" s="22"/>
      <c r="AG67" s="36"/>
      <c r="AH67" s="36"/>
      <c r="AI67" s="36"/>
      <c r="AJ67" s="36"/>
      <c r="AK67" s="36"/>
      <c r="AL67" s="36"/>
      <c r="AM67" s="36"/>
      <c r="AN67" s="36">
        <v>100</v>
      </c>
      <c r="AO67" s="36"/>
      <c r="AQ67" s="22">
        <v>278</v>
      </c>
    </row>
    <row r="68" spans="1:43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22"/>
      <c r="AF68" s="22"/>
      <c r="AG68" s="36"/>
      <c r="AH68" s="36"/>
      <c r="AI68" s="36"/>
      <c r="AJ68" s="36"/>
      <c r="AK68" s="36"/>
      <c r="AL68" s="36"/>
      <c r="AM68" s="36"/>
      <c r="AN68" s="36"/>
      <c r="AO68" s="36"/>
      <c r="AQ68" s="22">
        <v>0</v>
      </c>
    </row>
    <row r="69" spans="1:43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F69" s="36"/>
      <c r="G69" s="36"/>
      <c r="H69" s="36"/>
      <c r="I69" s="36"/>
      <c r="J69" s="36"/>
      <c r="K69" s="36"/>
      <c r="L69" s="36"/>
      <c r="M69" s="36">
        <v>25</v>
      </c>
      <c r="N69" s="36"/>
      <c r="O69" s="36">
        <v>7</v>
      </c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22">
        <v>100</v>
      </c>
      <c r="AF69" s="22"/>
      <c r="AG69" s="36"/>
      <c r="AH69" s="36"/>
      <c r="AI69" s="36"/>
      <c r="AJ69" s="36"/>
      <c r="AK69" s="36"/>
      <c r="AL69" s="36">
        <v>45</v>
      </c>
      <c r="AM69" s="36"/>
      <c r="AN69" s="36">
        <v>100</v>
      </c>
      <c r="AO69" s="36"/>
      <c r="AQ69" s="22">
        <v>277</v>
      </c>
    </row>
    <row r="70" spans="1:43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F70" s="36">
        <v>50</v>
      </c>
      <c r="G70" s="36"/>
      <c r="H70" s="36"/>
      <c r="I70" s="36"/>
      <c r="J70" s="36"/>
      <c r="K70" s="36"/>
      <c r="L70" s="36"/>
      <c r="M70" s="36">
        <v>50</v>
      </c>
      <c r="N70" s="36"/>
      <c r="O70" s="36"/>
      <c r="P70" s="36"/>
      <c r="Q70" s="36"/>
      <c r="R70" s="36"/>
      <c r="S70" s="36"/>
      <c r="T70" s="36"/>
      <c r="U70" s="36"/>
      <c r="V70" s="36">
        <v>100</v>
      </c>
      <c r="W70" s="36"/>
      <c r="X70" s="36"/>
      <c r="Y70" s="36"/>
      <c r="Z70" s="36"/>
      <c r="AA70" s="36"/>
      <c r="AB70" s="36"/>
      <c r="AC70" s="36"/>
      <c r="AD70" s="36"/>
      <c r="AE70" s="22">
        <v>100</v>
      </c>
      <c r="AF70" s="22"/>
      <c r="AG70" s="36"/>
      <c r="AH70" s="36"/>
      <c r="AI70" s="36"/>
      <c r="AJ70" s="36"/>
      <c r="AK70" s="36"/>
      <c r="AL70" s="36">
        <v>200</v>
      </c>
      <c r="AM70" s="36"/>
      <c r="AN70" s="36"/>
      <c r="AO70" s="36"/>
      <c r="AQ70" s="22">
        <v>500</v>
      </c>
    </row>
    <row r="71" spans="1:43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22">
        <v>100</v>
      </c>
      <c r="AF71" s="22"/>
      <c r="AG71" s="36"/>
      <c r="AH71" s="36"/>
      <c r="AI71" s="36"/>
      <c r="AJ71" s="36"/>
      <c r="AK71" s="36"/>
      <c r="AL71" s="36"/>
      <c r="AM71" s="36"/>
      <c r="AN71" s="36"/>
      <c r="AO71" s="36"/>
      <c r="AQ71" s="22">
        <v>100</v>
      </c>
    </row>
    <row r="72" spans="1:43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F72" s="36">
        <v>100</v>
      </c>
      <c r="G72" s="36"/>
      <c r="H72" s="36"/>
      <c r="I72" s="36"/>
      <c r="J72" s="36"/>
      <c r="K72" s="36"/>
      <c r="L72" s="36"/>
      <c r="M72" s="36">
        <v>150</v>
      </c>
      <c r="N72" s="36"/>
      <c r="O72" s="36"/>
      <c r="P72" s="36"/>
      <c r="Q72" s="36"/>
      <c r="R72" s="36"/>
      <c r="S72" s="36">
        <v>100</v>
      </c>
      <c r="T72" s="36">
        <v>125</v>
      </c>
      <c r="U72" s="36"/>
      <c r="V72" s="36">
        <v>100</v>
      </c>
      <c r="W72" s="36"/>
      <c r="X72" s="36"/>
      <c r="Y72" s="36"/>
      <c r="Z72" s="36"/>
      <c r="AA72" s="36"/>
      <c r="AB72" s="36"/>
      <c r="AC72" s="36"/>
      <c r="AD72" s="36"/>
      <c r="AE72" s="22">
        <v>100</v>
      </c>
      <c r="AF72" s="22"/>
      <c r="AG72" s="36"/>
      <c r="AH72" s="36"/>
      <c r="AI72" s="36"/>
      <c r="AJ72" s="36"/>
      <c r="AK72" s="36"/>
      <c r="AL72" s="36">
        <v>200</v>
      </c>
      <c r="AM72" s="36"/>
      <c r="AN72" s="36">
        <v>200</v>
      </c>
      <c r="AO72" s="36"/>
      <c r="AQ72" s="22">
        <v>1075</v>
      </c>
    </row>
    <row r="73" spans="1:43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22"/>
      <c r="AF73" s="22"/>
      <c r="AG73" s="36"/>
      <c r="AH73" s="36"/>
      <c r="AI73" s="36"/>
      <c r="AJ73" s="36"/>
      <c r="AK73" s="36"/>
      <c r="AL73" s="36"/>
      <c r="AM73" s="36"/>
      <c r="AN73" s="36"/>
      <c r="AO73" s="36"/>
      <c r="AQ73" s="22">
        <v>0</v>
      </c>
    </row>
    <row r="74" spans="1:43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22"/>
      <c r="AF74" s="22"/>
      <c r="AG74" s="36"/>
      <c r="AH74" s="36"/>
      <c r="AI74" s="36"/>
      <c r="AJ74" s="36"/>
      <c r="AK74" s="36"/>
      <c r="AL74" s="36"/>
      <c r="AM74" s="36"/>
      <c r="AN74" s="36"/>
      <c r="AO74" s="36"/>
      <c r="AQ74" s="22">
        <v>0</v>
      </c>
    </row>
    <row r="75" spans="1:43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>
        <v>200</v>
      </c>
      <c r="AA75" s="36"/>
      <c r="AB75" s="36"/>
      <c r="AC75" s="36"/>
      <c r="AD75" s="36"/>
      <c r="AE75" s="22"/>
      <c r="AF75" s="22"/>
      <c r="AG75" s="36"/>
      <c r="AH75" s="36"/>
      <c r="AI75" s="36"/>
      <c r="AJ75" s="36"/>
      <c r="AK75" s="36">
        <v>120</v>
      </c>
      <c r="AL75" s="36"/>
      <c r="AM75" s="36"/>
      <c r="AN75" s="36"/>
      <c r="AO75" s="36"/>
      <c r="AQ75" s="22">
        <v>320</v>
      </c>
    </row>
    <row r="76" spans="1:43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22"/>
      <c r="AF76" s="22"/>
      <c r="AG76" s="36"/>
      <c r="AH76" s="36"/>
      <c r="AI76" s="36"/>
      <c r="AJ76" s="36"/>
      <c r="AK76" s="36"/>
      <c r="AL76" s="36"/>
      <c r="AM76" s="36"/>
      <c r="AN76" s="36"/>
      <c r="AO76" s="36"/>
      <c r="AQ76" s="22">
        <v>0</v>
      </c>
    </row>
    <row r="77" spans="1:43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22"/>
      <c r="AF77" s="22"/>
      <c r="AG77" s="36"/>
      <c r="AH77" s="36"/>
      <c r="AI77" s="36"/>
      <c r="AJ77" s="36"/>
      <c r="AK77" s="36"/>
      <c r="AL77" s="36"/>
      <c r="AM77" s="36"/>
      <c r="AN77" s="36"/>
      <c r="AO77" s="36"/>
      <c r="AQ77" s="22">
        <v>0</v>
      </c>
    </row>
    <row r="78" spans="1:43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22"/>
      <c r="AF78" s="22"/>
      <c r="AG78" s="36"/>
      <c r="AH78" s="36"/>
      <c r="AI78" s="36"/>
      <c r="AJ78" s="36"/>
      <c r="AK78" s="36"/>
      <c r="AL78" s="36"/>
      <c r="AM78" s="36"/>
      <c r="AN78" s="36"/>
      <c r="AO78" s="36"/>
      <c r="AQ78" s="22">
        <v>0</v>
      </c>
    </row>
    <row r="79" spans="1:43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22"/>
      <c r="AF79" s="22"/>
      <c r="AG79" s="36"/>
      <c r="AH79" s="36"/>
      <c r="AI79" s="36"/>
      <c r="AJ79" s="36"/>
      <c r="AK79" s="36"/>
      <c r="AL79" s="36"/>
      <c r="AM79" s="36"/>
      <c r="AN79" s="36"/>
      <c r="AO79" s="36"/>
      <c r="AQ79" s="22">
        <v>0</v>
      </c>
    </row>
    <row r="80" spans="1:43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F80" s="36"/>
      <c r="G80" s="36"/>
      <c r="H80" s="36"/>
      <c r="I80" s="36"/>
      <c r="J80" s="36"/>
      <c r="K80" s="36"/>
      <c r="L80" s="36"/>
      <c r="M80" s="36">
        <v>130</v>
      </c>
      <c r="N80" s="36"/>
      <c r="O80" s="36">
        <v>20</v>
      </c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22"/>
      <c r="AF80" s="22"/>
      <c r="AG80" s="36"/>
      <c r="AH80" s="36"/>
      <c r="AI80" s="36"/>
      <c r="AJ80" s="36"/>
      <c r="AK80" s="36"/>
      <c r="AL80" s="36"/>
      <c r="AM80" s="36"/>
      <c r="AN80" s="36"/>
      <c r="AO80" s="36"/>
      <c r="AQ80" s="22">
        <v>150</v>
      </c>
    </row>
    <row r="81" spans="1:43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F81" s="36"/>
      <c r="G81" s="36"/>
      <c r="H81" s="36"/>
      <c r="I81" s="36"/>
      <c r="J81" s="36"/>
      <c r="K81" s="36"/>
      <c r="L81" s="36"/>
      <c r="M81" s="36">
        <v>71</v>
      </c>
      <c r="N81" s="36"/>
      <c r="O81" s="36">
        <v>105</v>
      </c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22"/>
      <c r="AF81" s="22"/>
      <c r="AG81" s="36"/>
      <c r="AH81" s="36"/>
      <c r="AI81" s="36"/>
      <c r="AJ81" s="36"/>
      <c r="AK81" s="36"/>
      <c r="AL81" s="36"/>
      <c r="AM81" s="36"/>
      <c r="AN81" s="36"/>
      <c r="AO81" s="36"/>
      <c r="AQ81" s="22">
        <v>176</v>
      </c>
    </row>
    <row r="82" spans="1:43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22"/>
      <c r="AF82" s="22"/>
      <c r="AG82" s="36"/>
      <c r="AH82" s="36"/>
      <c r="AI82" s="36"/>
      <c r="AJ82" s="36"/>
      <c r="AK82" s="36"/>
      <c r="AL82" s="36"/>
      <c r="AM82" s="36"/>
      <c r="AN82" s="36"/>
      <c r="AO82" s="36"/>
      <c r="AQ82" s="22">
        <v>0</v>
      </c>
    </row>
    <row r="83" spans="1:43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F83" s="36"/>
      <c r="G83" s="36"/>
      <c r="H83" s="36"/>
      <c r="I83" s="36"/>
      <c r="J83" s="36"/>
      <c r="K83" s="36"/>
      <c r="L83" s="36"/>
      <c r="M83" s="36">
        <v>78</v>
      </c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22"/>
      <c r="AF83" s="22"/>
      <c r="AG83" s="36"/>
      <c r="AH83" s="36"/>
      <c r="AI83" s="36"/>
      <c r="AJ83" s="36"/>
      <c r="AK83" s="36"/>
      <c r="AL83" s="36"/>
      <c r="AM83" s="36"/>
      <c r="AN83" s="36"/>
      <c r="AO83" s="36"/>
      <c r="AQ83" s="22">
        <v>78</v>
      </c>
    </row>
    <row r="84" spans="1:43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22"/>
      <c r="AF84" s="22"/>
      <c r="AG84" s="36"/>
      <c r="AH84" s="36"/>
      <c r="AI84" s="36"/>
      <c r="AJ84" s="36"/>
      <c r="AK84" s="36"/>
      <c r="AL84" s="36"/>
      <c r="AM84" s="36"/>
      <c r="AN84" s="36"/>
      <c r="AO84" s="36"/>
      <c r="AQ84" s="22">
        <v>0</v>
      </c>
    </row>
    <row r="85" spans="1:43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22"/>
      <c r="AF85" s="22"/>
      <c r="AG85" s="36"/>
      <c r="AH85" s="36"/>
      <c r="AI85" s="36"/>
      <c r="AJ85" s="36"/>
      <c r="AK85" s="36"/>
      <c r="AL85" s="36"/>
      <c r="AM85" s="36"/>
      <c r="AN85" s="36"/>
      <c r="AO85" s="36"/>
      <c r="AQ85" s="22">
        <v>0</v>
      </c>
    </row>
    <row r="86" spans="1:43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22"/>
      <c r="AF86" s="22"/>
      <c r="AG86" s="36"/>
      <c r="AH86" s="36"/>
      <c r="AI86" s="36"/>
      <c r="AJ86" s="36"/>
      <c r="AK86" s="36"/>
      <c r="AL86" s="36"/>
      <c r="AM86" s="36"/>
      <c r="AN86" s="36"/>
      <c r="AO86" s="36"/>
      <c r="AQ86" s="22">
        <v>0</v>
      </c>
    </row>
    <row r="87" spans="1:43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F87" s="36"/>
      <c r="G87" s="36"/>
      <c r="H87" s="36"/>
      <c r="I87" s="36"/>
      <c r="J87" s="36"/>
      <c r="K87" s="36"/>
      <c r="L87" s="36"/>
      <c r="M87" s="36">
        <v>200</v>
      </c>
      <c r="N87" s="36"/>
      <c r="O87" s="36"/>
      <c r="P87" s="36"/>
      <c r="Q87" s="36"/>
      <c r="R87" s="36">
        <v>35</v>
      </c>
      <c r="S87" s="36"/>
      <c r="T87" s="36">
        <v>60</v>
      </c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22"/>
      <c r="AF87" s="22"/>
      <c r="AG87" s="36"/>
      <c r="AH87" s="36"/>
      <c r="AI87" s="36"/>
      <c r="AJ87" s="36"/>
      <c r="AK87" s="36"/>
      <c r="AL87" s="36"/>
      <c r="AM87" s="36"/>
      <c r="AN87" s="36"/>
      <c r="AO87" s="36"/>
      <c r="AQ87" s="22">
        <v>295</v>
      </c>
    </row>
    <row r="88" spans="1:43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>
        <v>30</v>
      </c>
      <c r="S88" s="36"/>
      <c r="T88" s="36"/>
      <c r="U88" s="36"/>
      <c r="V88" s="36"/>
      <c r="W88" s="36"/>
      <c r="X88" s="36"/>
      <c r="Y88" s="36">
        <v>60</v>
      </c>
      <c r="Z88" s="36"/>
      <c r="AA88" s="36"/>
      <c r="AB88" s="36"/>
      <c r="AC88" s="36"/>
      <c r="AD88" s="36"/>
      <c r="AE88" s="22"/>
      <c r="AF88" s="22"/>
      <c r="AG88" s="36"/>
      <c r="AH88" s="36"/>
      <c r="AI88" s="36"/>
      <c r="AJ88" s="36"/>
      <c r="AK88" s="36"/>
      <c r="AL88" s="36"/>
      <c r="AM88" s="36"/>
      <c r="AN88" s="36"/>
      <c r="AO88" s="36"/>
      <c r="AQ88" s="22">
        <v>90</v>
      </c>
    </row>
    <row r="89" spans="1:43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22"/>
      <c r="AF89" s="22"/>
      <c r="AG89" s="36"/>
      <c r="AH89" s="36"/>
      <c r="AI89" s="36"/>
      <c r="AJ89" s="36"/>
      <c r="AK89" s="36"/>
      <c r="AL89" s="36"/>
      <c r="AM89" s="36"/>
      <c r="AN89" s="36"/>
      <c r="AO89" s="36"/>
      <c r="AQ89" s="22">
        <v>0</v>
      </c>
    </row>
    <row r="90" spans="1:43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22"/>
      <c r="AF90" s="22"/>
      <c r="AG90" s="36"/>
      <c r="AH90" s="36"/>
      <c r="AI90" s="36"/>
      <c r="AJ90" s="36"/>
      <c r="AK90" s="36"/>
      <c r="AL90" s="36"/>
      <c r="AM90" s="36"/>
      <c r="AN90" s="36"/>
      <c r="AO90" s="36"/>
      <c r="AQ90" s="22">
        <v>0</v>
      </c>
    </row>
    <row r="91" spans="1:43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22"/>
      <c r="AF91" s="22"/>
      <c r="AG91" s="36"/>
      <c r="AH91" s="36"/>
      <c r="AI91" s="36"/>
      <c r="AJ91" s="36"/>
      <c r="AK91" s="36"/>
      <c r="AL91" s="36"/>
      <c r="AM91" s="36"/>
      <c r="AN91" s="36"/>
      <c r="AO91" s="36"/>
      <c r="AQ91" s="22">
        <v>0</v>
      </c>
    </row>
    <row r="92" spans="1:43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22"/>
      <c r="AF92" s="22"/>
      <c r="AG92" s="36"/>
      <c r="AH92" s="36"/>
      <c r="AI92" s="36"/>
      <c r="AJ92" s="36"/>
      <c r="AK92" s="36"/>
      <c r="AL92" s="36"/>
      <c r="AM92" s="36"/>
      <c r="AN92" s="36"/>
      <c r="AO92" s="36"/>
      <c r="AQ92" s="22">
        <v>0</v>
      </c>
    </row>
    <row r="93" spans="1:43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22"/>
      <c r="AF93" s="22"/>
      <c r="AG93" s="36">
        <v>250</v>
      </c>
      <c r="AH93" s="36"/>
      <c r="AI93" s="36"/>
      <c r="AJ93" s="36"/>
      <c r="AK93" s="36"/>
      <c r="AL93" s="36"/>
      <c r="AM93" s="36"/>
      <c r="AN93" s="36"/>
      <c r="AO93" s="36"/>
      <c r="AQ93" s="22">
        <v>250</v>
      </c>
    </row>
    <row r="94" spans="1:43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22"/>
      <c r="AF94" s="22"/>
      <c r="AG94" s="36"/>
      <c r="AH94" s="36"/>
      <c r="AI94" s="36"/>
      <c r="AJ94" s="36"/>
      <c r="AK94" s="36"/>
      <c r="AL94" s="36"/>
      <c r="AM94" s="36"/>
      <c r="AN94" s="36"/>
      <c r="AO94" s="36"/>
      <c r="AQ94" s="22">
        <v>0</v>
      </c>
    </row>
    <row r="95" spans="1:43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22"/>
      <c r="AF95" s="22"/>
      <c r="AG95" s="36"/>
      <c r="AH95" s="36"/>
      <c r="AI95" s="36"/>
      <c r="AJ95" s="36"/>
      <c r="AK95" s="36"/>
      <c r="AL95" s="36"/>
      <c r="AM95" s="36"/>
      <c r="AN95" s="36"/>
      <c r="AO95" s="36"/>
      <c r="AQ95" s="22">
        <v>0</v>
      </c>
    </row>
    <row r="96" spans="1:43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22"/>
      <c r="AF96" s="22"/>
      <c r="AG96" s="36"/>
      <c r="AH96" s="36"/>
      <c r="AI96" s="36"/>
      <c r="AJ96" s="36"/>
      <c r="AK96" s="36"/>
      <c r="AL96" s="36"/>
      <c r="AM96" s="36"/>
      <c r="AN96" s="36"/>
      <c r="AO96" s="36"/>
      <c r="AQ96" s="22">
        <v>0</v>
      </c>
    </row>
    <row r="97" spans="1:43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22"/>
      <c r="AF97" s="22"/>
      <c r="AG97" s="36"/>
      <c r="AH97" s="36"/>
      <c r="AI97" s="36"/>
      <c r="AJ97" s="36"/>
      <c r="AK97" s="36"/>
      <c r="AL97" s="36"/>
      <c r="AM97" s="36"/>
      <c r="AN97" s="36"/>
      <c r="AO97" s="36"/>
      <c r="AQ97" s="22">
        <v>0</v>
      </c>
    </row>
    <row r="98" spans="1:43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22"/>
      <c r="AF98" s="22"/>
      <c r="AG98" s="36">
        <v>120</v>
      </c>
      <c r="AH98" s="36"/>
      <c r="AI98" s="36"/>
      <c r="AJ98" s="36"/>
      <c r="AK98" s="36"/>
      <c r="AL98" s="36"/>
      <c r="AM98" s="36"/>
      <c r="AN98" s="36"/>
      <c r="AO98" s="36"/>
      <c r="AQ98" s="22">
        <v>120</v>
      </c>
    </row>
    <row r="99" spans="1:43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22"/>
      <c r="AF99" s="22"/>
      <c r="AG99" s="36">
        <v>10</v>
      </c>
      <c r="AH99" s="36"/>
      <c r="AI99" s="36"/>
      <c r="AJ99" s="36"/>
      <c r="AK99" s="36"/>
      <c r="AL99" s="36"/>
      <c r="AM99" s="36"/>
      <c r="AN99" s="36"/>
      <c r="AO99" s="36"/>
      <c r="AQ99" s="22">
        <v>10</v>
      </c>
    </row>
    <row r="100" spans="1:43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22"/>
      <c r="AF100" s="22"/>
      <c r="AG100" s="36"/>
      <c r="AH100" s="36"/>
      <c r="AI100" s="36"/>
      <c r="AJ100" s="36"/>
      <c r="AK100" s="36"/>
      <c r="AL100" s="36"/>
      <c r="AM100" s="36"/>
      <c r="AN100" s="36"/>
      <c r="AO100" s="36"/>
      <c r="AQ100" s="22">
        <v>0</v>
      </c>
    </row>
    <row r="101" spans="1:43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22"/>
      <c r="AF101" s="22"/>
      <c r="AG101" s="36"/>
      <c r="AH101" s="36"/>
      <c r="AI101" s="36"/>
      <c r="AJ101" s="36"/>
      <c r="AK101" s="36"/>
      <c r="AL101" s="36"/>
      <c r="AM101" s="36"/>
      <c r="AN101" s="36"/>
      <c r="AO101" s="36"/>
      <c r="AQ101" s="22">
        <v>0</v>
      </c>
    </row>
    <row r="102" spans="1:43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22"/>
      <c r="AF102" s="22"/>
      <c r="AG102" s="36"/>
      <c r="AH102" s="36"/>
      <c r="AI102" s="36"/>
      <c r="AJ102" s="36"/>
      <c r="AK102" s="36"/>
      <c r="AL102" s="36"/>
      <c r="AM102" s="36"/>
      <c r="AN102" s="36"/>
      <c r="AO102" s="36"/>
      <c r="AQ102" s="22">
        <v>0</v>
      </c>
    </row>
    <row r="103" spans="1:43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>
        <v>75</v>
      </c>
      <c r="AA103" s="36"/>
      <c r="AB103" s="36"/>
      <c r="AC103" s="36"/>
      <c r="AD103" s="36"/>
      <c r="AE103" s="22"/>
      <c r="AF103" s="22"/>
      <c r="AG103" s="36"/>
      <c r="AH103" s="36"/>
      <c r="AI103" s="36"/>
      <c r="AJ103" s="36"/>
      <c r="AK103" s="36"/>
      <c r="AL103" s="36"/>
      <c r="AM103" s="36"/>
      <c r="AN103" s="36"/>
      <c r="AO103" s="36"/>
      <c r="AQ103" s="22">
        <v>75</v>
      </c>
    </row>
    <row r="104" spans="1:43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22"/>
      <c r="AF104" s="22"/>
      <c r="AG104" s="36"/>
      <c r="AH104" s="36"/>
      <c r="AI104" s="36"/>
      <c r="AJ104" s="36"/>
      <c r="AK104" s="36"/>
      <c r="AL104" s="36"/>
      <c r="AM104" s="36"/>
      <c r="AN104" s="36"/>
      <c r="AO104" s="36"/>
      <c r="AQ104" s="22">
        <v>0</v>
      </c>
    </row>
    <row r="105" spans="1:43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22"/>
      <c r="AF105" s="22"/>
      <c r="AG105" s="36"/>
      <c r="AH105" s="36"/>
      <c r="AI105" s="36"/>
      <c r="AJ105" s="36"/>
      <c r="AK105" s="36"/>
      <c r="AL105" s="36"/>
      <c r="AM105" s="36"/>
      <c r="AN105" s="36"/>
      <c r="AO105" s="36"/>
      <c r="AQ105" s="22">
        <v>0</v>
      </c>
    </row>
    <row r="106" spans="1:43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F106" s="36">
        <v>150</v>
      </c>
      <c r="G106" s="36">
        <v>50</v>
      </c>
      <c r="H106" s="36">
        <v>100</v>
      </c>
      <c r="I106" s="36">
        <v>200</v>
      </c>
      <c r="J106" s="36">
        <v>100</v>
      </c>
      <c r="K106" s="36"/>
      <c r="L106" s="36"/>
      <c r="M106" s="36">
        <v>150</v>
      </c>
      <c r="N106" s="36"/>
      <c r="O106" s="36"/>
      <c r="P106" s="36"/>
      <c r="Q106" s="36"/>
      <c r="R106" s="36"/>
      <c r="S106" s="36"/>
      <c r="T106" s="36">
        <v>300</v>
      </c>
      <c r="U106" s="36"/>
      <c r="V106" s="36"/>
      <c r="W106" s="36">
        <v>1000</v>
      </c>
      <c r="X106" s="36"/>
      <c r="Y106" s="36">
        <v>250</v>
      </c>
      <c r="Z106" s="36"/>
      <c r="AA106" s="36"/>
      <c r="AB106" s="36"/>
      <c r="AC106" s="36"/>
      <c r="AD106" s="36"/>
      <c r="AE106" s="22">
        <v>500</v>
      </c>
      <c r="AF106" s="22"/>
      <c r="AG106" s="36"/>
      <c r="AH106" s="36"/>
      <c r="AI106" s="36"/>
      <c r="AJ106" s="36"/>
      <c r="AK106" s="36"/>
      <c r="AL106" s="36">
        <v>1000</v>
      </c>
      <c r="AM106" s="36"/>
      <c r="AN106" s="36"/>
      <c r="AO106" s="36"/>
      <c r="AQ106" s="22">
        <v>3800</v>
      </c>
    </row>
    <row r="107" spans="1:43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22"/>
      <c r="AF107" s="22"/>
      <c r="AG107" s="36"/>
      <c r="AH107" s="36"/>
      <c r="AI107" s="36"/>
      <c r="AJ107" s="36"/>
      <c r="AK107" s="36"/>
      <c r="AL107" s="36"/>
      <c r="AM107" s="36"/>
      <c r="AN107" s="36"/>
      <c r="AO107" s="36"/>
      <c r="AQ107" s="22">
        <v>0</v>
      </c>
    </row>
    <row r="108" spans="1:43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22"/>
      <c r="AF108" s="22"/>
      <c r="AG108" s="36"/>
      <c r="AH108" s="36"/>
      <c r="AI108" s="36"/>
      <c r="AJ108" s="36"/>
      <c r="AK108" s="36"/>
      <c r="AL108" s="36"/>
      <c r="AM108" s="36"/>
      <c r="AN108" s="36"/>
      <c r="AO108" s="36"/>
      <c r="AQ108" s="22">
        <v>0</v>
      </c>
    </row>
    <row r="109" spans="1:43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F109" s="36">
        <v>300</v>
      </c>
      <c r="G109" s="36">
        <v>120</v>
      </c>
      <c r="H109" s="36">
        <v>500</v>
      </c>
      <c r="I109" s="36">
        <v>540</v>
      </c>
      <c r="J109" s="36">
        <v>200</v>
      </c>
      <c r="K109" s="36"/>
      <c r="L109" s="36"/>
      <c r="M109" s="36">
        <v>200</v>
      </c>
      <c r="N109" s="36">
        <v>52</v>
      </c>
      <c r="O109" s="36">
        <v>28</v>
      </c>
      <c r="P109" s="36"/>
      <c r="Q109" s="36"/>
      <c r="R109" s="36"/>
      <c r="S109" s="36"/>
      <c r="T109" s="36"/>
      <c r="U109" s="36"/>
      <c r="V109" s="36"/>
      <c r="W109" s="36">
        <v>1000</v>
      </c>
      <c r="X109" s="36"/>
      <c r="Y109" s="36">
        <v>500</v>
      </c>
      <c r="Z109" s="36"/>
      <c r="AA109" s="36"/>
      <c r="AB109" s="36"/>
      <c r="AC109" s="36"/>
      <c r="AD109" s="36"/>
      <c r="AE109" s="22">
        <v>1956</v>
      </c>
      <c r="AF109" s="22"/>
      <c r="AG109" s="36"/>
      <c r="AH109" s="36"/>
      <c r="AI109" s="36"/>
      <c r="AJ109" s="36"/>
      <c r="AK109" s="36"/>
      <c r="AL109" s="36">
        <v>1871</v>
      </c>
      <c r="AM109" s="36"/>
      <c r="AN109" s="36">
        <v>60</v>
      </c>
      <c r="AO109" s="36"/>
      <c r="AQ109" s="22">
        <v>7327</v>
      </c>
    </row>
    <row r="110" spans="1:43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22"/>
      <c r="AF110" s="22"/>
      <c r="AG110" s="36"/>
      <c r="AH110" s="36"/>
      <c r="AI110" s="36"/>
      <c r="AJ110" s="36"/>
      <c r="AK110" s="36"/>
      <c r="AL110" s="36"/>
      <c r="AM110" s="36"/>
      <c r="AN110" s="36"/>
      <c r="AO110" s="36"/>
      <c r="AQ110" s="22">
        <v>0</v>
      </c>
    </row>
    <row r="111" spans="1:43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F111" s="36"/>
      <c r="G111" s="36"/>
      <c r="H111" s="36"/>
      <c r="I111" s="36"/>
      <c r="J111" s="36"/>
      <c r="K111" s="36"/>
      <c r="L111" s="36"/>
      <c r="M111" s="36"/>
      <c r="N111" s="36">
        <v>132</v>
      </c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22"/>
      <c r="AF111" s="22"/>
      <c r="AG111" s="36"/>
      <c r="AH111" s="36"/>
      <c r="AI111" s="36"/>
      <c r="AJ111" s="36"/>
      <c r="AK111" s="36"/>
      <c r="AL111" s="36"/>
      <c r="AM111" s="36"/>
      <c r="AN111" s="36"/>
      <c r="AO111" s="36"/>
      <c r="AQ111" s="22">
        <v>132</v>
      </c>
    </row>
    <row r="112" spans="1:43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F112" s="36"/>
      <c r="G112" s="36"/>
      <c r="H112" s="36"/>
      <c r="I112" s="36"/>
      <c r="J112" s="36"/>
      <c r="K112" s="36"/>
      <c r="L112" s="36"/>
      <c r="M112" s="36"/>
      <c r="N112" s="36">
        <v>103</v>
      </c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22"/>
      <c r="AF112" s="22"/>
      <c r="AG112" s="36"/>
      <c r="AH112" s="36"/>
      <c r="AI112" s="36"/>
      <c r="AJ112" s="36"/>
      <c r="AK112" s="36"/>
      <c r="AL112" s="36"/>
      <c r="AM112" s="36"/>
      <c r="AN112" s="36"/>
      <c r="AO112" s="36"/>
      <c r="AQ112" s="22">
        <v>103</v>
      </c>
    </row>
    <row r="113" spans="1:43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22"/>
      <c r="AF113" s="22"/>
      <c r="AG113" s="36"/>
      <c r="AH113" s="36"/>
      <c r="AI113" s="36"/>
      <c r="AJ113" s="36"/>
      <c r="AK113" s="36"/>
      <c r="AL113" s="36"/>
      <c r="AM113" s="36"/>
      <c r="AN113" s="36"/>
      <c r="AO113" s="36"/>
      <c r="AQ113" s="22">
        <v>0</v>
      </c>
    </row>
    <row r="114" spans="1:43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22"/>
      <c r="AF114" s="22"/>
      <c r="AG114" s="36"/>
      <c r="AH114" s="36"/>
      <c r="AI114" s="36"/>
      <c r="AJ114" s="36"/>
      <c r="AK114" s="36"/>
      <c r="AL114" s="36"/>
      <c r="AM114" s="36"/>
      <c r="AN114" s="36"/>
      <c r="AO114" s="36"/>
      <c r="AQ114" s="22">
        <v>0</v>
      </c>
    </row>
    <row r="115" spans="1:43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22"/>
      <c r="AF115" s="22"/>
      <c r="AG115" s="36"/>
      <c r="AH115" s="36"/>
      <c r="AI115" s="36"/>
      <c r="AJ115" s="36"/>
      <c r="AK115" s="36"/>
      <c r="AL115" s="36"/>
      <c r="AM115" s="36"/>
      <c r="AN115" s="36"/>
      <c r="AO115" s="36"/>
      <c r="AQ115" s="22">
        <v>0</v>
      </c>
    </row>
    <row r="116" spans="1:43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F116" s="36"/>
      <c r="G116" s="36"/>
      <c r="H116" s="36"/>
      <c r="I116" s="36"/>
      <c r="J116" s="36"/>
      <c r="K116" s="36"/>
      <c r="L116" s="36"/>
      <c r="M116" s="36">
        <v>45</v>
      </c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22"/>
      <c r="AF116" s="22"/>
      <c r="AG116" s="36"/>
      <c r="AH116" s="36"/>
      <c r="AI116" s="36"/>
      <c r="AJ116" s="36"/>
      <c r="AK116" s="36"/>
      <c r="AL116" s="36"/>
      <c r="AM116" s="36"/>
      <c r="AN116" s="36"/>
      <c r="AO116" s="36"/>
      <c r="AQ116" s="22">
        <v>45</v>
      </c>
    </row>
    <row r="117" spans="1:43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22"/>
      <c r="AF117" s="22"/>
      <c r="AG117" s="36"/>
      <c r="AH117" s="36"/>
      <c r="AI117" s="36"/>
      <c r="AJ117" s="36"/>
      <c r="AK117" s="36"/>
      <c r="AL117" s="36"/>
      <c r="AM117" s="36"/>
      <c r="AN117" s="36"/>
      <c r="AO117" s="36"/>
      <c r="AQ117" s="22">
        <v>0</v>
      </c>
    </row>
    <row r="118" spans="1:43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22"/>
      <c r="AF118" s="22"/>
      <c r="AG118" s="36"/>
      <c r="AH118" s="36"/>
      <c r="AI118" s="36"/>
      <c r="AJ118" s="36"/>
      <c r="AK118" s="36"/>
      <c r="AL118" s="36"/>
      <c r="AM118" s="36"/>
      <c r="AN118" s="36"/>
      <c r="AO118" s="36"/>
      <c r="AQ118" s="22">
        <v>0</v>
      </c>
    </row>
    <row r="119" spans="1:43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F119" s="36"/>
      <c r="G119" s="36"/>
      <c r="H119" s="36"/>
      <c r="I119" s="36"/>
      <c r="J119" s="36"/>
      <c r="K119" s="36"/>
      <c r="L119" s="36"/>
      <c r="M119" s="36">
        <v>194</v>
      </c>
      <c r="N119" s="36"/>
      <c r="O119" s="36"/>
      <c r="P119" s="36"/>
      <c r="Q119" s="36"/>
      <c r="R119" s="36">
        <v>30</v>
      </c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22"/>
      <c r="AF119" s="22"/>
      <c r="AG119" s="36"/>
      <c r="AH119" s="36"/>
      <c r="AI119" s="36"/>
      <c r="AJ119" s="36"/>
      <c r="AK119" s="36"/>
      <c r="AL119" s="36"/>
      <c r="AM119" s="36"/>
      <c r="AN119" s="36"/>
      <c r="AO119" s="36"/>
      <c r="AQ119" s="22">
        <v>224</v>
      </c>
    </row>
    <row r="120" spans="1:43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22"/>
      <c r="AF120" s="22"/>
      <c r="AG120" s="36"/>
      <c r="AH120" s="36"/>
      <c r="AI120" s="36"/>
      <c r="AJ120" s="36"/>
      <c r="AK120" s="36"/>
      <c r="AL120" s="36"/>
      <c r="AM120" s="36"/>
      <c r="AN120" s="36"/>
      <c r="AO120" s="36"/>
      <c r="AQ120" s="22">
        <v>0</v>
      </c>
    </row>
    <row r="121" spans="1:43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22"/>
      <c r="AF121" s="22"/>
      <c r="AG121" s="36"/>
      <c r="AH121" s="36"/>
      <c r="AI121" s="36"/>
      <c r="AJ121" s="36"/>
      <c r="AK121" s="36"/>
      <c r="AL121" s="36"/>
      <c r="AM121" s="36"/>
      <c r="AN121" s="36"/>
      <c r="AO121" s="36"/>
      <c r="AQ121" s="22">
        <v>0</v>
      </c>
    </row>
    <row r="122" spans="1:43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22"/>
      <c r="AF122" s="22"/>
      <c r="AG122" s="36"/>
      <c r="AH122" s="36"/>
      <c r="AI122" s="36"/>
      <c r="AJ122" s="36"/>
      <c r="AK122" s="36"/>
      <c r="AL122" s="36"/>
      <c r="AM122" s="36"/>
      <c r="AN122" s="36"/>
      <c r="AO122" s="36"/>
      <c r="AQ122" s="22">
        <v>0</v>
      </c>
    </row>
    <row r="123" spans="1:43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F123" s="36"/>
      <c r="G123" s="36">
        <v>8</v>
      </c>
      <c r="H123" s="36"/>
      <c r="I123" s="36">
        <v>10</v>
      </c>
      <c r="J123" s="36"/>
      <c r="K123" s="36"/>
      <c r="L123" s="36">
        <v>50</v>
      </c>
      <c r="M123" s="36"/>
      <c r="N123" s="36"/>
      <c r="O123" s="36"/>
      <c r="P123" s="36"/>
      <c r="Q123" s="36"/>
      <c r="R123" s="36"/>
      <c r="S123" s="36"/>
      <c r="T123" s="36">
        <v>40</v>
      </c>
      <c r="U123" s="36"/>
      <c r="V123" s="36"/>
      <c r="W123" s="36"/>
      <c r="X123" s="36"/>
      <c r="Y123" s="36">
        <v>100</v>
      </c>
      <c r="Z123" s="36"/>
      <c r="AA123" s="36"/>
      <c r="AB123" s="36"/>
      <c r="AC123" s="36"/>
      <c r="AD123" s="36"/>
      <c r="AE123" s="22">
        <v>50</v>
      </c>
      <c r="AF123" s="22"/>
      <c r="AG123" s="36"/>
      <c r="AH123" s="36"/>
      <c r="AI123" s="36"/>
      <c r="AJ123" s="36"/>
      <c r="AK123" s="36"/>
      <c r="AL123" s="36">
        <v>300</v>
      </c>
      <c r="AM123" s="36"/>
      <c r="AN123" s="36"/>
      <c r="AO123" s="36"/>
      <c r="AQ123" s="22">
        <v>558</v>
      </c>
    </row>
    <row r="124" spans="1:43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22"/>
      <c r="AF124" s="22"/>
      <c r="AG124" s="36"/>
      <c r="AH124" s="36"/>
      <c r="AI124" s="36"/>
      <c r="AJ124" s="36"/>
      <c r="AK124" s="36"/>
      <c r="AL124" s="36"/>
      <c r="AM124" s="36"/>
      <c r="AN124" s="36"/>
      <c r="AO124" s="36"/>
      <c r="AQ124" s="22">
        <v>0</v>
      </c>
    </row>
    <row r="125" spans="1:43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>
        <v>20</v>
      </c>
      <c r="T125" s="36">
        <v>25</v>
      </c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22">
        <v>50</v>
      </c>
      <c r="AF125" s="22"/>
      <c r="AG125" s="36"/>
      <c r="AH125" s="36"/>
      <c r="AI125" s="36"/>
      <c r="AJ125" s="36"/>
      <c r="AK125" s="36"/>
      <c r="AL125" s="36">
        <v>300</v>
      </c>
      <c r="AM125" s="36"/>
      <c r="AN125" s="36"/>
      <c r="AO125" s="36"/>
      <c r="AQ125" s="22">
        <v>395</v>
      </c>
    </row>
    <row r="126" spans="1:43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F126" s="36"/>
      <c r="G126" s="36">
        <v>10</v>
      </c>
      <c r="H126" s="36">
        <v>15</v>
      </c>
      <c r="I126" s="36">
        <v>40</v>
      </c>
      <c r="J126" s="36">
        <v>128</v>
      </c>
      <c r="K126" s="36"/>
      <c r="L126" s="36"/>
      <c r="M126" s="36"/>
      <c r="N126" s="36">
        <v>26</v>
      </c>
      <c r="O126" s="36">
        <v>10</v>
      </c>
      <c r="P126" s="36"/>
      <c r="Q126" s="36"/>
      <c r="R126" s="36"/>
      <c r="S126" s="36"/>
      <c r="T126" s="36">
        <v>60</v>
      </c>
      <c r="U126" s="36"/>
      <c r="V126" s="36"/>
      <c r="W126" s="36"/>
      <c r="X126" s="36"/>
      <c r="Y126" s="36">
        <v>100</v>
      </c>
      <c r="Z126" s="36"/>
      <c r="AA126" s="36"/>
      <c r="AB126" s="36"/>
      <c r="AC126" s="36"/>
      <c r="AD126" s="36"/>
      <c r="AE126" s="22">
        <v>132</v>
      </c>
      <c r="AF126" s="22"/>
      <c r="AG126" s="36"/>
      <c r="AH126" s="36"/>
      <c r="AI126" s="36"/>
      <c r="AJ126" s="36"/>
      <c r="AK126" s="36"/>
      <c r="AL126" s="36">
        <v>362</v>
      </c>
      <c r="AM126" s="36"/>
      <c r="AN126" s="36">
        <v>48</v>
      </c>
      <c r="AO126" s="36"/>
      <c r="AQ126" s="22">
        <v>931</v>
      </c>
    </row>
    <row r="127" spans="1:43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F127" s="36"/>
      <c r="G127" s="36">
        <v>4</v>
      </c>
      <c r="H127" s="36">
        <v>10</v>
      </c>
      <c r="I127" s="36"/>
      <c r="J127" s="36">
        <v>124</v>
      </c>
      <c r="K127" s="36"/>
      <c r="L127" s="36"/>
      <c r="M127" s="36"/>
      <c r="N127" s="36">
        <v>22</v>
      </c>
      <c r="O127" s="36">
        <v>10</v>
      </c>
      <c r="P127" s="36"/>
      <c r="Q127" s="36"/>
      <c r="R127" s="36"/>
      <c r="S127" s="36"/>
      <c r="T127" s="36"/>
      <c r="U127" s="36"/>
      <c r="V127" s="36"/>
      <c r="W127" s="36"/>
      <c r="X127" s="36"/>
      <c r="Y127" s="36">
        <v>100</v>
      </c>
      <c r="Z127" s="36"/>
      <c r="AA127" s="36"/>
      <c r="AB127" s="36"/>
      <c r="AC127" s="36"/>
      <c r="AD127" s="36"/>
      <c r="AE127" s="22">
        <v>162</v>
      </c>
      <c r="AF127" s="22"/>
      <c r="AG127" s="36"/>
      <c r="AH127" s="36"/>
      <c r="AI127" s="36"/>
      <c r="AJ127" s="36"/>
      <c r="AK127" s="36"/>
      <c r="AL127" s="36">
        <v>317</v>
      </c>
      <c r="AM127" s="36"/>
      <c r="AN127" s="36">
        <v>598</v>
      </c>
      <c r="AO127" s="36"/>
      <c r="AQ127" s="22">
        <v>1347</v>
      </c>
    </row>
    <row r="128" spans="1:43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F128" s="36"/>
      <c r="G128" s="36">
        <v>30</v>
      </c>
      <c r="H128" s="36">
        <v>50</v>
      </c>
      <c r="I128" s="36">
        <v>80</v>
      </c>
      <c r="J128" s="36">
        <v>232</v>
      </c>
      <c r="K128" s="36"/>
      <c r="L128" s="36"/>
      <c r="M128" s="36"/>
      <c r="N128" s="36"/>
      <c r="O128" s="36"/>
      <c r="P128" s="36">
        <v>30</v>
      </c>
      <c r="Q128" s="36"/>
      <c r="R128" s="36"/>
      <c r="S128" s="36"/>
      <c r="T128" s="36"/>
      <c r="U128" s="36"/>
      <c r="V128" s="36">
        <v>56</v>
      </c>
      <c r="W128" s="36"/>
      <c r="X128" s="36"/>
      <c r="Y128" s="36">
        <v>125</v>
      </c>
      <c r="Z128" s="36"/>
      <c r="AA128" s="36"/>
      <c r="AB128" s="36"/>
      <c r="AC128" s="36"/>
      <c r="AD128" s="36"/>
      <c r="AE128" s="22">
        <v>150</v>
      </c>
      <c r="AF128" s="22"/>
      <c r="AG128" s="36"/>
      <c r="AH128" s="36">
        <v>100</v>
      </c>
      <c r="AI128" s="36"/>
      <c r="AJ128" s="36"/>
      <c r="AK128" s="36"/>
      <c r="AL128" s="36">
        <v>298</v>
      </c>
      <c r="AM128" s="36"/>
      <c r="AN128" s="36"/>
      <c r="AO128" s="36"/>
      <c r="AQ128" s="22">
        <v>1151</v>
      </c>
    </row>
    <row r="129" spans="1:43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22">
        <v>148</v>
      </c>
      <c r="AF129" s="22"/>
      <c r="AG129" s="36"/>
      <c r="AH129" s="36"/>
      <c r="AI129" s="36"/>
      <c r="AJ129" s="36"/>
      <c r="AK129" s="36"/>
      <c r="AL129" s="36"/>
      <c r="AM129" s="36"/>
      <c r="AN129" s="36">
        <v>298</v>
      </c>
      <c r="AO129" s="36"/>
      <c r="AQ129" s="22">
        <v>446</v>
      </c>
    </row>
    <row r="130" spans="1:43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F130" s="36"/>
      <c r="G130" s="36">
        <v>50</v>
      </c>
      <c r="H130" s="36">
        <v>108</v>
      </c>
      <c r="I130" s="36">
        <v>70</v>
      </c>
      <c r="J130" s="36">
        <v>150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>
        <v>100</v>
      </c>
      <c r="W130" s="36">
        <v>123</v>
      </c>
      <c r="X130" s="36"/>
      <c r="Y130" s="36">
        <v>42</v>
      </c>
      <c r="Z130" s="36"/>
      <c r="AA130" s="36"/>
      <c r="AB130" s="36"/>
      <c r="AC130" s="36"/>
      <c r="AD130" s="36"/>
      <c r="AE130" s="22">
        <v>150</v>
      </c>
      <c r="AF130" s="22"/>
      <c r="AG130" s="36"/>
      <c r="AH130" s="36"/>
      <c r="AI130" s="36"/>
      <c r="AJ130" s="36"/>
      <c r="AK130" s="36"/>
      <c r="AL130" s="36"/>
      <c r="AM130" s="36"/>
      <c r="AN130" s="36">
        <v>298</v>
      </c>
      <c r="AO130" s="36"/>
      <c r="AQ130" s="22">
        <v>1091</v>
      </c>
    </row>
    <row r="131" spans="1:43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>
        <v>6</v>
      </c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22"/>
      <c r="AF131" s="22"/>
      <c r="AG131" s="36"/>
      <c r="AH131" s="36"/>
      <c r="AI131" s="36"/>
      <c r="AJ131" s="36"/>
      <c r="AK131" s="36"/>
      <c r="AL131" s="36"/>
      <c r="AM131" s="36"/>
      <c r="AN131" s="36"/>
      <c r="AO131" s="36"/>
      <c r="AQ131" s="22">
        <v>6</v>
      </c>
    </row>
    <row r="132" spans="1:43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F132" s="36"/>
      <c r="G132" s="36">
        <v>20</v>
      </c>
      <c r="H132" s="36">
        <v>50</v>
      </c>
      <c r="I132" s="36">
        <v>50</v>
      </c>
      <c r="J132" s="36">
        <v>150</v>
      </c>
      <c r="K132" s="36"/>
      <c r="L132" s="36"/>
      <c r="M132" s="36"/>
      <c r="N132" s="36">
        <v>55</v>
      </c>
      <c r="O132" s="36">
        <v>41</v>
      </c>
      <c r="P132" s="36"/>
      <c r="Q132" s="36"/>
      <c r="R132" s="36"/>
      <c r="S132" s="36"/>
      <c r="T132" s="36"/>
      <c r="U132" s="36"/>
      <c r="V132" s="36">
        <v>100</v>
      </c>
      <c r="W132" s="36"/>
      <c r="X132" s="36"/>
      <c r="Y132" s="36">
        <v>100</v>
      </c>
      <c r="Z132" s="36"/>
      <c r="AA132" s="36"/>
      <c r="AB132" s="36"/>
      <c r="AC132" s="36"/>
      <c r="AD132" s="36"/>
      <c r="AE132" s="22">
        <v>100</v>
      </c>
      <c r="AF132" s="22"/>
      <c r="AG132" s="36"/>
      <c r="AH132" s="36"/>
      <c r="AI132" s="36"/>
      <c r="AJ132" s="36"/>
      <c r="AK132" s="36"/>
      <c r="AL132" s="36"/>
      <c r="AM132" s="36"/>
      <c r="AN132" s="36">
        <v>298</v>
      </c>
      <c r="AO132" s="36"/>
      <c r="AQ132" s="22">
        <v>964</v>
      </c>
    </row>
    <row r="133" spans="1:43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22"/>
      <c r="AF133" s="22"/>
      <c r="AG133" s="36"/>
      <c r="AH133" s="36"/>
      <c r="AI133" s="36"/>
      <c r="AJ133" s="36"/>
      <c r="AK133" s="36"/>
      <c r="AL133" s="36"/>
      <c r="AM133" s="36"/>
      <c r="AN133" s="36"/>
      <c r="AO133" s="36"/>
      <c r="AQ133" s="22">
        <v>0</v>
      </c>
    </row>
    <row r="134" spans="1:43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22"/>
      <c r="AF134" s="22"/>
      <c r="AG134" s="36"/>
      <c r="AH134" s="36"/>
      <c r="AI134" s="36"/>
      <c r="AJ134" s="36"/>
      <c r="AK134" s="36"/>
      <c r="AL134" s="36"/>
      <c r="AM134" s="36"/>
      <c r="AN134" s="36"/>
      <c r="AO134" s="36"/>
      <c r="AQ134" s="22">
        <v>0</v>
      </c>
    </row>
    <row r="135" spans="1:43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F135" s="36"/>
      <c r="G135" s="36"/>
      <c r="H135" s="36"/>
      <c r="I135" s="36"/>
      <c r="J135" s="36"/>
      <c r="K135" s="36"/>
      <c r="L135" s="36"/>
      <c r="M135" s="36"/>
      <c r="N135" s="36">
        <v>31</v>
      </c>
      <c r="O135" s="36">
        <v>18</v>
      </c>
      <c r="P135" s="36"/>
      <c r="Q135" s="36"/>
      <c r="R135" s="36"/>
      <c r="S135" s="36"/>
      <c r="T135" s="36"/>
      <c r="U135" s="36"/>
      <c r="V135" s="36"/>
      <c r="W135" s="36">
        <v>100</v>
      </c>
      <c r="X135" s="36"/>
      <c r="Y135" s="36">
        <v>100</v>
      </c>
      <c r="Z135" s="36"/>
      <c r="AA135" s="36"/>
      <c r="AB135" s="36"/>
      <c r="AC135" s="36"/>
      <c r="AD135" s="36"/>
      <c r="AE135" s="22">
        <v>200</v>
      </c>
      <c r="AF135" s="22"/>
      <c r="AG135" s="36"/>
      <c r="AH135" s="36"/>
      <c r="AI135" s="36"/>
      <c r="AJ135" s="36"/>
      <c r="AK135" s="36"/>
      <c r="AL135" s="36"/>
      <c r="AM135" s="36"/>
      <c r="AN135" s="36"/>
      <c r="AO135" s="36"/>
      <c r="AQ135" s="22">
        <v>449</v>
      </c>
    </row>
    <row r="136" spans="1:43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22"/>
      <c r="AF136" s="22"/>
      <c r="AG136" s="36">
        <v>10</v>
      </c>
      <c r="AH136" s="36"/>
      <c r="AI136" s="36"/>
      <c r="AJ136" s="36"/>
      <c r="AK136" s="36"/>
      <c r="AL136" s="36"/>
      <c r="AM136" s="36"/>
      <c r="AN136" s="36"/>
      <c r="AO136" s="36"/>
      <c r="AQ136" s="22">
        <v>10</v>
      </c>
    </row>
    <row r="137" spans="1:43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22"/>
      <c r="AF137" s="22"/>
      <c r="AG137" s="36"/>
      <c r="AH137" s="36"/>
      <c r="AI137" s="36"/>
      <c r="AJ137" s="36"/>
      <c r="AK137" s="36"/>
      <c r="AL137" s="36"/>
      <c r="AM137" s="36"/>
      <c r="AN137" s="36"/>
      <c r="AO137" s="36"/>
      <c r="AQ137" s="22">
        <v>0</v>
      </c>
    </row>
    <row r="138" spans="1:43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>
        <v>25</v>
      </c>
      <c r="AA138" s="36"/>
      <c r="AB138" s="36"/>
      <c r="AC138" s="36"/>
      <c r="AD138" s="36"/>
      <c r="AE138" s="22"/>
      <c r="AF138" s="22"/>
      <c r="AG138" s="36"/>
      <c r="AH138" s="36"/>
      <c r="AI138" s="36"/>
      <c r="AJ138" s="36"/>
      <c r="AK138" s="36"/>
      <c r="AL138" s="36"/>
      <c r="AM138" s="36"/>
      <c r="AN138" s="36"/>
      <c r="AO138" s="36"/>
      <c r="AQ138" s="22">
        <v>25</v>
      </c>
    </row>
    <row r="139" spans="1:43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>
        <v>25</v>
      </c>
      <c r="AA139" s="36"/>
      <c r="AB139" s="36"/>
      <c r="AC139" s="36"/>
      <c r="AD139" s="36"/>
      <c r="AE139" s="22"/>
      <c r="AF139" s="22"/>
      <c r="AG139" s="36"/>
      <c r="AH139" s="36"/>
      <c r="AI139" s="36"/>
      <c r="AJ139" s="36"/>
      <c r="AK139" s="36"/>
      <c r="AL139" s="36"/>
      <c r="AM139" s="36"/>
      <c r="AN139" s="36"/>
      <c r="AO139" s="36"/>
      <c r="AQ139" s="22">
        <v>25</v>
      </c>
    </row>
    <row r="140" spans="1:43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22"/>
      <c r="AF140" s="22"/>
      <c r="AG140" s="36"/>
      <c r="AH140" s="36"/>
      <c r="AI140" s="36"/>
      <c r="AJ140" s="36"/>
      <c r="AK140" s="36"/>
      <c r="AL140" s="36"/>
      <c r="AM140" s="36"/>
      <c r="AN140" s="36"/>
      <c r="AO140" s="36"/>
      <c r="AQ140" s="22">
        <v>0</v>
      </c>
    </row>
    <row r="141" spans="1:43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>
        <v>50</v>
      </c>
      <c r="AA141" s="36"/>
      <c r="AB141" s="36"/>
      <c r="AC141" s="36"/>
      <c r="AD141" s="36"/>
      <c r="AE141" s="22"/>
      <c r="AF141" s="22"/>
      <c r="AG141" s="36"/>
      <c r="AH141" s="36"/>
      <c r="AI141" s="36"/>
      <c r="AJ141" s="36"/>
      <c r="AK141" s="36"/>
      <c r="AL141" s="36"/>
      <c r="AM141" s="36"/>
      <c r="AN141" s="36"/>
      <c r="AO141" s="36"/>
      <c r="AQ141" s="22">
        <v>50</v>
      </c>
    </row>
    <row r="142" spans="1:43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>
        <v>25</v>
      </c>
      <c r="AA142" s="36"/>
      <c r="AB142" s="36"/>
      <c r="AC142" s="36"/>
      <c r="AD142" s="36"/>
      <c r="AE142" s="22"/>
      <c r="AF142" s="22"/>
      <c r="AG142" s="36">
        <v>10</v>
      </c>
      <c r="AH142" s="36"/>
      <c r="AI142" s="36"/>
      <c r="AJ142" s="36"/>
      <c r="AK142" s="36"/>
      <c r="AL142" s="36"/>
      <c r="AM142" s="36"/>
      <c r="AN142" s="36"/>
      <c r="AO142" s="36"/>
      <c r="AQ142" s="22">
        <v>35</v>
      </c>
    </row>
    <row r="143" spans="1:43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F143" s="36">
        <v>100</v>
      </c>
      <c r="G143" s="36">
        <v>20</v>
      </c>
      <c r="H143" s="36">
        <v>70</v>
      </c>
      <c r="I143" s="36">
        <v>200</v>
      </c>
      <c r="J143" s="36">
        <v>100</v>
      </c>
      <c r="K143" s="36"/>
      <c r="L143" s="36"/>
      <c r="M143" s="36">
        <v>150</v>
      </c>
      <c r="N143" s="36"/>
      <c r="O143" s="36"/>
      <c r="P143" s="36"/>
      <c r="Q143" s="36"/>
      <c r="R143" s="36"/>
      <c r="S143" s="36"/>
      <c r="T143" s="36"/>
      <c r="U143" s="36"/>
      <c r="V143" s="36"/>
      <c r="W143" s="36">
        <v>800</v>
      </c>
      <c r="X143" s="36"/>
      <c r="Y143" s="36"/>
      <c r="Z143" s="36"/>
      <c r="AA143" s="36"/>
      <c r="AB143" s="36"/>
      <c r="AC143" s="36"/>
      <c r="AD143" s="36"/>
      <c r="AE143" s="22"/>
      <c r="AF143" s="22"/>
      <c r="AG143" s="36"/>
      <c r="AH143" s="36"/>
      <c r="AI143" s="36"/>
      <c r="AJ143" s="36"/>
      <c r="AK143" s="36"/>
      <c r="AL143" s="36"/>
      <c r="AM143" s="36"/>
      <c r="AN143" s="36">
        <v>1000</v>
      </c>
      <c r="AO143" s="36"/>
      <c r="AQ143" s="22">
        <v>2440</v>
      </c>
    </row>
    <row r="144" spans="1:43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22"/>
      <c r="AF144" s="22"/>
      <c r="AG144" s="36"/>
      <c r="AH144" s="36"/>
      <c r="AI144" s="36"/>
      <c r="AJ144" s="36"/>
      <c r="AK144" s="36"/>
      <c r="AL144" s="36"/>
      <c r="AM144" s="36"/>
      <c r="AN144" s="36"/>
      <c r="AO144" s="36"/>
      <c r="AQ144" s="22">
        <v>0</v>
      </c>
    </row>
    <row r="145" spans="1:43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F145" s="36"/>
      <c r="G145" s="36"/>
      <c r="H145" s="36"/>
      <c r="I145" s="36"/>
      <c r="J145" s="36"/>
      <c r="K145" s="36"/>
      <c r="L145" s="36"/>
      <c r="M145" s="36">
        <v>30</v>
      </c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22"/>
      <c r="AF145" s="22"/>
      <c r="AG145" s="36"/>
      <c r="AH145" s="36"/>
      <c r="AI145" s="36"/>
      <c r="AJ145" s="36"/>
      <c r="AK145" s="36"/>
      <c r="AL145" s="36"/>
      <c r="AM145" s="36"/>
      <c r="AN145" s="36"/>
      <c r="AO145" s="36"/>
      <c r="AQ145" s="22">
        <v>30</v>
      </c>
    </row>
    <row r="146" spans="1:43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F146" s="36"/>
      <c r="G146" s="36"/>
      <c r="H146" s="36"/>
      <c r="I146" s="36"/>
      <c r="J146" s="36"/>
      <c r="K146" s="36"/>
      <c r="L146" s="36"/>
      <c r="M146" s="36">
        <v>50</v>
      </c>
      <c r="N146" s="36"/>
      <c r="O146" s="36"/>
      <c r="P146" s="36"/>
      <c r="Q146" s="36"/>
      <c r="R146" s="36"/>
      <c r="S146" s="36"/>
      <c r="T146" s="36">
        <v>15</v>
      </c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22"/>
      <c r="AF146" s="22"/>
      <c r="AG146" s="36"/>
      <c r="AH146" s="36"/>
      <c r="AI146" s="36"/>
      <c r="AJ146" s="36"/>
      <c r="AK146" s="36"/>
      <c r="AL146" s="36"/>
      <c r="AM146" s="36"/>
      <c r="AN146" s="36"/>
      <c r="AO146" s="36"/>
      <c r="AQ146" s="22">
        <v>65</v>
      </c>
    </row>
    <row r="147" spans="1:43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22"/>
      <c r="AF147" s="22"/>
      <c r="AG147" s="36"/>
      <c r="AH147" s="36"/>
      <c r="AI147" s="36"/>
      <c r="AJ147" s="36"/>
      <c r="AK147" s="36"/>
      <c r="AL147" s="36"/>
      <c r="AM147" s="36"/>
      <c r="AN147" s="36"/>
      <c r="AO147" s="36"/>
      <c r="AQ147" s="22">
        <v>0</v>
      </c>
    </row>
    <row r="148" spans="1:43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F148" s="36"/>
      <c r="G148" s="36"/>
      <c r="H148" s="36"/>
      <c r="I148" s="36"/>
      <c r="J148" s="36"/>
      <c r="K148" s="36"/>
      <c r="L148" s="36"/>
      <c r="M148" s="36">
        <v>16</v>
      </c>
      <c r="N148" s="36"/>
      <c r="O148" s="36"/>
      <c r="P148" s="36"/>
      <c r="Q148" s="36"/>
      <c r="R148" s="36"/>
      <c r="S148" s="36">
        <v>10</v>
      </c>
      <c r="T148" s="36">
        <v>15</v>
      </c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22"/>
      <c r="AF148" s="22"/>
      <c r="AG148" s="36"/>
      <c r="AH148" s="36"/>
      <c r="AI148" s="36"/>
      <c r="AJ148" s="36"/>
      <c r="AK148" s="36"/>
      <c r="AL148" s="36"/>
      <c r="AM148" s="36"/>
      <c r="AN148" s="36"/>
      <c r="AO148" s="36"/>
      <c r="AQ148" s="22">
        <v>41</v>
      </c>
    </row>
    <row r="149" spans="1:43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22"/>
      <c r="AF149" s="22"/>
      <c r="AG149" s="36"/>
      <c r="AH149" s="36"/>
      <c r="AI149" s="36"/>
      <c r="AJ149" s="36"/>
      <c r="AK149" s="36"/>
      <c r="AL149" s="36"/>
      <c r="AM149" s="36"/>
      <c r="AN149" s="36"/>
      <c r="AO149" s="36"/>
      <c r="AQ149" s="22">
        <v>0</v>
      </c>
    </row>
    <row r="150" spans="1:43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22"/>
      <c r="AF150" s="22"/>
      <c r="AG150" s="36"/>
      <c r="AH150" s="36"/>
      <c r="AI150" s="36"/>
      <c r="AJ150" s="36"/>
      <c r="AK150" s="36"/>
      <c r="AL150" s="36"/>
      <c r="AM150" s="36"/>
      <c r="AN150" s="36"/>
      <c r="AO150" s="36"/>
      <c r="AQ150" s="22">
        <v>0</v>
      </c>
    </row>
    <row r="151" spans="1:43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>
        <v>10</v>
      </c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22"/>
      <c r="AF151" s="22"/>
      <c r="AG151" s="36"/>
      <c r="AH151" s="36"/>
      <c r="AI151" s="36"/>
      <c r="AJ151" s="36"/>
      <c r="AK151" s="36"/>
      <c r="AL151" s="36"/>
      <c r="AM151" s="36"/>
      <c r="AN151" s="36"/>
      <c r="AO151" s="36"/>
      <c r="AQ151" s="22">
        <v>10</v>
      </c>
    </row>
    <row r="152" spans="1:43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F152" s="36"/>
      <c r="G152" s="36"/>
      <c r="H152" s="36"/>
      <c r="I152" s="36"/>
      <c r="J152" s="36"/>
      <c r="K152" s="36"/>
      <c r="L152" s="36"/>
      <c r="M152" s="36">
        <v>15</v>
      </c>
      <c r="N152" s="36"/>
      <c r="O152" s="36"/>
      <c r="P152" s="36"/>
      <c r="Q152" s="36">
        <v>20</v>
      </c>
      <c r="R152" s="36">
        <v>10</v>
      </c>
      <c r="S152" s="36">
        <v>35</v>
      </c>
      <c r="T152" s="36">
        <v>30</v>
      </c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22"/>
      <c r="AF152" s="22"/>
      <c r="AG152" s="36"/>
      <c r="AH152" s="36"/>
      <c r="AI152" s="36"/>
      <c r="AJ152" s="36"/>
      <c r="AK152" s="36"/>
      <c r="AL152" s="36"/>
      <c r="AM152" s="36"/>
      <c r="AN152" s="36"/>
      <c r="AO152" s="36"/>
      <c r="AQ152" s="22">
        <v>110</v>
      </c>
    </row>
    <row r="153" spans="1:43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>
        <v>25</v>
      </c>
      <c r="Z153" s="36"/>
      <c r="AA153" s="36"/>
      <c r="AB153" s="36"/>
      <c r="AC153" s="36"/>
      <c r="AD153" s="36"/>
      <c r="AE153" s="22"/>
      <c r="AF153" s="22"/>
      <c r="AG153" s="36"/>
      <c r="AH153" s="36"/>
      <c r="AI153" s="36"/>
      <c r="AJ153" s="36"/>
      <c r="AK153" s="36"/>
      <c r="AL153" s="36"/>
      <c r="AM153" s="36"/>
      <c r="AN153" s="36"/>
      <c r="AO153" s="36"/>
      <c r="AQ153" s="22">
        <v>25</v>
      </c>
    </row>
    <row r="154" spans="1:43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22"/>
      <c r="AF154" s="22"/>
      <c r="AG154" s="36"/>
      <c r="AH154" s="36"/>
      <c r="AI154" s="36"/>
      <c r="AJ154" s="36"/>
      <c r="AK154" s="36"/>
      <c r="AL154" s="36"/>
      <c r="AM154" s="36"/>
      <c r="AN154" s="36"/>
      <c r="AO154" s="36"/>
      <c r="AQ154" s="22">
        <v>0</v>
      </c>
    </row>
    <row r="155" spans="1:43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22"/>
      <c r="AF155" s="22"/>
      <c r="AG155" s="36"/>
      <c r="AH155" s="36"/>
      <c r="AI155" s="36"/>
      <c r="AJ155" s="36"/>
      <c r="AK155" s="36"/>
      <c r="AL155" s="36"/>
      <c r="AM155" s="36"/>
      <c r="AN155" s="36"/>
      <c r="AO155" s="36"/>
      <c r="AQ155" s="22">
        <v>0</v>
      </c>
    </row>
    <row r="156" spans="1:43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22"/>
      <c r="AF156" s="22"/>
      <c r="AG156" s="36"/>
      <c r="AH156" s="36"/>
      <c r="AI156" s="36"/>
      <c r="AJ156" s="36"/>
      <c r="AK156" s="36"/>
      <c r="AL156" s="36"/>
      <c r="AM156" s="36"/>
      <c r="AN156" s="36"/>
      <c r="AO156" s="36"/>
      <c r="AQ156" s="22">
        <v>0</v>
      </c>
    </row>
    <row r="157" spans="1:43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22"/>
      <c r="AF157" s="22"/>
      <c r="AG157" s="36"/>
      <c r="AH157" s="36"/>
      <c r="AI157" s="36"/>
      <c r="AJ157" s="36"/>
      <c r="AK157" s="36"/>
      <c r="AL157" s="36"/>
      <c r="AM157" s="36"/>
      <c r="AN157" s="36"/>
      <c r="AO157" s="36"/>
      <c r="AQ157" s="22">
        <v>0</v>
      </c>
    </row>
    <row r="158" spans="1:43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F158" s="36"/>
      <c r="G158" s="36"/>
      <c r="H158" s="36">
        <v>26</v>
      </c>
      <c r="I158" s="36">
        <v>25</v>
      </c>
      <c r="J158" s="36"/>
      <c r="K158" s="36">
        <v>53</v>
      </c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22"/>
      <c r="AF158" s="22"/>
      <c r="AG158" s="36"/>
      <c r="AH158" s="36"/>
      <c r="AI158" s="36"/>
      <c r="AJ158" s="36"/>
      <c r="AK158" s="36"/>
      <c r="AL158" s="36"/>
      <c r="AM158" s="36"/>
      <c r="AN158" s="36"/>
      <c r="AO158" s="36"/>
      <c r="AQ158" s="22">
        <v>104</v>
      </c>
    </row>
    <row r="159" spans="1:43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F159" s="36"/>
      <c r="G159" s="36"/>
      <c r="H159" s="36">
        <v>8</v>
      </c>
      <c r="I159" s="36">
        <v>4</v>
      </c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22"/>
      <c r="AF159" s="22"/>
      <c r="AG159" s="36"/>
      <c r="AH159" s="36"/>
      <c r="AI159" s="36"/>
      <c r="AJ159" s="36"/>
      <c r="AK159" s="36"/>
      <c r="AL159" s="36"/>
      <c r="AM159" s="36"/>
      <c r="AN159" s="36"/>
      <c r="AO159" s="36"/>
      <c r="AQ159" s="22">
        <v>12</v>
      </c>
    </row>
    <row r="160" spans="1:43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F160" s="36"/>
      <c r="G160" s="36"/>
      <c r="H160" s="36">
        <v>20</v>
      </c>
      <c r="I160" s="36">
        <v>36</v>
      </c>
      <c r="J160" s="36"/>
      <c r="K160" s="36">
        <v>39</v>
      </c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22"/>
      <c r="AF160" s="22"/>
      <c r="AG160" s="36"/>
      <c r="AH160" s="36"/>
      <c r="AI160" s="36"/>
      <c r="AJ160" s="36"/>
      <c r="AK160" s="36"/>
      <c r="AL160" s="36"/>
      <c r="AM160" s="36"/>
      <c r="AN160" s="36"/>
      <c r="AO160" s="36"/>
      <c r="AQ160" s="22">
        <v>95</v>
      </c>
    </row>
    <row r="161" spans="1:43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F161" s="36"/>
      <c r="G161" s="36"/>
      <c r="H161" s="36"/>
      <c r="I161" s="36">
        <v>50</v>
      </c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22"/>
      <c r="AF161" s="22"/>
      <c r="AG161" s="36"/>
      <c r="AH161" s="36"/>
      <c r="AI161" s="36"/>
      <c r="AJ161" s="36"/>
      <c r="AK161" s="36"/>
      <c r="AL161" s="36"/>
      <c r="AM161" s="36"/>
      <c r="AN161" s="36"/>
      <c r="AO161" s="36"/>
      <c r="AQ161" s="22">
        <v>50</v>
      </c>
    </row>
    <row r="162" spans="1:43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F162" s="36"/>
      <c r="G162" s="36"/>
      <c r="H162" s="36">
        <v>55</v>
      </c>
      <c r="I162" s="36">
        <v>21</v>
      </c>
      <c r="J162" s="36"/>
      <c r="K162" s="36">
        <v>75</v>
      </c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22"/>
      <c r="AF162" s="22"/>
      <c r="AG162" s="36"/>
      <c r="AH162" s="36"/>
      <c r="AI162" s="36"/>
      <c r="AJ162" s="36"/>
      <c r="AK162" s="36"/>
      <c r="AL162" s="36"/>
      <c r="AM162" s="36"/>
      <c r="AN162" s="36"/>
      <c r="AO162" s="36"/>
      <c r="AQ162" s="22">
        <v>151</v>
      </c>
    </row>
    <row r="163" spans="1:43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>
        <v>190</v>
      </c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22"/>
      <c r="AF163" s="22"/>
      <c r="AG163" s="36"/>
      <c r="AH163" s="36"/>
      <c r="AI163" s="36"/>
      <c r="AJ163" s="36"/>
      <c r="AK163" s="36"/>
      <c r="AL163" s="36"/>
      <c r="AM163" s="36"/>
      <c r="AN163" s="36"/>
      <c r="AO163" s="36"/>
      <c r="AQ163" s="22">
        <v>190</v>
      </c>
    </row>
    <row r="164" spans="1:43" x14ac:dyDescent="0.25">
      <c r="A164" s="22">
        <v>160</v>
      </c>
      <c r="B164" s="22">
        <v>3000003029</v>
      </c>
      <c r="C164" s="12" t="s">
        <v>211</v>
      </c>
      <c r="D164" s="31" t="s">
        <v>12</v>
      </c>
      <c r="AQ164" s="22">
        <v>0</v>
      </c>
    </row>
    <row r="165" spans="1:43" x14ac:dyDescent="0.25">
      <c r="A165" s="22">
        <v>161</v>
      </c>
      <c r="B165" s="22">
        <v>3000003029</v>
      </c>
      <c r="C165" t="s">
        <v>297</v>
      </c>
      <c r="D165" s="31" t="s">
        <v>12</v>
      </c>
      <c r="AG165">
        <v>138</v>
      </c>
      <c r="AQ165" s="22">
        <v>138</v>
      </c>
    </row>
    <row r="166" spans="1:43" x14ac:dyDescent="0.25">
      <c r="A166" s="22">
        <v>162</v>
      </c>
      <c r="B166" s="22">
        <v>1000006010</v>
      </c>
      <c r="C166" t="s">
        <v>298</v>
      </c>
      <c r="D166" s="31" t="s">
        <v>12</v>
      </c>
      <c r="AQ166" s="22">
        <v>0</v>
      </c>
    </row>
    <row r="167" spans="1:43" x14ac:dyDescent="0.25">
      <c r="A167" s="22">
        <v>163</v>
      </c>
      <c r="B167" s="22">
        <v>3000001220</v>
      </c>
      <c r="C167" t="s">
        <v>300</v>
      </c>
      <c r="D167" s="31" t="s">
        <v>12</v>
      </c>
      <c r="AQ167" s="22">
        <v>0</v>
      </c>
    </row>
    <row r="168" spans="1:43" x14ac:dyDescent="0.25">
      <c r="A168" s="22">
        <v>164</v>
      </c>
      <c r="B168" s="22">
        <v>3000001221</v>
      </c>
      <c r="C168" t="s">
        <v>302</v>
      </c>
      <c r="D168" s="31" t="s">
        <v>12</v>
      </c>
      <c r="AQ168" s="22">
        <v>0</v>
      </c>
    </row>
    <row r="169" spans="1:43" x14ac:dyDescent="0.25">
      <c r="A169" s="22">
        <v>165</v>
      </c>
      <c r="B169" s="22">
        <v>3000001223</v>
      </c>
      <c r="C169" t="s">
        <v>304</v>
      </c>
      <c r="D169" s="31" t="s">
        <v>12</v>
      </c>
      <c r="AQ169" s="22">
        <v>0</v>
      </c>
    </row>
    <row r="170" spans="1:43" x14ac:dyDescent="0.25">
      <c r="A170" s="22">
        <v>166</v>
      </c>
      <c r="B170" s="22">
        <v>3000001224</v>
      </c>
      <c r="C170" t="s">
        <v>306</v>
      </c>
      <c r="D170" s="31" t="s">
        <v>12</v>
      </c>
      <c r="AQ170" s="22">
        <v>0</v>
      </c>
    </row>
    <row r="171" spans="1:43" x14ac:dyDescent="0.25">
      <c r="A171" s="22">
        <v>167</v>
      </c>
      <c r="B171" s="22">
        <v>3000003827</v>
      </c>
      <c r="C171" t="s">
        <v>446</v>
      </c>
      <c r="D171" s="31" t="s">
        <v>12</v>
      </c>
      <c r="AG171">
        <v>25</v>
      </c>
      <c r="AQ171" s="22">
        <v>25</v>
      </c>
    </row>
    <row r="172" spans="1:43" x14ac:dyDescent="0.25">
      <c r="A172" s="22">
        <v>168</v>
      </c>
      <c r="B172" s="22">
        <v>3000001802</v>
      </c>
      <c r="C172" t="s">
        <v>448</v>
      </c>
      <c r="D172" s="31" t="s">
        <v>12</v>
      </c>
      <c r="AG172">
        <v>100</v>
      </c>
      <c r="AQ172" s="22">
        <v>100</v>
      </c>
    </row>
    <row r="173" spans="1:43" x14ac:dyDescent="0.25">
      <c r="A173" s="22">
        <v>169</v>
      </c>
      <c r="B173" s="22" t="s">
        <v>35</v>
      </c>
      <c r="C173" t="s">
        <v>449</v>
      </c>
      <c r="D173" s="31" t="s">
        <v>12</v>
      </c>
      <c r="AG173">
        <v>30</v>
      </c>
      <c r="AQ173" s="22">
        <v>30</v>
      </c>
    </row>
    <row r="174" spans="1:43" x14ac:dyDescent="0.25">
      <c r="A174" s="22">
        <v>170</v>
      </c>
      <c r="B174" s="22" t="s">
        <v>35</v>
      </c>
      <c r="C174" t="s">
        <v>450</v>
      </c>
      <c r="D174" s="31" t="s">
        <v>12</v>
      </c>
      <c r="AG174">
        <v>2</v>
      </c>
      <c r="AQ174" s="22">
        <v>2</v>
      </c>
    </row>
    <row r="175" spans="1:43" x14ac:dyDescent="0.25">
      <c r="A175" s="22">
        <v>171</v>
      </c>
      <c r="B175" s="22" t="s">
        <v>35</v>
      </c>
      <c r="C175" t="s">
        <v>510</v>
      </c>
      <c r="D175" s="31" t="s">
        <v>12</v>
      </c>
      <c r="AQ175" s="22">
        <v>0</v>
      </c>
    </row>
    <row r="176" spans="1:43" x14ac:dyDescent="0.25">
      <c r="A176" s="22">
        <v>172</v>
      </c>
      <c r="B176" s="22" t="s">
        <v>35</v>
      </c>
      <c r="C176" t="s">
        <v>516</v>
      </c>
      <c r="D176" s="31" t="s">
        <v>12</v>
      </c>
      <c r="AM176" s="22">
        <v>42</v>
      </c>
      <c r="AQ176" s="22">
        <v>42</v>
      </c>
    </row>
    <row r="177" spans="1:43" x14ac:dyDescent="0.25">
      <c r="A177" s="22">
        <v>173</v>
      </c>
      <c r="B177" s="22" t="s">
        <v>35</v>
      </c>
      <c r="C177" t="s">
        <v>600</v>
      </c>
      <c r="D177" s="31" t="s">
        <v>12</v>
      </c>
      <c r="AQ177" s="22">
        <v>0</v>
      </c>
    </row>
    <row r="178" spans="1:43" x14ac:dyDescent="0.25">
      <c r="A178" s="22">
        <v>174</v>
      </c>
      <c r="B178" s="22" t="s">
        <v>35</v>
      </c>
      <c r="C178" t="s">
        <v>601</v>
      </c>
      <c r="D178" s="31" t="s">
        <v>12</v>
      </c>
      <c r="AQ178" s="22">
        <v>0</v>
      </c>
    </row>
    <row r="179" spans="1:43" x14ac:dyDescent="0.25">
      <c r="A179" s="22">
        <v>175</v>
      </c>
      <c r="B179" s="22" t="s">
        <v>35</v>
      </c>
      <c r="C179" t="s">
        <v>1383</v>
      </c>
      <c r="D179" s="31" t="s">
        <v>12</v>
      </c>
      <c r="AQ179" s="22">
        <v>0</v>
      </c>
    </row>
    <row r="180" spans="1:43" x14ac:dyDescent="0.25">
      <c r="A180" s="22">
        <v>176</v>
      </c>
      <c r="B180" s="22" t="s">
        <v>35</v>
      </c>
      <c r="C180" t="s">
        <v>1557</v>
      </c>
      <c r="D180" s="31" t="s">
        <v>12</v>
      </c>
      <c r="AQ180" s="22">
        <v>0</v>
      </c>
    </row>
    <row r="181" spans="1:43" x14ac:dyDescent="0.25">
      <c r="A181" s="22">
        <v>177</v>
      </c>
      <c r="B181" s="22">
        <v>3000000008</v>
      </c>
      <c r="C181" t="s">
        <v>1565</v>
      </c>
      <c r="D181" s="31" t="s">
        <v>12</v>
      </c>
      <c r="AQ181" s="22">
        <v>0</v>
      </c>
    </row>
    <row r="182" spans="1:43" x14ac:dyDescent="0.25">
      <c r="A182" s="22">
        <v>178</v>
      </c>
      <c r="B182" s="22" t="s">
        <v>35</v>
      </c>
      <c r="C182" t="s">
        <v>1662</v>
      </c>
      <c r="D182" s="31" t="s">
        <v>12</v>
      </c>
      <c r="AQ182" s="22">
        <v>0</v>
      </c>
    </row>
    <row r="183" spans="1:43" x14ac:dyDescent="0.25">
      <c r="A183" s="22">
        <v>179</v>
      </c>
      <c r="B183" s="22" t="s">
        <v>35</v>
      </c>
      <c r="C183" t="s">
        <v>1574</v>
      </c>
      <c r="D183" s="31" t="s">
        <v>12</v>
      </c>
      <c r="AQ183" s="22">
        <v>0</v>
      </c>
    </row>
    <row r="184" spans="1:43" x14ac:dyDescent="0.25">
      <c r="A184" s="22">
        <v>180</v>
      </c>
      <c r="B184" s="22">
        <v>1000014673</v>
      </c>
      <c r="C184" t="s">
        <v>1575</v>
      </c>
      <c r="D184" s="31" t="s">
        <v>12</v>
      </c>
      <c r="AQ184" s="22">
        <v>0</v>
      </c>
    </row>
    <row r="185" spans="1:43" x14ac:dyDescent="0.25">
      <c r="A185" s="22">
        <v>181</v>
      </c>
      <c r="B185" s="22">
        <v>4000021502</v>
      </c>
      <c r="C185" t="s">
        <v>1576</v>
      </c>
      <c r="D185" s="31" t="s">
        <v>12</v>
      </c>
      <c r="AQ185" s="22">
        <v>0</v>
      </c>
    </row>
    <row r="186" spans="1:43" x14ac:dyDescent="0.25">
      <c r="A186" s="22">
        <v>182</v>
      </c>
      <c r="B186" s="22">
        <v>3000002696</v>
      </c>
      <c r="C186" t="s">
        <v>1580</v>
      </c>
      <c r="D186" s="31" t="s">
        <v>12</v>
      </c>
      <c r="AQ186" s="22">
        <v>0</v>
      </c>
    </row>
    <row r="187" spans="1:43" x14ac:dyDescent="0.25">
      <c r="A187" s="22">
        <v>183</v>
      </c>
      <c r="B187" s="22">
        <v>3000000707</v>
      </c>
      <c r="C187" t="s">
        <v>1618</v>
      </c>
      <c r="D187" s="31" t="s">
        <v>12</v>
      </c>
      <c r="AN187" s="22">
        <v>2</v>
      </c>
      <c r="AO187" s="22">
        <v>50</v>
      </c>
      <c r="AQ187" s="22">
        <v>52</v>
      </c>
    </row>
    <row r="1048572" spans="35:37" x14ac:dyDescent="0.25">
      <c r="AI1048572" s="22"/>
      <c r="AJ1048572" s="22"/>
      <c r="AK1048572" s="22"/>
    </row>
  </sheetData>
  <autoFilter ref="A4:AQ186"/>
  <mergeCells count="3">
    <mergeCell ref="A1:A2"/>
    <mergeCell ref="B1:B2"/>
    <mergeCell ref="C1:C2"/>
  </mergeCells>
  <conditionalFormatting sqref="A2:XFD2">
    <cfRule type="expression" dxfId="360" priority="1" stopIfTrue="1">
      <formula>AND(ROW()&gt;=2,ROW()&lt;=2)</formula>
    </cfRule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87"/>
  <sheetViews>
    <sheetView workbookViewId="0">
      <pane xSplit="5" ySplit="4" topLeftCell="F165" activePane="bottomRight" state="frozen"/>
      <selection pane="topRight" activeCell="F1" sqref="F1"/>
      <selection pane="bottomLeft" activeCell="A5" sqref="A5"/>
      <selection pane="bottomRight" activeCell="J179" sqref="J179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6" width="10.7109375" style="22" customWidth="1"/>
    <col min="7" max="7" width="9.85546875" style="22" customWidth="1"/>
    <col min="8" max="8" width="9.140625" style="22" customWidth="1"/>
    <col min="9" max="9" width="10" style="22" customWidth="1"/>
    <col min="10" max="10" width="11.140625" style="22" bestFit="1" customWidth="1"/>
    <col min="11" max="11" width="11.140625" style="22" customWidth="1"/>
    <col min="12" max="13" width="9.140625" customWidth="1"/>
    <col min="14" max="14" width="9.140625" style="31"/>
  </cols>
  <sheetData>
    <row r="1" spans="1:14" ht="27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6"/>
      <c r="G1" s="26"/>
      <c r="H1" s="26"/>
      <c r="I1" s="26"/>
      <c r="J1" s="26"/>
      <c r="K1" s="26"/>
      <c r="L1" s="26"/>
      <c r="M1" s="26"/>
      <c r="N1" s="29" t="s">
        <v>177</v>
      </c>
    </row>
    <row r="2" spans="1:14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/>
      <c r="G2" s="25"/>
      <c r="H2" s="25"/>
      <c r="I2" s="25"/>
      <c r="J2" s="25"/>
      <c r="K2" s="25"/>
      <c r="L2" s="25"/>
      <c r="M2" s="25"/>
      <c r="N2" s="29"/>
    </row>
    <row r="3" spans="1:14" s="28" customFormat="1" ht="12" customHeight="1" x14ac:dyDescent="0.2">
      <c r="A3" s="26"/>
      <c r="B3" s="26"/>
      <c r="C3" s="26" t="s">
        <v>10</v>
      </c>
      <c r="D3" s="26"/>
      <c r="E3" s="38" t="s">
        <v>187</v>
      </c>
      <c r="F3" s="27"/>
      <c r="G3" s="27"/>
      <c r="H3" s="27"/>
      <c r="I3" s="27"/>
      <c r="J3" s="34"/>
      <c r="K3" s="34"/>
      <c r="L3" s="27"/>
      <c r="M3" s="27"/>
      <c r="N3" s="30"/>
    </row>
    <row r="4" spans="1:14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3"/>
    </row>
    <row r="5" spans="1:14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N5" s="31">
        <v>0</v>
      </c>
    </row>
    <row r="6" spans="1:14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L6" s="22"/>
      <c r="N6" s="31">
        <v>0</v>
      </c>
    </row>
    <row r="7" spans="1:14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L7" s="22"/>
      <c r="N7" s="31">
        <v>0</v>
      </c>
    </row>
    <row r="8" spans="1:14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L8" s="22"/>
      <c r="N8" s="31">
        <v>0</v>
      </c>
    </row>
    <row r="9" spans="1:14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L9" s="22"/>
      <c r="N9" s="31">
        <v>0</v>
      </c>
    </row>
    <row r="10" spans="1:14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L10" s="22"/>
      <c r="N10" s="31">
        <v>0</v>
      </c>
    </row>
    <row r="11" spans="1:14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L11" s="22"/>
      <c r="N11" s="31">
        <v>0</v>
      </c>
    </row>
    <row r="12" spans="1:14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L12" s="22"/>
      <c r="N12" s="31">
        <v>0</v>
      </c>
    </row>
    <row r="13" spans="1:14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L13" s="22"/>
      <c r="N13" s="31">
        <v>0</v>
      </c>
    </row>
    <row r="14" spans="1:14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L14" s="22"/>
      <c r="N14" s="31">
        <v>0</v>
      </c>
    </row>
    <row r="15" spans="1:14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L15" s="22"/>
      <c r="N15" s="31">
        <v>0</v>
      </c>
    </row>
    <row r="16" spans="1:14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L16" s="22"/>
      <c r="N16" s="31">
        <v>0</v>
      </c>
    </row>
    <row r="17" spans="1:14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L17" s="22"/>
      <c r="N17" s="31">
        <v>0</v>
      </c>
    </row>
    <row r="18" spans="1:14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L18" s="22"/>
      <c r="N18" s="31">
        <v>0</v>
      </c>
    </row>
    <row r="19" spans="1:14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L19" s="22"/>
      <c r="N19" s="31">
        <v>0</v>
      </c>
    </row>
    <row r="20" spans="1:14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L20" s="22"/>
      <c r="N20" s="31">
        <v>0</v>
      </c>
    </row>
    <row r="21" spans="1:14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L21" s="22"/>
      <c r="N21" s="31">
        <v>0</v>
      </c>
    </row>
    <row r="22" spans="1:14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L22" s="22"/>
      <c r="N22" s="31">
        <v>0</v>
      </c>
    </row>
    <row r="23" spans="1:14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L23" s="22"/>
      <c r="N23" s="31">
        <v>0</v>
      </c>
    </row>
    <row r="24" spans="1:14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L24" s="22"/>
      <c r="N24" s="31">
        <v>0</v>
      </c>
    </row>
    <row r="25" spans="1:14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L25" s="22"/>
      <c r="N25" s="31">
        <v>0</v>
      </c>
    </row>
    <row r="26" spans="1:14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L26" s="22"/>
      <c r="N26" s="31">
        <v>0</v>
      </c>
    </row>
    <row r="27" spans="1:14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L27" s="22"/>
      <c r="N27" s="31">
        <v>0</v>
      </c>
    </row>
    <row r="28" spans="1:14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L28" s="22"/>
      <c r="N28" s="31">
        <v>0</v>
      </c>
    </row>
    <row r="29" spans="1:14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L29" s="22"/>
      <c r="N29" s="31">
        <v>0</v>
      </c>
    </row>
    <row r="30" spans="1:14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L30" s="22"/>
      <c r="N30" s="31">
        <v>0</v>
      </c>
    </row>
    <row r="31" spans="1:14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L31" s="22"/>
      <c r="N31" s="31">
        <v>0</v>
      </c>
    </row>
    <row r="32" spans="1:14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L32" s="22"/>
      <c r="N32" s="31">
        <v>0</v>
      </c>
    </row>
    <row r="33" spans="1:14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L33" s="22"/>
      <c r="N33" s="31">
        <v>0</v>
      </c>
    </row>
    <row r="34" spans="1:14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L34" s="22"/>
      <c r="N34" s="31">
        <v>0</v>
      </c>
    </row>
    <row r="35" spans="1:14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L35" s="22"/>
      <c r="N35" s="31">
        <v>0</v>
      </c>
    </row>
    <row r="36" spans="1:14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L36" s="22"/>
      <c r="N36" s="31">
        <v>0</v>
      </c>
    </row>
    <row r="37" spans="1:14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L37" s="22"/>
      <c r="N37" s="31">
        <v>0</v>
      </c>
    </row>
    <row r="38" spans="1:14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L38" s="22"/>
      <c r="N38" s="31">
        <v>0</v>
      </c>
    </row>
    <row r="39" spans="1:14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L39" s="22"/>
      <c r="N39" s="31">
        <v>0</v>
      </c>
    </row>
    <row r="40" spans="1:14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L40" s="22"/>
      <c r="N40" s="31">
        <v>0</v>
      </c>
    </row>
    <row r="41" spans="1:14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L41" s="22"/>
      <c r="N41" s="31">
        <v>0</v>
      </c>
    </row>
    <row r="42" spans="1:14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L42" s="22"/>
      <c r="N42" s="31">
        <v>0</v>
      </c>
    </row>
    <row r="43" spans="1:14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L43" s="22"/>
      <c r="N43" s="31">
        <v>0</v>
      </c>
    </row>
    <row r="44" spans="1:14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L44" s="22"/>
      <c r="N44" s="31">
        <v>0</v>
      </c>
    </row>
    <row r="45" spans="1:14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L45" s="22"/>
      <c r="N45" s="31">
        <v>0</v>
      </c>
    </row>
    <row r="46" spans="1:14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L46" s="22"/>
      <c r="N46" s="31">
        <v>0</v>
      </c>
    </row>
    <row r="47" spans="1:14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L47" s="22"/>
      <c r="N47" s="31">
        <v>0</v>
      </c>
    </row>
    <row r="48" spans="1:14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L48" s="22"/>
      <c r="N48" s="31">
        <v>0</v>
      </c>
    </row>
    <row r="49" spans="1:14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L49" s="22"/>
      <c r="N49" s="31">
        <v>0</v>
      </c>
    </row>
    <row r="50" spans="1:14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L50" s="22"/>
      <c r="N50" s="31">
        <v>0</v>
      </c>
    </row>
    <row r="51" spans="1:14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L51" s="22"/>
      <c r="N51" s="31">
        <v>0</v>
      </c>
    </row>
    <row r="52" spans="1:14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L52" s="22"/>
      <c r="N52" s="31">
        <v>0</v>
      </c>
    </row>
    <row r="53" spans="1:14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L53" s="22"/>
      <c r="N53" s="31">
        <v>0</v>
      </c>
    </row>
    <row r="54" spans="1:14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L54" s="22"/>
      <c r="N54" s="31">
        <v>0</v>
      </c>
    </row>
    <row r="55" spans="1:14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L55" s="22"/>
      <c r="N55" s="31">
        <v>0</v>
      </c>
    </row>
    <row r="56" spans="1:14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L56" s="22"/>
      <c r="N56" s="31">
        <v>0</v>
      </c>
    </row>
    <row r="57" spans="1:14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L57" s="22"/>
      <c r="N57" s="31">
        <v>0</v>
      </c>
    </row>
    <row r="58" spans="1:14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L58" s="22"/>
      <c r="N58" s="31">
        <v>0</v>
      </c>
    </row>
    <row r="59" spans="1:14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L59" s="22"/>
      <c r="N59" s="31">
        <v>0</v>
      </c>
    </row>
    <row r="60" spans="1:14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L60" s="22"/>
      <c r="N60" s="31">
        <v>0</v>
      </c>
    </row>
    <row r="61" spans="1:14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L61" s="22"/>
      <c r="N61" s="31">
        <v>0</v>
      </c>
    </row>
    <row r="62" spans="1:14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L62" s="22"/>
      <c r="N62" s="31">
        <v>0</v>
      </c>
    </row>
    <row r="63" spans="1:14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L63" s="22"/>
      <c r="N63" s="31">
        <v>0</v>
      </c>
    </row>
    <row r="64" spans="1:14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L64" s="22"/>
      <c r="N64" s="31">
        <v>0</v>
      </c>
    </row>
    <row r="65" spans="1:14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L65" s="22"/>
      <c r="N65" s="31">
        <v>0</v>
      </c>
    </row>
    <row r="66" spans="1:14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L66" s="22"/>
      <c r="N66" s="31">
        <v>0</v>
      </c>
    </row>
    <row r="67" spans="1:14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L67" s="22"/>
      <c r="N67" s="31">
        <v>0</v>
      </c>
    </row>
    <row r="68" spans="1:14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L68" s="22"/>
      <c r="N68" s="31">
        <v>0</v>
      </c>
    </row>
    <row r="69" spans="1:14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L69" s="22"/>
      <c r="N69" s="31">
        <v>0</v>
      </c>
    </row>
    <row r="70" spans="1:14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L70" s="22"/>
      <c r="N70" s="31">
        <v>0</v>
      </c>
    </row>
    <row r="71" spans="1:14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L71" s="22"/>
      <c r="N71" s="31">
        <v>0</v>
      </c>
    </row>
    <row r="72" spans="1:14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L72" s="22"/>
      <c r="N72" s="31">
        <v>0</v>
      </c>
    </row>
    <row r="73" spans="1:14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L73" s="22"/>
      <c r="N73" s="31">
        <v>0</v>
      </c>
    </row>
    <row r="74" spans="1:14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L74" s="22"/>
      <c r="N74" s="31">
        <v>0</v>
      </c>
    </row>
    <row r="75" spans="1:14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L75" s="22"/>
      <c r="N75" s="31">
        <v>0</v>
      </c>
    </row>
    <row r="76" spans="1:14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L76" s="22"/>
      <c r="N76" s="31">
        <v>0</v>
      </c>
    </row>
    <row r="77" spans="1:14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L77" s="22"/>
      <c r="N77" s="31">
        <v>0</v>
      </c>
    </row>
    <row r="78" spans="1:14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L78" s="22"/>
      <c r="N78" s="31">
        <v>0</v>
      </c>
    </row>
    <row r="79" spans="1:14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L79" s="22"/>
      <c r="N79" s="31">
        <v>0</v>
      </c>
    </row>
    <row r="80" spans="1:14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L80" s="22"/>
      <c r="N80" s="31">
        <v>0</v>
      </c>
    </row>
    <row r="81" spans="1:14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L81" s="22"/>
      <c r="N81" s="31">
        <v>0</v>
      </c>
    </row>
    <row r="82" spans="1:14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L82" s="22"/>
      <c r="N82" s="31">
        <v>0</v>
      </c>
    </row>
    <row r="83" spans="1:14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L83" s="22"/>
      <c r="N83" s="31">
        <v>0</v>
      </c>
    </row>
    <row r="84" spans="1:14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L84" s="22"/>
      <c r="N84" s="31">
        <v>0</v>
      </c>
    </row>
    <row r="85" spans="1:14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L85" s="22"/>
      <c r="N85" s="31">
        <v>0</v>
      </c>
    </row>
    <row r="86" spans="1:14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L86" s="22"/>
      <c r="N86" s="31">
        <v>0</v>
      </c>
    </row>
    <row r="87" spans="1:14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L87" s="22"/>
      <c r="N87" s="31">
        <v>0</v>
      </c>
    </row>
    <row r="88" spans="1:14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L88" s="22"/>
      <c r="N88" s="31">
        <v>0</v>
      </c>
    </row>
    <row r="89" spans="1:14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L89" s="22"/>
      <c r="N89" s="31">
        <v>0</v>
      </c>
    </row>
    <row r="90" spans="1:14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L90" s="22"/>
      <c r="N90" s="31">
        <v>0</v>
      </c>
    </row>
    <row r="91" spans="1:14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L91" s="22"/>
      <c r="N91" s="31">
        <v>0</v>
      </c>
    </row>
    <row r="92" spans="1:14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L92" s="22"/>
      <c r="N92" s="31">
        <v>0</v>
      </c>
    </row>
    <row r="93" spans="1:14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L93" s="22"/>
      <c r="N93" s="31">
        <v>0</v>
      </c>
    </row>
    <row r="94" spans="1:14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L94" s="22"/>
      <c r="N94" s="31">
        <v>0</v>
      </c>
    </row>
    <row r="95" spans="1:14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L95" s="22"/>
      <c r="N95" s="31">
        <v>0</v>
      </c>
    </row>
    <row r="96" spans="1:14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L96" s="22"/>
      <c r="N96" s="31">
        <v>0</v>
      </c>
    </row>
    <row r="97" spans="1:14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L97" s="22"/>
      <c r="N97" s="31">
        <v>0</v>
      </c>
    </row>
    <row r="98" spans="1:14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L98" s="22"/>
      <c r="N98" s="31">
        <v>0</v>
      </c>
    </row>
    <row r="99" spans="1:14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L99" s="22"/>
      <c r="N99" s="31">
        <v>0</v>
      </c>
    </row>
    <row r="100" spans="1:14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L100" s="22"/>
      <c r="N100" s="31">
        <v>0</v>
      </c>
    </row>
    <row r="101" spans="1:14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L101" s="22"/>
      <c r="N101" s="31">
        <v>0</v>
      </c>
    </row>
    <row r="102" spans="1:14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L102" s="22"/>
      <c r="N102" s="31">
        <v>0</v>
      </c>
    </row>
    <row r="103" spans="1:14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L103" s="22"/>
      <c r="N103" s="31">
        <v>0</v>
      </c>
    </row>
    <row r="104" spans="1:14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L104" s="22"/>
      <c r="N104" s="31">
        <v>0</v>
      </c>
    </row>
    <row r="105" spans="1:14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L105" s="22"/>
      <c r="N105" s="31">
        <v>0</v>
      </c>
    </row>
    <row r="106" spans="1:14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L106" s="22"/>
      <c r="N106" s="31">
        <v>0</v>
      </c>
    </row>
    <row r="107" spans="1:14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L107" s="22"/>
      <c r="N107" s="31">
        <v>0</v>
      </c>
    </row>
    <row r="108" spans="1:14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L108" s="22"/>
      <c r="N108" s="31">
        <v>0</v>
      </c>
    </row>
    <row r="109" spans="1:14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L109" s="22"/>
      <c r="N109" s="31">
        <v>0</v>
      </c>
    </row>
    <row r="110" spans="1:14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L110" s="22"/>
      <c r="N110" s="31">
        <v>0</v>
      </c>
    </row>
    <row r="111" spans="1:14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L111" s="22"/>
      <c r="N111" s="31">
        <v>0</v>
      </c>
    </row>
    <row r="112" spans="1:14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L112" s="22"/>
      <c r="N112" s="31">
        <v>0</v>
      </c>
    </row>
    <row r="113" spans="1:14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L113" s="22"/>
      <c r="N113" s="31">
        <v>0</v>
      </c>
    </row>
    <row r="114" spans="1:14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L114" s="22"/>
      <c r="N114" s="31">
        <v>0</v>
      </c>
    </row>
    <row r="115" spans="1:14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L115" s="22"/>
      <c r="N115" s="31">
        <v>0</v>
      </c>
    </row>
    <row r="116" spans="1:14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L116" s="22"/>
      <c r="N116" s="31">
        <v>0</v>
      </c>
    </row>
    <row r="117" spans="1:14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L117" s="22"/>
      <c r="N117" s="31">
        <v>0</v>
      </c>
    </row>
    <row r="118" spans="1:14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L118" s="22"/>
      <c r="N118" s="31">
        <v>0</v>
      </c>
    </row>
    <row r="119" spans="1:14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L119" s="22"/>
      <c r="N119" s="31">
        <v>0</v>
      </c>
    </row>
    <row r="120" spans="1:14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L120" s="22"/>
      <c r="N120" s="31">
        <v>0</v>
      </c>
    </row>
    <row r="121" spans="1:14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L121" s="22"/>
      <c r="N121" s="31">
        <v>0</v>
      </c>
    </row>
    <row r="122" spans="1:14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L122" s="22"/>
      <c r="N122" s="31">
        <v>0</v>
      </c>
    </row>
    <row r="123" spans="1:14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L123" s="22"/>
      <c r="N123" s="31">
        <v>0</v>
      </c>
    </row>
    <row r="124" spans="1:14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L124" s="22"/>
      <c r="N124" s="31">
        <v>0</v>
      </c>
    </row>
    <row r="125" spans="1:14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L125" s="22"/>
      <c r="N125" s="31">
        <v>0</v>
      </c>
    </row>
    <row r="126" spans="1:14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L126" s="22"/>
      <c r="N126" s="31">
        <v>0</v>
      </c>
    </row>
    <row r="127" spans="1:14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L127" s="22"/>
      <c r="N127" s="31">
        <v>0</v>
      </c>
    </row>
    <row r="128" spans="1:14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L128" s="22"/>
      <c r="N128" s="31">
        <v>0</v>
      </c>
    </row>
    <row r="129" spans="1:14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L129" s="22"/>
      <c r="N129" s="31">
        <v>0</v>
      </c>
    </row>
    <row r="130" spans="1:14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L130" s="22"/>
      <c r="N130" s="31">
        <v>0</v>
      </c>
    </row>
    <row r="131" spans="1:14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L131" s="22"/>
      <c r="N131" s="31">
        <v>0</v>
      </c>
    </row>
    <row r="132" spans="1:14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L132" s="22"/>
      <c r="N132" s="31">
        <v>0</v>
      </c>
    </row>
    <row r="133" spans="1:14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L133" s="22"/>
      <c r="N133" s="31">
        <v>0</v>
      </c>
    </row>
    <row r="134" spans="1:14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L134" s="22"/>
      <c r="N134" s="31">
        <v>0</v>
      </c>
    </row>
    <row r="135" spans="1:14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L135" s="22"/>
      <c r="N135" s="31">
        <v>0</v>
      </c>
    </row>
    <row r="136" spans="1:14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L136" s="22"/>
      <c r="N136" s="31">
        <v>0</v>
      </c>
    </row>
    <row r="137" spans="1:14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L137" s="22"/>
      <c r="N137" s="31">
        <v>0</v>
      </c>
    </row>
    <row r="138" spans="1:14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L138" s="22"/>
      <c r="N138" s="31">
        <v>0</v>
      </c>
    </row>
    <row r="139" spans="1:14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L139" s="22"/>
      <c r="N139" s="31">
        <v>0</v>
      </c>
    </row>
    <row r="140" spans="1:14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L140" s="22"/>
      <c r="N140" s="31">
        <v>0</v>
      </c>
    </row>
    <row r="141" spans="1:14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L141" s="22"/>
      <c r="N141" s="31">
        <v>0</v>
      </c>
    </row>
    <row r="142" spans="1:14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L142" s="22"/>
      <c r="N142" s="31">
        <v>0</v>
      </c>
    </row>
    <row r="143" spans="1:14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L143" s="22"/>
      <c r="N143" s="31">
        <v>0</v>
      </c>
    </row>
    <row r="144" spans="1:14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L144" s="22"/>
      <c r="N144" s="31">
        <v>0</v>
      </c>
    </row>
    <row r="145" spans="1:14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L145" s="22"/>
      <c r="N145" s="31">
        <v>0</v>
      </c>
    </row>
    <row r="146" spans="1:14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L146" s="22"/>
      <c r="N146" s="31">
        <v>0</v>
      </c>
    </row>
    <row r="147" spans="1:14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L147" s="22"/>
      <c r="N147" s="31">
        <v>0</v>
      </c>
    </row>
    <row r="148" spans="1:14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L148" s="22"/>
      <c r="N148" s="31">
        <v>0</v>
      </c>
    </row>
    <row r="149" spans="1:14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L149" s="22"/>
      <c r="N149" s="31">
        <v>0</v>
      </c>
    </row>
    <row r="150" spans="1:14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L150" s="22"/>
      <c r="N150" s="31">
        <v>0</v>
      </c>
    </row>
    <row r="151" spans="1:14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L151" s="22"/>
      <c r="N151" s="31">
        <v>0</v>
      </c>
    </row>
    <row r="152" spans="1:14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L152" s="22"/>
      <c r="N152" s="31">
        <v>0</v>
      </c>
    </row>
    <row r="153" spans="1:14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L153" s="22"/>
      <c r="N153" s="31">
        <v>0</v>
      </c>
    </row>
    <row r="154" spans="1:14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L154" s="22"/>
      <c r="N154" s="31">
        <v>0</v>
      </c>
    </row>
    <row r="155" spans="1:14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L155" s="22"/>
      <c r="N155" s="31">
        <v>0</v>
      </c>
    </row>
    <row r="156" spans="1:14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L156" s="22"/>
      <c r="N156" s="31">
        <v>0</v>
      </c>
    </row>
    <row r="157" spans="1:14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L157" s="22"/>
      <c r="N157" s="31">
        <v>0</v>
      </c>
    </row>
    <row r="158" spans="1:14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L158" s="22"/>
      <c r="N158" s="31">
        <v>0</v>
      </c>
    </row>
    <row r="159" spans="1:14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L159" s="22"/>
      <c r="N159" s="31">
        <v>0</v>
      </c>
    </row>
    <row r="160" spans="1:14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L160" s="22"/>
      <c r="N160" s="31">
        <v>0</v>
      </c>
    </row>
    <row r="161" spans="1:14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L161" s="22"/>
      <c r="N161" s="31">
        <v>0</v>
      </c>
    </row>
    <row r="162" spans="1:14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L162" s="22"/>
      <c r="N162" s="31">
        <v>0</v>
      </c>
    </row>
    <row r="163" spans="1:14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L163" s="22"/>
      <c r="N163" s="31">
        <v>0</v>
      </c>
    </row>
    <row r="164" spans="1:14" x14ac:dyDescent="0.25">
      <c r="A164" s="22">
        <v>160</v>
      </c>
      <c r="B164" s="22">
        <v>3000003029</v>
      </c>
      <c r="C164" t="s">
        <v>211</v>
      </c>
      <c r="D164" s="22" t="s">
        <v>12</v>
      </c>
      <c r="L164" s="22"/>
      <c r="M164" s="22"/>
      <c r="N164" s="31">
        <v>0</v>
      </c>
    </row>
    <row r="165" spans="1:14" x14ac:dyDescent="0.25">
      <c r="A165" s="22">
        <v>161</v>
      </c>
      <c r="B165" s="22">
        <v>3000003029</v>
      </c>
      <c r="C165" t="s">
        <v>297</v>
      </c>
      <c r="D165" s="22" t="s">
        <v>12</v>
      </c>
      <c r="N165" s="31">
        <v>0</v>
      </c>
    </row>
    <row r="166" spans="1:14" x14ac:dyDescent="0.25">
      <c r="A166" s="22">
        <v>162</v>
      </c>
      <c r="B166" s="22">
        <v>1000006010</v>
      </c>
      <c r="C166" t="s">
        <v>298</v>
      </c>
      <c r="D166" s="22" t="s">
        <v>12</v>
      </c>
      <c r="N166" s="31">
        <v>0</v>
      </c>
    </row>
    <row r="167" spans="1:14" x14ac:dyDescent="0.25">
      <c r="A167" s="22">
        <v>163</v>
      </c>
      <c r="B167" s="22">
        <v>3000001220</v>
      </c>
      <c r="C167" t="s">
        <v>300</v>
      </c>
      <c r="D167" s="22" t="s">
        <v>12</v>
      </c>
      <c r="N167" s="31">
        <v>0</v>
      </c>
    </row>
    <row r="168" spans="1:14" x14ac:dyDescent="0.25">
      <c r="A168" s="22">
        <v>164</v>
      </c>
      <c r="B168" s="22">
        <v>3000001221</v>
      </c>
      <c r="C168" t="s">
        <v>302</v>
      </c>
      <c r="D168" s="22" t="s">
        <v>12</v>
      </c>
      <c r="N168" s="31">
        <v>0</v>
      </c>
    </row>
    <row r="169" spans="1:14" x14ac:dyDescent="0.25">
      <c r="A169" s="22">
        <v>165</v>
      </c>
      <c r="B169" s="22">
        <v>3000001223</v>
      </c>
      <c r="C169" t="s">
        <v>304</v>
      </c>
      <c r="D169" s="22" t="s">
        <v>12</v>
      </c>
      <c r="N169" s="31">
        <v>0</v>
      </c>
    </row>
    <row r="170" spans="1:14" x14ac:dyDescent="0.25">
      <c r="A170" s="22">
        <v>166</v>
      </c>
      <c r="B170" s="22">
        <v>3000001224</v>
      </c>
      <c r="C170" t="s">
        <v>306</v>
      </c>
      <c r="D170" s="22" t="s">
        <v>12</v>
      </c>
      <c r="N170" s="31">
        <v>0</v>
      </c>
    </row>
    <row r="171" spans="1:14" x14ac:dyDescent="0.25">
      <c r="A171" s="22">
        <v>167</v>
      </c>
      <c r="B171" s="22">
        <v>3000003827</v>
      </c>
      <c r="C171" t="s">
        <v>446</v>
      </c>
      <c r="D171" s="22" t="s">
        <v>12</v>
      </c>
      <c r="N171" s="31">
        <v>0</v>
      </c>
    </row>
    <row r="172" spans="1:14" x14ac:dyDescent="0.25">
      <c r="A172" s="22">
        <v>168</v>
      </c>
      <c r="B172" s="22">
        <v>3000001802</v>
      </c>
      <c r="C172" t="s">
        <v>448</v>
      </c>
      <c r="D172" s="22" t="s">
        <v>12</v>
      </c>
      <c r="N172" s="31">
        <v>0</v>
      </c>
    </row>
    <row r="173" spans="1:14" x14ac:dyDescent="0.25">
      <c r="A173" s="22">
        <v>169</v>
      </c>
      <c r="B173" s="22" t="s">
        <v>35</v>
      </c>
      <c r="C173" t="s">
        <v>449</v>
      </c>
      <c r="D173" s="22" t="s">
        <v>12</v>
      </c>
      <c r="N173" s="31">
        <v>0</v>
      </c>
    </row>
    <row r="174" spans="1:14" x14ac:dyDescent="0.25">
      <c r="A174" s="22">
        <v>170</v>
      </c>
      <c r="B174" s="22" t="s">
        <v>35</v>
      </c>
      <c r="C174" t="s">
        <v>450</v>
      </c>
      <c r="D174" s="22" t="s">
        <v>12</v>
      </c>
      <c r="N174" s="31">
        <v>0</v>
      </c>
    </row>
    <row r="175" spans="1:14" x14ac:dyDescent="0.25">
      <c r="A175" s="22">
        <v>171</v>
      </c>
      <c r="B175" s="22" t="s">
        <v>35</v>
      </c>
      <c r="C175" t="s">
        <v>510</v>
      </c>
      <c r="D175" s="22" t="s">
        <v>12</v>
      </c>
      <c r="N175" s="31">
        <v>0</v>
      </c>
    </row>
    <row r="176" spans="1:14" x14ac:dyDescent="0.25">
      <c r="A176" s="22">
        <v>172</v>
      </c>
      <c r="B176" s="22" t="s">
        <v>35</v>
      </c>
      <c r="C176" t="s">
        <v>516</v>
      </c>
      <c r="D176" s="22" t="s">
        <v>12</v>
      </c>
      <c r="N176" s="31">
        <v>0</v>
      </c>
    </row>
    <row r="177" spans="1:14" x14ac:dyDescent="0.25">
      <c r="A177" s="22">
        <v>173</v>
      </c>
      <c r="B177" s="22" t="s">
        <v>35</v>
      </c>
      <c r="C177" t="s">
        <v>600</v>
      </c>
      <c r="D177" s="22" t="s">
        <v>12</v>
      </c>
      <c r="N177" s="31">
        <v>0</v>
      </c>
    </row>
    <row r="178" spans="1:14" x14ac:dyDescent="0.25">
      <c r="A178" s="22">
        <v>174</v>
      </c>
      <c r="B178" s="22" t="s">
        <v>35</v>
      </c>
      <c r="C178" t="s">
        <v>601</v>
      </c>
      <c r="D178" s="22" t="s">
        <v>12</v>
      </c>
      <c r="N178" s="31">
        <v>0</v>
      </c>
    </row>
    <row r="179" spans="1:14" x14ac:dyDescent="0.25">
      <c r="A179" s="22">
        <v>99</v>
      </c>
      <c r="B179" s="22" t="s">
        <v>35</v>
      </c>
      <c r="C179" t="s">
        <v>1383</v>
      </c>
      <c r="D179" s="22" t="s">
        <v>12</v>
      </c>
      <c r="N179" s="31">
        <v>0</v>
      </c>
    </row>
    <row r="180" spans="1:14" x14ac:dyDescent="0.25">
      <c r="A180" s="22">
        <v>99</v>
      </c>
      <c r="B180" s="22" t="s">
        <v>35</v>
      </c>
      <c r="C180" t="s">
        <v>1557</v>
      </c>
      <c r="D180" s="22" t="s">
        <v>12</v>
      </c>
      <c r="N180" s="31">
        <v>0</v>
      </c>
    </row>
    <row r="181" spans="1:14" x14ac:dyDescent="0.25">
      <c r="A181" s="22">
        <v>101</v>
      </c>
      <c r="B181" s="22">
        <v>3000000008</v>
      </c>
      <c r="C181" t="s">
        <v>1565</v>
      </c>
      <c r="D181" s="22" t="s">
        <v>12</v>
      </c>
      <c r="N181" s="31">
        <v>0</v>
      </c>
    </row>
    <row r="182" spans="1:14" x14ac:dyDescent="0.25">
      <c r="A182" s="22">
        <v>178</v>
      </c>
      <c r="B182" s="22" t="s">
        <v>35</v>
      </c>
      <c r="C182" t="s">
        <v>1662</v>
      </c>
      <c r="D182" s="22" t="s">
        <v>12</v>
      </c>
      <c r="N182" s="31">
        <v>0</v>
      </c>
    </row>
    <row r="183" spans="1:14" x14ac:dyDescent="0.25">
      <c r="A183" s="22">
        <v>80</v>
      </c>
      <c r="B183" s="22" t="s">
        <v>35</v>
      </c>
      <c r="C183" t="s">
        <v>1574</v>
      </c>
      <c r="D183" s="22" t="s">
        <v>12</v>
      </c>
      <c r="N183" s="31">
        <v>0</v>
      </c>
    </row>
    <row r="184" spans="1:14" x14ac:dyDescent="0.25">
      <c r="A184" s="22">
        <v>81</v>
      </c>
      <c r="B184" s="22">
        <v>1000014673</v>
      </c>
      <c r="C184" t="s">
        <v>1575</v>
      </c>
      <c r="D184" s="22" t="s">
        <v>12</v>
      </c>
      <c r="N184" s="31">
        <v>0</v>
      </c>
    </row>
    <row r="185" spans="1:14" x14ac:dyDescent="0.25">
      <c r="A185" s="22">
        <v>181</v>
      </c>
      <c r="B185" s="22">
        <v>4000021502</v>
      </c>
      <c r="C185" t="s">
        <v>1576</v>
      </c>
      <c r="D185" s="22" t="s">
        <v>12</v>
      </c>
      <c r="N185" s="31">
        <v>0</v>
      </c>
    </row>
    <row r="186" spans="1:14" x14ac:dyDescent="0.25">
      <c r="A186" s="22">
        <v>100</v>
      </c>
      <c r="B186" s="22">
        <v>3000002696</v>
      </c>
      <c r="C186" t="s">
        <v>1580</v>
      </c>
      <c r="D186" s="22" t="s">
        <v>12</v>
      </c>
      <c r="N186" s="31">
        <v>0</v>
      </c>
    </row>
    <row r="187" spans="1:14" x14ac:dyDescent="0.25">
      <c r="A187" s="22">
        <v>101</v>
      </c>
      <c r="B187" s="22">
        <v>3000000707</v>
      </c>
      <c r="C187" t="s">
        <v>1618</v>
      </c>
      <c r="D187" s="22" t="s">
        <v>12</v>
      </c>
      <c r="N187" s="31">
        <v>0</v>
      </c>
    </row>
  </sheetData>
  <autoFilter ref="A4:N4"/>
  <mergeCells count="3">
    <mergeCell ref="A1:A2"/>
    <mergeCell ref="B1:B2"/>
    <mergeCell ref="C1:C2"/>
  </mergeCells>
  <conditionalFormatting sqref="A179:XFD179">
    <cfRule type="expression" dxfId="359" priority="1" stopIfTrue="1">
      <formula>AND(ROW()&gt;=179,ROW()&lt;=179)</formula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X187"/>
  <sheetViews>
    <sheetView zoomScaleNormal="100" workbookViewId="0">
      <pane xSplit="5" ySplit="4" topLeftCell="BD5" activePane="bottomRight" state="frozen"/>
      <selection pane="topRight" activeCell="F1" sqref="F1"/>
      <selection pane="bottomLeft" activeCell="A5" sqref="A5"/>
      <selection pane="bottomRight" activeCell="BQ1" sqref="BQ1:BS1048576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customWidth="1"/>
    <col min="5" max="5" width="8.140625" customWidth="1"/>
    <col min="6" max="23" width="9.140625" style="22" customWidth="1"/>
    <col min="24" max="38" width="11.140625" style="22" customWidth="1"/>
    <col min="39" max="57" width="10.85546875" style="22" customWidth="1"/>
    <col min="58" max="72" width="9.85546875" style="22" customWidth="1"/>
    <col min="73" max="74" width="10.85546875" style="22" customWidth="1"/>
    <col min="75" max="75" width="9.140625" style="22"/>
  </cols>
  <sheetData>
    <row r="1" spans="1:75" ht="26.25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66</v>
      </c>
      <c r="E1" s="27" t="s">
        <v>188</v>
      </c>
      <c r="F1" s="26" t="s">
        <v>207</v>
      </c>
      <c r="G1" s="26" t="s">
        <v>207</v>
      </c>
      <c r="H1" s="26" t="s">
        <v>207</v>
      </c>
      <c r="I1" s="26" t="s">
        <v>207</v>
      </c>
      <c r="J1" s="26" t="s">
        <v>207</v>
      </c>
      <c r="K1" s="26" t="s">
        <v>207</v>
      </c>
      <c r="L1" s="26" t="s">
        <v>207</v>
      </c>
      <c r="M1" s="26" t="s">
        <v>207</v>
      </c>
      <c r="N1" s="26" t="s">
        <v>207</v>
      </c>
      <c r="O1" s="26" t="s">
        <v>207</v>
      </c>
      <c r="P1" s="26" t="s">
        <v>207</v>
      </c>
      <c r="Q1" s="26" t="s">
        <v>207</v>
      </c>
      <c r="R1" s="26" t="s">
        <v>207</v>
      </c>
      <c r="S1" s="26" t="s">
        <v>207</v>
      </c>
      <c r="T1" s="26" t="s">
        <v>207</v>
      </c>
      <c r="U1" s="26" t="s">
        <v>207</v>
      </c>
      <c r="V1" s="26" t="s">
        <v>207</v>
      </c>
      <c r="W1" s="26" t="s">
        <v>207</v>
      </c>
      <c r="X1" s="26" t="s">
        <v>207</v>
      </c>
      <c r="Y1" s="26" t="s">
        <v>207</v>
      </c>
      <c r="Z1" s="26" t="s">
        <v>207</v>
      </c>
      <c r="AA1" s="26" t="s">
        <v>207</v>
      </c>
      <c r="AB1" s="26" t="s">
        <v>207</v>
      </c>
      <c r="AC1" s="26" t="s">
        <v>207</v>
      </c>
      <c r="AD1" s="26" t="s">
        <v>207</v>
      </c>
      <c r="AE1" s="26" t="s">
        <v>207</v>
      </c>
      <c r="AF1" s="26" t="s">
        <v>207</v>
      </c>
      <c r="AG1" s="26" t="s">
        <v>207</v>
      </c>
      <c r="AH1" s="26" t="s">
        <v>207</v>
      </c>
      <c r="AI1" s="26" t="s">
        <v>207</v>
      </c>
      <c r="AJ1" s="26" t="s">
        <v>207</v>
      </c>
      <c r="AK1" s="26" t="s">
        <v>207</v>
      </c>
      <c r="AL1" s="26" t="s">
        <v>207</v>
      </c>
      <c r="AM1" s="26" t="s">
        <v>207</v>
      </c>
      <c r="AN1" s="26" t="s">
        <v>207</v>
      </c>
      <c r="AO1" s="26" t="s">
        <v>207</v>
      </c>
      <c r="AP1" s="26" t="s">
        <v>207</v>
      </c>
      <c r="AQ1" s="26" t="s">
        <v>207</v>
      </c>
      <c r="AR1" s="26" t="s">
        <v>207</v>
      </c>
      <c r="AS1" s="26" t="s">
        <v>207</v>
      </c>
      <c r="AT1" s="26" t="s">
        <v>207</v>
      </c>
      <c r="AU1" s="26" t="s">
        <v>207</v>
      </c>
      <c r="AV1" s="26" t="s">
        <v>207</v>
      </c>
      <c r="AW1" s="26" t="s">
        <v>207</v>
      </c>
      <c r="AX1" s="26" t="s">
        <v>207</v>
      </c>
      <c r="AY1" s="26" t="s">
        <v>207</v>
      </c>
      <c r="AZ1" s="26" t="s">
        <v>207</v>
      </c>
      <c r="BA1" s="26" t="s">
        <v>207</v>
      </c>
      <c r="BB1" s="26" t="s">
        <v>207</v>
      </c>
      <c r="BC1" s="26" t="s">
        <v>207</v>
      </c>
      <c r="BD1" s="26" t="s">
        <v>207</v>
      </c>
      <c r="BE1" s="26" t="s">
        <v>207</v>
      </c>
      <c r="BF1" s="26" t="s">
        <v>207</v>
      </c>
      <c r="BG1" s="26" t="s">
        <v>207</v>
      </c>
      <c r="BH1" s="26" t="s">
        <v>207</v>
      </c>
      <c r="BI1" s="26" t="s">
        <v>207</v>
      </c>
      <c r="BJ1" s="26" t="s">
        <v>207</v>
      </c>
      <c r="BK1" s="26" t="s">
        <v>207</v>
      </c>
      <c r="BL1" s="26" t="s">
        <v>207</v>
      </c>
      <c r="BM1" s="26" t="s">
        <v>207</v>
      </c>
      <c r="BN1" s="26" t="s">
        <v>207</v>
      </c>
      <c r="BO1" s="26" t="s">
        <v>207</v>
      </c>
      <c r="BP1" s="26" t="s">
        <v>207</v>
      </c>
      <c r="BQ1" s="26" t="s">
        <v>207</v>
      </c>
      <c r="BR1" s="26" t="s">
        <v>207</v>
      </c>
      <c r="BS1" s="26" t="s">
        <v>207</v>
      </c>
      <c r="BT1" s="26"/>
      <c r="BU1" s="26"/>
      <c r="BV1" s="26"/>
      <c r="BW1" s="25" t="s">
        <v>177</v>
      </c>
    </row>
    <row r="2" spans="1:75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186</v>
      </c>
      <c r="G2" s="25" t="s">
        <v>190</v>
      </c>
      <c r="H2" s="25" t="s">
        <v>191</v>
      </c>
      <c r="I2" s="25" t="s">
        <v>192</v>
      </c>
      <c r="J2" s="25" t="s">
        <v>193</v>
      </c>
      <c r="K2" s="25" t="s">
        <v>194</v>
      </c>
      <c r="L2" s="25" t="s">
        <v>195</v>
      </c>
      <c r="M2" s="25" t="s">
        <v>196</v>
      </c>
      <c r="N2" s="25" t="s">
        <v>197</v>
      </c>
      <c r="O2" s="25" t="s">
        <v>198</v>
      </c>
      <c r="P2" s="25" t="s">
        <v>199</v>
      </c>
      <c r="Q2" s="25" t="s">
        <v>200</v>
      </c>
      <c r="R2" s="25" t="s">
        <v>201</v>
      </c>
      <c r="S2" s="25" t="s">
        <v>202</v>
      </c>
      <c r="T2" s="25" t="s">
        <v>203</v>
      </c>
      <c r="U2" s="25" t="s">
        <v>204</v>
      </c>
      <c r="V2" s="25" t="s">
        <v>205</v>
      </c>
      <c r="W2" s="25" t="s">
        <v>206</v>
      </c>
      <c r="X2" s="25" t="s">
        <v>308</v>
      </c>
      <c r="Y2" s="25" t="s">
        <v>309</v>
      </c>
      <c r="Z2" s="25" t="s">
        <v>454</v>
      </c>
      <c r="AA2" s="25" t="s">
        <v>455</v>
      </c>
      <c r="AB2" s="25" t="s">
        <v>463</v>
      </c>
      <c r="AC2" s="25" t="s">
        <v>462</v>
      </c>
      <c r="AD2" s="25" t="s">
        <v>502</v>
      </c>
      <c r="AE2" s="25" t="s">
        <v>547</v>
      </c>
      <c r="AF2" s="25" t="s">
        <v>548</v>
      </c>
      <c r="AG2" s="25" t="s">
        <v>551</v>
      </c>
      <c r="AH2" s="25" t="s">
        <v>579</v>
      </c>
      <c r="AI2" s="25" t="s">
        <v>586</v>
      </c>
      <c r="AJ2" s="25" t="s">
        <v>603</v>
      </c>
      <c r="AK2" s="25" t="s">
        <v>627</v>
      </c>
      <c r="AL2" s="25" t="s">
        <v>640</v>
      </c>
      <c r="AM2" s="25" t="s">
        <v>1300</v>
      </c>
      <c r="AN2" s="25" t="s">
        <v>1307</v>
      </c>
      <c r="AO2" s="25" t="s">
        <v>1318</v>
      </c>
      <c r="AP2" s="25" t="s">
        <v>1331</v>
      </c>
      <c r="AQ2" s="25" t="s">
        <v>1352</v>
      </c>
      <c r="AR2" s="25" t="s">
        <v>1353</v>
      </c>
      <c r="AS2" s="25" t="s">
        <v>1358</v>
      </c>
      <c r="AT2" s="25" t="s">
        <v>1360</v>
      </c>
      <c r="AU2" s="25" t="s">
        <v>1361</v>
      </c>
      <c r="AV2" s="25" t="s">
        <v>1368</v>
      </c>
      <c r="AW2" s="25" t="s">
        <v>1375</v>
      </c>
      <c r="AX2" s="25" t="s">
        <v>1373</v>
      </c>
      <c r="AY2" s="25" t="s">
        <v>1374</v>
      </c>
      <c r="AZ2" s="25" t="s">
        <v>1458</v>
      </c>
      <c r="BA2" s="25" t="s">
        <v>1468</v>
      </c>
      <c r="BB2" s="25" t="s">
        <v>1469</v>
      </c>
      <c r="BC2" s="25" t="s">
        <v>1478</v>
      </c>
      <c r="BD2" s="25" t="s">
        <v>1479</v>
      </c>
      <c r="BE2" s="25" t="s">
        <v>1484</v>
      </c>
      <c r="BF2" s="25" t="s">
        <v>1622</v>
      </c>
      <c r="BG2" s="25" t="s">
        <v>1687</v>
      </c>
      <c r="BH2" s="25" t="s">
        <v>1688</v>
      </c>
      <c r="BI2" s="25" t="s">
        <v>1689</v>
      </c>
      <c r="BJ2" s="25" t="s">
        <v>1690</v>
      </c>
      <c r="BK2" s="25" t="s">
        <v>1691</v>
      </c>
      <c r="BL2" s="25" t="s">
        <v>1812</v>
      </c>
      <c r="BM2" s="25" t="s">
        <v>1813</v>
      </c>
      <c r="BN2" s="25" t="s">
        <v>1814</v>
      </c>
      <c r="BO2" s="25" t="s">
        <v>1815</v>
      </c>
      <c r="BP2" s="25" t="s">
        <v>1816</v>
      </c>
      <c r="BQ2" s="25" t="s">
        <v>1834</v>
      </c>
      <c r="BR2" s="25" t="s">
        <v>1835</v>
      </c>
      <c r="BS2" s="25" t="s">
        <v>1836</v>
      </c>
      <c r="BT2" s="25"/>
      <c r="BU2" s="25"/>
      <c r="BV2" s="25"/>
      <c r="BW2" s="25"/>
    </row>
    <row r="3" spans="1:75" s="28" customFormat="1" ht="12" customHeight="1" x14ac:dyDescent="0.25">
      <c r="A3" s="26"/>
      <c r="B3" s="26"/>
      <c r="C3"/>
      <c r="D3" s="26"/>
      <c r="E3" s="38" t="s">
        <v>187</v>
      </c>
      <c r="F3" s="27" t="s">
        <v>187</v>
      </c>
      <c r="G3" s="27">
        <v>45795</v>
      </c>
      <c r="H3" s="27">
        <v>45797</v>
      </c>
      <c r="I3" s="27">
        <v>45805</v>
      </c>
      <c r="J3" s="27">
        <v>45808</v>
      </c>
      <c r="K3" s="27">
        <v>45819</v>
      </c>
      <c r="L3" s="27">
        <v>45819</v>
      </c>
      <c r="M3" s="27">
        <v>45819</v>
      </c>
      <c r="N3" s="27">
        <v>45836</v>
      </c>
      <c r="O3" s="27">
        <v>45836</v>
      </c>
      <c r="P3" s="27">
        <v>45843</v>
      </c>
      <c r="Q3" s="27">
        <v>45846</v>
      </c>
      <c r="R3" s="27">
        <v>45848</v>
      </c>
      <c r="S3" s="27">
        <v>45853</v>
      </c>
      <c r="T3" s="27">
        <v>45866</v>
      </c>
      <c r="U3" s="27">
        <v>45872</v>
      </c>
      <c r="V3" s="27">
        <v>45879</v>
      </c>
      <c r="W3" s="27">
        <v>45879</v>
      </c>
      <c r="X3" s="34">
        <v>45888</v>
      </c>
      <c r="Y3" s="34">
        <v>45888</v>
      </c>
      <c r="Z3" s="34">
        <v>45896</v>
      </c>
      <c r="AA3" s="34">
        <v>45896</v>
      </c>
      <c r="AB3" s="34">
        <v>45897</v>
      </c>
      <c r="AC3" s="34">
        <v>45897</v>
      </c>
      <c r="AD3" s="34">
        <v>45907</v>
      </c>
      <c r="AE3" s="34">
        <v>45914</v>
      </c>
      <c r="AF3" s="34">
        <v>45914</v>
      </c>
      <c r="AG3" s="34">
        <v>45915</v>
      </c>
      <c r="AH3" s="34">
        <v>45922</v>
      </c>
      <c r="AI3" s="34">
        <v>45924</v>
      </c>
      <c r="AJ3" s="34">
        <v>45924</v>
      </c>
      <c r="AK3" s="34">
        <v>45937</v>
      </c>
      <c r="AL3" s="34">
        <v>45950</v>
      </c>
      <c r="AM3" s="27">
        <v>45967</v>
      </c>
      <c r="AN3" s="27">
        <v>45969</v>
      </c>
      <c r="AO3" s="27">
        <v>45971</v>
      </c>
      <c r="AP3" s="27">
        <v>45972</v>
      </c>
      <c r="AQ3" s="27">
        <v>45974</v>
      </c>
      <c r="AR3" s="27">
        <v>45976</v>
      </c>
      <c r="AS3" s="27">
        <v>45977</v>
      </c>
      <c r="AT3" s="27">
        <v>45978</v>
      </c>
      <c r="AU3" s="27">
        <v>45978</v>
      </c>
      <c r="AV3" s="27">
        <v>45979</v>
      </c>
      <c r="AW3" s="27">
        <v>45981</v>
      </c>
      <c r="AX3" s="27">
        <v>45981</v>
      </c>
      <c r="AY3" s="27">
        <v>45981</v>
      </c>
      <c r="AZ3" s="27">
        <v>46005</v>
      </c>
      <c r="BA3" s="27">
        <v>46008</v>
      </c>
      <c r="BB3" s="27">
        <v>46008</v>
      </c>
      <c r="BC3" s="27">
        <v>46011</v>
      </c>
      <c r="BD3" s="27">
        <v>46012</v>
      </c>
      <c r="BE3" s="27">
        <v>46015</v>
      </c>
      <c r="BF3" s="27">
        <v>46033</v>
      </c>
      <c r="BG3" s="27">
        <v>46030</v>
      </c>
      <c r="BH3" s="27">
        <v>46038</v>
      </c>
      <c r="BI3" s="27">
        <v>46038</v>
      </c>
      <c r="BJ3" s="27">
        <v>46042</v>
      </c>
      <c r="BK3" s="27">
        <v>46042</v>
      </c>
      <c r="BL3" s="27">
        <v>46044</v>
      </c>
      <c r="BM3" s="27">
        <v>46045</v>
      </c>
      <c r="BN3" s="27">
        <v>46045</v>
      </c>
      <c r="BO3" s="27">
        <v>46048</v>
      </c>
      <c r="BP3" s="27">
        <v>46050</v>
      </c>
      <c r="BQ3" s="27">
        <v>46051</v>
      </c>
      <c r="BR3" s="27">
        <v>46052</v>
      </c>
      <c r="BS3" s="27">
        <v>46052</v>
      </c>
      <c r="BT3" s="27"/>
      <c r="BU3" s="27"/>
      <c r="BV3" s="27"/>
      <c r="BW3" s="27"/>
    </row>
    <row r="4" spans="1:75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 t="s">
        <v>665</v>
      </c>
      <c r="AL4" s="32" t="s">
        <v>666</v>
      </c>
      <c r="AM4" s="111" t="s">
        <v>1301</v>
      </c>
      <c r="AN4" s="111" t="s">
        <v>1308</v>
      </c>
      <c r="AO4" s="111" t="s">
        <v>1319</v>
      </c>
      <c r="AP4" s="111" t="s">
        <v>1332</v>
      </c>
      <c r="AQ4" s="111" t="s">
        <v>1354</v>
      </c>
      <c r="AR4" s="111" t="s">
        <v>1355</v>
      </c>
      <c r="AS4" s="111" t="s">
        <v>1359</v>
      </c>
      <c r="AT4" s="111" t="s">
        <v>1364</v>
      </c>
      <c r="AU4" s="111" t="s">
        <v>1365</v>
      </c>
      <c r="AV4" s="111" t="s">
        <v>1369</v>
      </c>
      <c r="AW4" s="111" t="s">
        <v>1376</v>
      </c>
      <c r="AX4" s="111" t="s">
        <v>1377</v>
      </c>
      <c r="AY4" s="111" t="s">
        <v>1378</v>
      </c>
      <c r="AZ4" s="111" t="s">
        <v>1510</v>
      </c>
      <c r="BA4" s="111" t="s">
        <v>1511</v>
      </c>
      <c r="BB4" s="111" t="s">
        <v>1470</v>
      </c>
      <c r="BC4" s="111" t="s">
        <v>1515</v>
      </c>
      <c r="BD4" s="111" t="s">
        <v>1516</v>
      </c>
      <c r="BE4" s="111" t="s">
        <v>1517</v>
      </c>
      <c r="BF4" s="39" t="s">
        <v>1637</v>
      </c>
      <c r="BG4" s="39" t="s">
        <v>1693</v>
      </c>
      <c r="BH4" s="39" t="s">
        <v>1693</v>
      </c>
      <c r="BI4" s="39" t="s">
        <v>1693</v>
      </c>
      <c r="BJ4" s="39" t="s">
        <v>1693</v>
      </c>
      <c r="BK4" s="39" t="s">
        <v>1693</v>
      </c>
      <c r="BL4" s="39" t="s">
        <v>1837</v>
      </c>
      <c r="BM4" s="39" t="s">
        <v>1837</v>
      </c>
      <c r="BN4" s="39" t="s">
        <v>1837</v>
      </c>
      <c r="BO4" s="39" t="s">
        <v>1837</v>
      </c>
      <c r="BP4" s="39" t="s">
        <v>1837</v>
      </c>
      <c r="BQ4" s="39" t="s">
        <v>1837</v>
      </c>
      <c r="BR4" s="39" t="s">
        <v>1837</v>
      </c>
      <c r="BS4" s="39" t="s">
        <v>1837</v>
      </c>
      <c r="BT4" s="39"/>
      <c r="BU4" s="111"/>
      <c r="BV4" s="111"/>
      <c r="BW4" s="32"/>
    </row>
    <row r="5" spans="1:75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BW5" s="22">
        <v>0</v>
      </c>
    </row>
    <row r="6" spans="1:75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BW6" s="22">
        <v>0</v>
      </c>
    </row>
    <row r="7" spans="1:75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BW7" s="22">
        <v>0</v>
      </c>
    </row>
    <row r="8" spans="1:75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L8" s="22">
        <v>5</v>
      </c>
      <c r="W8" s="22">
        <v>3</v>
      </c>
      <c r="Z8" s="22">
        <v>1</v>
      </c>
      <c r="AQ8" s="22">
        <v>45</v>
      </c>
      <c r="BG8" s="22">
        <v>50</v>
      </c>
      <c r="BW8" s="22">
        <v>104</v>
      </c>
    </row>
    <row r="9" spans="1:75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L9" s="22">
        <v>2</v>
      </c>
      <c r="Q9" s="22">
        <v>21</v>
      </c>
      <c r="S9" s="22">
        <v>45</v>
      </c>
      <c r="W9" s="22">
        <v>3</v>
      </c>
      <c r="Z9" s="22">
        <v>5</v>
      </c>
      <c r="AQ9" s="22">
        <v>45</v>
      </c>
      <c r="BG9" s="22">
        <v>50</v>
      </c>
      <c r="BW9" s="22">
        <v>171</v>
      </c>
    </row>
    <row r="10" spans="1:75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H10" s="22">
        <v>1</v>
      </c>
      <c r="BW10" s="22">
        <v>1</v>
      </c>
    </row>
    <row r="11" spans="1:75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L11" s="22">
        <v>5</v>
      </c>
      <c r="O11" s="22">
        <v>10</v>
      </c>
      <c r="Q11" s="22">
        <v>10</v>
      </c>
      <c r="W11" s="22">
        <v>3</v>
      </c>
      <c r="AA11" s="22">
        <v>5</v>
      </c>
      <c r="AQ11" s="22">
        <v>45</v>
      </c>
      <c r="BG11" s="22">
        <v>50</v>
      </c>
      <c r="BW11" s="22">
        <v>128</v>
      </c>
    </row>
    <row r="12" spans="1:75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BW12" s="22">
        <v>0</v>
      </c>
    </row>
    <row r="13" spans="1:75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BW13" s="22">
        <v>0</v>
      </c>
    </row>
    <row r="14" spans="1:75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Q14" s="22">
        <v>5</v>
      </c>
      <c r="BW14" s="22">
        <v>5</v>
      </c>
    </row>
    <row r="15" spans="1:75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BW15" s="22">
        <v>0</v>
      </c>
    </row>
    <row r="16" spans="1:75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BW16" s="22">
        <v>0</v>
      </c>
    </row>
    <row r="17" spans="1:75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BW17" s="22">
        <v>0</v>
      </c>
    </row>
    <row r="18" spans="1:75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AR18"/>
      <c r="AS18"/>
      <c r="AT18"/>
      <c r="AU18"/>
      <c r="BW18" s="22">
        <v>0</v>
      </c>
    </row>
    <row r="19" spans="1:75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H19" s="22">
        <v>30</v>
      </c>
      <c r="I19" s="22">
        <v>20</v>
      </c>
      <c r="J19" s="22">
        <v>100</v>
      </c>
      <c r="N19" s="22">
        <v>320</v>
      </c>
      <c r="R19" s="22">
        <v>311</v>
      </c>
      <c r="S19" s="22">
        <v>128</v>
      </c>
      <c r="U19" s="22">
        <v>100</v>
      </c>
      <c r="V19" s="22">
        <v>300</v>
      </c>
      <c r="X19" s="22">
        <v>200</v>
      </c>
      <c r="AR19"/>
      <c r="AS19"/>
      <c r="AT19"/>
      <c r="AU19"/>
      <c r="AV19" s="22">
        <v>400</v>
      </c>
      <c r="BB19" s="22">
        <v>400</v>
      </c>
      <c r="BW19" s="22">
        <v>2309</v>
      </c>
    </row>
    <row r="20" spans="1:75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J20" s="22">
        <v>40</v>
      </c>
      <c r="L20" s="22">
        <v>100</v>
      </c>
      <c r="Z20" s="22">
        <v>100</v>
      </c>
      <c r="AZ20" s="22">
        <v>450</v>
      </c>
      <c r="BF20" s="22">
        <v>1500</v>
      </c>
      <c r="BI20" s="22">
        <v>700</v>
      </c>
      <c r="BK20" s="22">
        <v>800</v>
      </c>
      <c r="BW20" s="22">
        <v>3690</v>
      </c>
    </row>
    <row r="21" spans="1:75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J21" s="22">
        <v>50</v>
      </c>
      <c r="L21" s="22">
        <v>100</v>
      </c>
      <c r="P21" s="22">
        <v>500</v>
      </c>
      <c r="V21" s="22">
        <v>100</v>
      </c>
      <c r="AC21" s="22">
        <v>250</v>
      </c>
      <c r="AF21" s="22">
        <v>1500</v>
      </c>
      <c r="AQ21" s="22">
        <v>1550</v>
      </c>
      <c r="AR21" s="22">
        <v>1600</v>
      </c>
      <c r="AW21" s="22">
        <v>1490</v>
      </c>
      <c r="BK21" s="22">
        <v>2000</v>
      </c>
      <c r="BR21" s="22">
        <v>1500</v>
      </c>
      <c r="BS21" s="22">
        <v>2700</v>
      </c>
      <c r="BW21" s="22">
        <v>13340</v>
      </c>
    </row>
    <row r="22" spans="1:75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BW22" s="22">
        <v>0</v>
      </c>
    </row>
    <row r="23" spans="1:75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AD23" s="22">
        <v>10</v>
      </c>
      <c r="AQ23" s="22">
        <v>45</v>
      </c>
      <c r="BW23" s="22">
        <v>55</v>
      </c>
    </row>
    <row r="24" spans="1:75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W24" s="22">
        <v>4</v>
      </c>
      <c r="AQ24" s="22">
        <v>45</v>
      </c>
      <c r="BW24" s="22">
        <v>49</v>
      </c>
    </row>
    <row r="25" spans="1:75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W25" s="22">
        <v>4</v>
      </c>
      <c r="AQ25" s="22">
        <v>45</v>
      </c>
      <c r="BA25" s="22">
        <v>50</v>
      </c>
      <c r="BC25" s="22">
        <v>45</v>
      </c>
      <c r="BW25" s="22">
        <v>144</v>
      </c>
    </row>
    <row r="26" spans="1:75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AH26" s="22">
        <v>4</v>
      </c>
      <c r="BW26" s="22">
        <v>4</v>
      </c>
    </row>
    <row r="27" spans="1:75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G27" s="22">
        <v>60</v>
      </c>
      <c r="H27" s="22">
        <v>200</v>
      </c>
      <c r="J27" s="22">
        <v>522</v>
      </c>
      <c r="L27" s="22">
        <v>200</v>
      </c>
      <c r="N27" s="22">
        <v>600</v>
      </c>
      <c r="P27" s="22">
        <v>2020</v>
      </c>
      <c r="R27" s="22">
        <v>820</v>
      </c>
      <c r="S27" s="22">
        <v>524</v>
      </c>
      <c r="U27" s="22">
        <v>320</v>
      </c>
      <c r="V27" s="22">
        <v>212</v>
      </c>
      <c r="X27" s="22">
        <v>20</v>
      </c>
      <c r="Z27" s="22">
        <v>528</v>
      </c>
      <c r="AC27" s="22">
        <v>1268</v>
      </c>
      <c r="AF27" s="22">
        <v>3048</v>
      </c>
      <c r="AK27" s="22">
        <v>88</v>
      </c>
      <c r="AL27" s="22">
        <v>2266</v>
      </c>
      <c r="AQ27" s="22">
        <v>40</v>
      </c>
      <c r="AR27" s="22">
        <v>5374</v>
      </c>
      <c r="AW27" s="22">
        <v>2241</v>
      </c>
      <c r="BE27" s="22">
        <v>4881</v>
      </c>
      <c r="BJ27" s="22">
        <v>3046</v>
      </c>
      <c r="BN27" s="22">
        <v>2527</v>
      </c>
      <c r="BP27" s="22">
        <v>86</v>
      </c>
      <c r="BQ27" s="22">
        <v>193</v>
      </c>
      <c r="BR27" s="22">
        <v>23</v>
      </c>
      <c r="BS27" s="22">
        <v>21</v>
      </c>
      <c r="BW27" s="22">
        <v>31128</v>
      </c>
    </row>
    <row r="28" spans="1:75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BW28" s="22">
        <v>0</v>
      </c>
    </row>
    <row r="29" spans="1:75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BW29" s="22">
        <v>0</v>
      </c>
    </row>
    <row r="30" spans="1:75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BW30" s="22">
        <v>0</v>
      </c>
    </row>
    <row r="31" spans="1:75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BW31" s="22">
        <v>0</v>
      </c>
    </row>
    <row r="32" spans="1:75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W32" s="22">
        <v>4</v>
      </c>
      <c r="AB32" s="22">
        <v>8</v>
      </c>
      <c r="AG32" s="22">
        <v>4</v>
      </c>
      <c r="BW32" s="22">
        <v>16</v>
      </c>
    </row>
    <row r="33" spans="1:75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BW33" s="22">
        <v>0</v>
      </c>
    </row>
    <row r="34" spans="1:75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BW34" s="22">
        <v>0</v>
      </c>
    </row>
    <row r="35" spans="1:75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BW35" s="22">
        <v>0</v>
      </c>
    </row>
    <row r="36" spans="1:75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BW36" s="22">
        <v>0</v>
      </c>
    </row>
    <row r="37" spans="1:75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BW37" s="22">
        <v>0</v>
      </c>
    </row>
    <row r="38" spans="1:75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BW38" s="22">
        <v>0</v>
      </c>
    </row>
    <row r="39" spans="1:75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BW39" s="22">
        <v>0</v>
      </c>
    </row>
    <row r="40" spans="1:75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BW40" s="22">
        <v>0</v>
      </c>
    </row>
    <row r="41" spans="1:75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BW41" s="22">
        <v>0</v>
      </c>
    </row>
    <row r="42" spans="1:75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BW42" s="22">
        <v>0</v>
      </c>
    </row>
    <row r="43" spans="1:75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BW43" s="22">
        <v>0</v>
      </c>
    </row>
    <row r="44" spans="1:75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BW44" s="22">
        <v>0</v>
      </c>
    </row>
    <row r="45" spans="1:75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BW45" s="22">
        <v>0</v>
      </c>
    </row>
    <row r="46" spans="1:75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BW46" s="22">
        <v>0</v>
      </c>
    </row>
    <row r="47" spans="1:75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BW47" s="22">
        <v>0</v>
      </c>
    </row>
    <row r="48" spans="1:75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BW48" s="22">
        <v>0</v>
      </c>
    </row>
    <row r="49" spans="1:75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BW49" s="22">
        <v>0</v>
      </c>
    </row>
    <row r="50" spans="1:75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BW50" s="22">
        <v>0</v>
      </c>
    </row>
    <row r="51" spans="1:75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BW51" s="22">
        <v>0</v>
      </c>
    </row>
    <row r="52" spans="1:75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BW52" s="22">
        <v>0</v>
      </c>
    </row>
    <row r="53" spans="1:75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BW53" s="22">
        <v>0</v>
      </c>
    </row>
    <row r="54" spans="1:75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G54" s="22">
        <v>6</v>
      </c>
      <c r="H54" s="22">
        <v>50</v>
      </c>
      <c r="K54" s="22">
        <v>50</v>
      </c>
      <c r="L54" s="22">
        <v>50</v>
      </c>
      <c r="N54" s="22">
        <v>150</v>
      </c>
      <c r="P54" s="22">
        <v>504</v>
      </c>
      <c r="V54" s="22">
        <v>100</v>
      </c>
      <c r="Y54" s="22">
        <v>250</v>
      </c>
      <c r="Z54" s="22">
        <v>200</v>
      </c>
      <c r="AC54" s="22">
        <v>1200</v>
      </c>
      <c r="AF54" s="22">
        <v>851</v>
      </c>
      <c r="AR54" s="22">
        <v>1085</v>
      </c>
      <c r="BH54" s="22">
        <v>4000</v>
      </c>
      <c r="BQ54" s="22">
        <v>1450</v>
      </c>
      <c r="BW54" s="22">
        <v>9946</v>
      </c>
    </row>
    <row r="55" spans="1:75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BW55" s="22">
        <v>0</v>
      </c>
    </row>
    <row r="56" spans="1:75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BW56" s="22">
        <v>0</v>
      </c>
    </row>
    <row r="57" spans="1:75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BW57" s="22">
        <v>0</v>
      </c>
    </row>
    <row r="58" spans="1:75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BW58" s="22">
        <v>0</v>
      </c>
    </row>
    <row r="59" spans="1:75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BW59" s="22">
        <v>0</v>
      </c>
    </row>
    <row r="60" spans="1:75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BW60" s="22">
        <v>0</v>
      </c>
    </row>
    <row r="61" spans="1:75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BW61" s="22">
        <v>0</v>
      </c>
    </row>
    <row r="62" spans="1:75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BW62" s="22">
        <v>0</v>
      </c>
    </row>
    <row r="63" spans="1:75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BW63" s="22">
        <v>0</v>
      </c>
    </row>
    <row r="64" spans="1:75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BW64" s="22">
        <v>0</v>
      </c>
    </row>
    <row r="65" spans="1:75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BW65" s="22">
        <v>0</v>
      </c>
    </row>
    <row r="66" spans="1:75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BW66" s="22">
        <v>0</v>
      </c>
    </row>
    <row r="67" spans="1:75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J67" s="22">
        <v>50</v>
      </c>
      <c r="M67" s="22">
        <v>100</v>
      </c>
      <c r="U67" s="22">
        <v>100</v>
      </c>
      <c r="V67" s="22">
        <v>100</v>
      </c>
      <c r="AO67" s="22">
        <v>700</v>
      </c>
      <c r="AP67" s="22">
        <v>350</v>
      </c>
      <c r="BG67" s="22">
        <v>1050</v>
      </c>
      <c r="BW67" s="22">
        <v>2450</v>
      </c>
    </row>
    <row r="68" spans="1:75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Z68" s="22">
        <v>8</v>
      </c>
      <c r="AC68" s="22">
        <v>16</v>
      </c>
      <c r="AF68" s="22">
        <v>12</v>
      </c>
      <c r="AK68" s="22">
        <v>6</v>
      </c>
      <c r="BW68" s="22">
        <v>42</v>
      </c>
    </row>
    <row r="69" spans="1:75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J69" s="22">
        <v>69</v>
      </c>
      <c r="M69" s="22">
        <v>100</v>
      </c>
      <c r="N69" s="22">
        <v>100</v>
      </c>
      <c r="P69" s="22">
        <v>21</v>
      </c>
      <c r="R69" s="22">
        <v>19</v>
      </c>
      <c r="S69" s="22">
        <v>19</v>
      </c>
      <c r="U69" s="22">
        <v>119</v>
      </c>
      <c r="V69" s="22">
        <v>119</v>
      </c>
      <c r="X69" s="22">
        <v>13</v>
      </c>
      <c r="Z69" s="22">
        <v>133</v>
      </c>
      <c r="AC69" s="22">
        <v>47</v>
      </c>
      <c r="AF69" s="22">
        <v>26</v>
      </c>
      <c r="AK69" s="22">
        <v>44</v>
      </c>
      <c r="AL69" s="22">
        <v>57</v>
      </c>
      <c r="AO69" s="22">
        <v>350</v>
      </c>
      <c r="AQ69" s="22">
        <v>19</v>
      </c>
      <c r="AR69" s="22">
        <v>148</v>
      </c>
      <c r="AW69" s="22">
        <v>133</v>
      </c>
      <c r="BE69" s="22">
        <v>57</v>
      </c>
      <c r="BK69" s="22">
        <v>25</v>
      </c>
      <c r="BN69" s="22">
        <v>52</v>
      </c>
      <c r="BP69" s="22">
        <v>76</v>
      </c>
      <c r="BQ69" s="22">
        <v>95</v>
      </c>
      <c r="BR69" s="22">
        <v>19</v>
      </c>
      <c r="BS69" s="22">
        <v>19</v>
      </c>
      <c r="BW69" s="22">
        <v>1879</v>
      </c>
    </row>
    <row r="70" spans="1:75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J70" s="22">
        <v>100</v>
      </c>
      <c r="Q70" s="22">
        <v>100</v>
      </c>
      <c r="R70" s="22">
        <v>525</v>
      </c>
      <c r="U70" s="22">
        <v>200</v>
      </c>
      <c r="V70" s="22">
        <v>100</v>
      </c>
      <c r="AK70" s="22">
        <v>26</v>
      </c>
      <c r="AL70" s="22">
        <v>300</v>
      </c>
      <c r="AO70" s="22">
        <v>1400</v>
      </c>
      <c r="AP70" s="22">
        <v>1400</v>
      </c>
      <c r="BK70" s="22">
        <v>13</v>
      </c>
      <c r="BL70" s="22">
        <v>350</v>
      </c>
      <c r="BN70" s="22">
        <v>1</v>
      </c>
      <c r="BO70" s="22">
        <v>350</v>
      </c>
      <c r="BQ70" s="22">
        <v>1</v>
      </c>
      <c r="BW70" s="22">
        <v>4866</v>
      </c>
    </row>
    <row r="71" spans="1:75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J71" s="22">
        <v>25</v>
      </c>
      <c r="Q71" s="22">
        <v>200</v>
      </c>
      <c r="AP71" s="22">
        <v>350</v>
      </c>
      <c r="BG71" s="22">
        <v>525</v>
      </c>
      <c r="BW71" s="22">
        <v>1100</v>
      </c>
    </row>
    <row r="72" spans="1:75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G72" s="22">
        <v>40</v>
      </c>
      <c r="J72" s="22">
        <v>75</v>
      </c>
      <c r="L72" s="22">
        <v>100</v>
      </c>
      <c r="N72" s="22">
        <v>100</v>
      </c>
      <c r="P72" s="22">
        <v>200</v>
      </c>
      <c r="S72" s="22">
        <v>200</v>
      </c>
      <c r="V72" s="22">
        <v>100</v>
      </c>
      <c r="AA72" s="22">
        <v>100</v>
      </c>
      <c r="AC72" s="22">
        <v>100</v>
      </c>
      <c r="AK72" s="22">
        <v>400</v>
      </c>
      <c r="AL72" s="22">
        <v>300</v>
      </c>
      <c r="AM72" s="22">
        <v>1400</v>
      </c>
      <c r="AN72" s="22">
        <v>1400</v>
      </c>
      <c r="BA72" s="22">
        <v>175</v>
      </c>
      <c r="BW72" s="22">
        <v>4690</v>
      </c>
    </row>
    <row r="73" spans="1:75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BW73" s="22">
        <v>0</v>
      </c>
    </row>
    <row r="74" spans="1:75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BW74" s="22">
        <v>0</v>
      </c>
    </row>
    <row r="75" spans="1:75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BW75" s="22">
        <v>0</v>
      </c>
    </row>
    <row r="76" spans="1:75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BW76" s="22">
        <v>0</v>
      </c>
    </row>
    <row r="77" spans="1:75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BW77" s="22">
        <v>0</v>
      </c>
    </row>
    <row r="78" spans="1:75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BW78" s="22">
        <v>0</v>
      </c>
    </row>
    <row r="79" spans="1:75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BW79" s="22">
        <v>0</v>
      </c>
    </row>
    <row r="80" spans="1:75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BW80" s="22">
        <v>0</v>
      </c>
    </row>
    <row r="81" spans="1:75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BW81" s="22">
        <v>0</v>
      </c>
    </row>
    <row r="82" spans="1:75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BW82" s="22">
        <v>0</v>
      </c>
    </row>
    <row r="83" spans="1:75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BW83" s="22">
        <v>0</v>
      </c>
    </row>
    <row r="84" spans="1:75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BW84" s="22">
        <v>0</v>
      </c>
    </row>
    <row r="85" spans="1:75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BW85" s="22">
        <v>0</v>
      </c>
    </row>
    <row r="86" spans="1:75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BW86" s="22">
        <v>0</v>
      </c>
    </row>
    <row r="87" spans="1:75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BW87" s="22">
        <v>0</v>
      </c>
    </row>
    <row r="88" spans="1:75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BW88" s="22">
        <v>0</v>
      </c>
    </row>
    <row r="89" spans="1:75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BW89" s="22">
        <v>0</v>
      </c>
    </row>
    <row r="90" spans="1:75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BW90" s="22">
        <v>0</v>
      </c>
    </row>
    <row r="91" spans="1:75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BW91" s="22">
        <v>0</v>
      </c>
    </row>
    <row r="92" spans="1:75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BW92" s="22">
        <v>0</v>
      </c>
    </row>
    <row r="93" spans="1:75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BW93" s="22">
        <v>0</v>
      </c>
    </row>
    <row r="94" spans="1:75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BW94" s="22">
        <v>0</v>
      </c>
    </row>
    <row r="95" spans="1:75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BW95" s="22">
        <v>0</v>
      </c>
    </row>
    <row r="96" spans="1:75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BW96" s="22">
        <v>0</v>
      </c>
    </row>
    <row r="97" spans="1:75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BW97" s="22">
        <v>0</v>
      </c>
    </row>
    <row r="98" spans="1:75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BW98" s="22">
        <v>0</v>
      </c>
    </row>
    <row r="99" spans="1:75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BW99" s="22">
        <v>0</v>
      </c>
    </row>
    <row r="100" spans="1:75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BW100" s="22">
        <v>0</v>
      </c>
    </row>
    <row r="101" spans="1:75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BW101" s="22">
        <v>0</v>
      </c>
    </row>
    <row r="102" spans="1:75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BW102" s="22">
        <v>0</v>
      </c>
    </row>
    <row r="103" spans="1:75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BW103" s="22">
        <v>0</v>
      </c>
    </row>
    <row r="104" spans="1:75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BW104" s="22">
        <v>0</v>
      </c>
    </row>
    <row r="105" spans="1:75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BW105" s="22">
        <v>0</v>
      </c>
    </row>
    <row r="106" spans="1:75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G106" s="22">
        <v>50</v>
      </c>
      <c r="H106" s="22">
        <v>120</v>
      </c>
      <c r="I106" s="22">
        <v>60</v>
      </c>
      <c r="J106" s="22">
        <v>304</v>
      </c>
      <c r="L106" s="22">
        <v>500</v>
      </c>
      <c r="N106" s="22">
        <v>500</v>
      </c>
      <c r="P106" s="22">
        <v>1500</v>
      </c>
      <c r="R106" s="22">
        <v>1004</v>
      </c>
      <c r="U106" s="22">
        <v>500</v>
      </c>
      <c r="V106" s="22">
        <v>1000</v>
      </c>
      <c r="Z106" s="22">
        <v>500</v>
      </c>
      <c r="AC106" s="22">
        <v>1500</v>
      </c>
      <c r="AK106" s="22">
        <v>3637</v>
      </c>
      <c r="AL106" s="22">
        <v>2052</v>
      </c>
      <c r="AR106" s="22">
        <v>4964</v>
      </c>
      <c r="AW106" s="22">
        <v>2512</v>
      </c>
      <c r="BE106" s="22">
        <v>2556</v>
      </c>
      <c r="BJ106" s="22">
        <v>2605</v>
      </c>
      <c r="BN106" s="22">
        <v>2400</v>
      </c>
      <c r="BP106" s="22">
        <v>1</v>
      </c>
      <c r="BQ106" s="22">
        <v>2715</v>
      </c>
      <c r="BW106" s="22">
        <v>30980</v>
      </c>
    </row>
    <row r="107" spans="1:75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BW107" s="22">
        <v>0</v>
      </c>
    </row>
    <row r="108" spans="1:75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BW108" s="22">
        <v>0</v>
      </c>
    </row>
    <row r="109" spans="1:75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G109" s="22">
        <v>200</v>
      </c>
      <c r="H109" s="22">
        <v>462</v>
      </c>
      <c r="J109" s="22">
        <v>1016</v>
      </c>
      <c r="M109" s="22">
        <v>556</v>
      </c>
      <c r="N109" s="22">
        <v>1596</v>
      </c>
      <c r="P109" s="22">
        <v>2616</v>
      </c>
      <c r="Q109" s="22">
        <v>12</v>
      </c>
      <c r="R109" s="22">
        <v>2176</v>
      </c>
      <c r="S109" s="22">
        <v>864</v>
      </c>
      <c r="U109" s="22">
        <v>1852</v>
      </c>
      <c r="V109" s="22">
        <v>1864</v>
      </c>
      <c r="X109" s="22">
        <v>1776</v>
      </c>
      <c r="Z109" s="22">
        <v>1885</v>
      </c>
      <c r="AC109" s="22">
        <v>1908</v>
      </c>
      <c r="AE109" s="22">
        <v>68</v>
      </c>
      <c r="AF109" s="22">
        <v>80</v>
      </c>
      <c r="AJ109" s="22">
        <v>108</v>
      </c>
      <c r="AK109" s="22">
        <v>5120</v>
      </c>
      <c r="AL109" s="22">
        <v>1846</v>
      </c>
      <c r="AQ109" s="22">
        <v>2760</v>
      </c>
      <c r="AR109" s="22">
        <v>9336</v>
      </c>
      <c r="AS109" s="22">
        <v>76</v>
      </c>
      <c r="AT109" s="22">
        <v>136</v>
      </c>
      <c r="AU109" s="22">
        <v>112</v>
      </c>
      <c r="AV109" s="22">
        <v>1980</v>
      </c>
      <c r="AW109" s="22">
        <v>13678</v>
      </c>
      <c r="AX109" s="22">
        <v>76</v>
      </c>
      <c r="AY109" s="22">
        <v>112</v>
      </c>
      <c r="BA109" s="22">
        <v>60</v>
      </c>
      <c r="BB109" s="22">
        <v>72</v>
      </c>
      <c r="BC109" s="22">
        <v>3366</v>
      </c>
      <c r="BD109" s="22">
        <v>3276</v>
      </c>
      <c r="BE109" s="22">
        <v>5506</v>
      </c>
      <c r="BG109" s="22">
        <v>12</v>
      </c>
      <c r="BH109" s="22">
        <v>72</v>
      </c>
      <c r="BI109" s="22">
        <v>96</v>
      </c>
      <c r="BJ109" s="22">
        <v>5640</v>
      </c>
      <c r="BK109" s="22">
        <v>6112</v>
      </c>
      <c r="BL109" s="22">
        <v>48</v>
      </c>
      <c r="BM109" s="22">
        <v>132</v>
      </c>
      <c r="BN109" s="22">
        <v>8978</v>
      </c>
      <c r="BO109" s="22">
        <v>36</v>
      </c>
      <c r="BP109" s="22">
        <v>7364</v>
      </c>
      <c r="BQ109" s="22">
        <v>15068</v>
      </c>
      <c r="BR109" s="22">
        <v>88</v>
      </c>
      <c r="BS109" s="22">
        <v>1989</v>
      </c>
      <c r="BW109" s="22">
        <v>112186</v>
      </c>
    </row>
    <row r="110" spans="1:75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BW110" s="22">
        <v>0</v>
      </c>
    </row>
    <row r="111" spans="1:75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BW111" s="22">
        <v>0</v>
      </c>
    </row>
    <row r="112" spans="1:75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BW112" s="22">
        <v>0</v>
      </c>
    </row>
    <row r="113" spans="1:75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BW113" s="22">
        <v>0</v>
      </c>
    </row>
    <row r="114" spans="1:75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BW114" s="22">
        <v>0</v>
      </c>
    </row>
    <row r="115" spans="1:75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BW115" s="22">
        <v>0</v>
      </c>
    </row>
    <row r="116" spans="1:75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BW116" s="22">
        <v>0</v>
      </c>
    </row>
    <row r="117" spans="1:75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BW117" s="22">
        <v>0</v>
      </c>
    </row>
    <row r="118" spans="1:75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BW118" s="22">
        <v>0</v>
      </c>
    </row>
    <row r="119" spans="1:75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BW119" s="22">
        <v>0</v>
      </c>
    </row>
    <row r="120" spans="1:75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BW120" s="22">
        <v>0</v>
      </c>
    </row>
    <row r="121" spans="1:75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BW121" s="22">
        <v>0</v>
      </c>
    </row>
    <row r="122" spans="1:75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BW122" s="22">
        <v>0</v>
      </c>
    </row>
    <row r="123" spans="1:75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G123" s="22">
        <v>15</v>
      </c>
      <c r="H123" s="22">
        <v>30</v>
      </c>
      <c r="I123" s="22">
        <v>100</v>
      </c>
      <c r="L123" s="22">
        <v>50</v>
      </c>
      <c r="N123" s="22">
        <v>600</v>
      </c>
      <c r="P123" s="22">
        <v>4</v>
      </c>
      <c r="X123" s="22">
        <v>200</v>
      </c>
      <c r="Z123" s="22">
        <v>100</v>
      </c>
      <c r="AC123" s="22">
        <v>300</v>
      </c>
      <c r="AJ123" s="22">
        <v>900</v>
      </c>
      <c r="AK123" s="22">
        <v>4</v>
      </c>
      <c r="BA123" s="22">
        <v>300</v>
      </c>
      <c r="BW123" s="22">
        <v>2603</v>
      </c>
    </row>
    <row r="124" spans="1:75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V124" s="22">
        <v>50</v>
      </c>
      <c r="X124" s="22">
        <v>200</v>
      </c>
      <c r="Z124" s="22">
        <v>100</v>
      </c>
      <c r="AC124" s="22">
        <v>300</v>
      </c>
      <c r="BW124" s="22">
        <v>650</v>
      </c>
    </row>
    <row r="125" spans="1:75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G125" s="22">
        <v>16</v>
      </c>
      <c r="H125" s="22">
        <v>50</v>
      </c>
      <c r="J125" s="22">
        <v>50</v>
      </c>
      <c r="L125" s="22">
        <v>100</v>
      </c>
      <c r="N125" s="22">
        <v>600</v>
      </c>
      <c r="V125" s="22">
        <v>50</v>
      </c>
      <c r="X125" s="22">
        <v>100</v>
      </c>
      <c r="AJ125" s="22">
        <v>600</v>
      </c>
      <c r="AQ125" s="22">
        <v>2</v>
      </c>
      <c r="AR125" s="22">
        <v>6</v>
      </c>
      <c r="AW125" s="22">
        <v>6</v>
      </c>
      <c r="BA125" s="22">
        <v>600</v>
      </c>
      <c r="BH125" s="22">
        <v>2</v>
      </c>
      <c r="BI125" s="22">
        <v>2</v>
      </c>
      <c r="BJ125" s="22">
        <v>2</v>
      </c>
      <c r="BK125" s="22">
        <v>2</v>
      </c>
      <c r="BM125" s="22">
        <v>4</v>
      </c>
      <c r="BN125" s="22">
        <v>4</v>
      </c>
      <c r="BQ125" s="22">
        <v>6</v>
      </c>
      <c r="BW125" s="22">
        <v>2202</v>
      </c>
    </row>
    <row r="126" spans="1:75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G126" s="22">
        <v>20</v>
      </c>
      <c r="H126" s="22">
        <v>108</v>
      </c>
      <c r="J126" s="22">
        <v>6</v>
      </c>
      <c r="L126" s="22">
        <v>624</v>
      </c>
      <c r="N126" s="22">
        <v>72</v>
      </c>
      <c r="P126" s="22">
        <v>652</v>
      </c>
      <c r="Q126" s="22">
        <v>10</v>
      </c>
      <c r="R126" s="22">
        <v>56</v>
      </c>
      <c r="S126" s="22">
        <v>46</v>
      </c>
      <c r="U126" s="22">
        <v>344</v>
      </c>
      <c r="V126" s="22">
        <v>244</v>
      </c>
      <c r="X126" s="22">
        <v>252</v>
      </c>
      <c r="Z126" s="22">
        <v>351</v>
      </c>
      <c r="AC126" s="22">
        <v>362</v>
      </c>
      <c r="AE126" s="22">
        <v>55</v>
      </c>
      <c r="AF126" s="22">
        <v>52</v>
      </c>
      <c r="AJ126" s="22">
        <v>1276</v>
      </c>
      <c r="AK126" s="22">
        <v>1258</v>
      </c>
      <c r="AL126" s="22">
        <v>355</v>
      </c>
      <c r="AQ126" s="22">
        <v>33</v>
      </c>
      <c r="AR126" s="22">
        <v>71</v>
      </c>
      <c r="AS126" s="22">
        <v>596</v>
      </c>
      <c r="AT126" s="22">
        <v>637</v>
      </c>
      <c r="AU126" s="22">
        <v>42</v>
      </c>
      <c r="AV126" s="22">
        <v>30</v>
      </c>
      <c r="AW126" s="22">
        <v>50</v>
      </c>
      <c r="AX126" s="22">
        <v>34</v>
      </c>
      <c r="AY126" s="22">
        <v>42</v>
      </c>
      <c r="BA126" s="22">
        <v>42</v>
      </c>
      <c r="BB126" s="22">
        <v>38</v>
      </c>
      <c r="BC126" s="22">
        <f>613+35</f>
        <v>648</v>
      </c>
      <c r="BD126" s="22">
        <v>34</v>
      </c>
      <c r="BE126" s="22">
        <v>51</v>
      </c>
      <c r="BG126" s="22">
        <v>10</v>
      </c>
      <c r="BH126" s="22">
        <v>654</v>
      </c>
      <c r="BI126" s="22">
        <v>674</v>
      </c>
      <c r="BJ126" s="22">
        <v>14</v>
      </c>
      <c r="BK126" s="22">
        <v>19</v>
      </c>
      <c r="BL126" s="22">
        <v>36</v>
      </c>
      <c r="BM126" s="22">
        <v>700</v>
      </c>
      <c r="BN126" s="22">
        <v>58</v>
      </c>
      <c r="BO126" s="22">
        <v>24</v>
      </c>
      <c r="BP126" s="22">
        <v>61</v>
      </c>
      <c r="BQ126" s="22">
        <v>60</v>
      </c>
      <c r="BR126" s="22">
        <v>58</v>
      </c>
      <c r="BS126" s="22">
        <v>62</v>
      </c>
      <c r="BW126" s="22">
        <v>10921</v>
      </c>
    </row>
    <row r="127" spans="1:75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G127" s="22">
        <v>16</v>
      </c>
      <c r="H127" s="22">
        <v>30</v>
      </c>
      <c r="I127" s="22">
        <v>50</v>
      </c>
      <c r="K127" s="22">
        <v>206</v>
      </c>
      <c r="L127" s="22">
        <v>2</v>
      </c>
      <c r="N127" s="22">
        <v>298</v>
      </c>
      <c r="P127" s="22">
        <v>6</v>
      </c>
      <c r="R127" s="22">
        <v>304</v>
      </c>
      <c r="S127" s="22">
        <v>6</v>
      </c>
      <c r="U127" s="22">
        <v>6</v>
      </c>
      <c r="V127" s="22">
        <v>106</v>
      </c>
      <c r="X127" s="22">
        <v>306</v>
      </c>
      <c r="Z127" s="22">
        <v>310</v>
      </c>
      <c r="AC127" s="22">
        <v>316</v>
      </c>
      <c r="AE127" s="22">
        <v>598</v>
      </c>
      <c r="AF127" s="22">
        <v>612</v>
      </c>
      <c r="AJ127" s="22">
        <v>2500</v>
      </c>
      <c r="AK127" s="22">
        <v>20</v>
      </c>
      <c r="AL127" s="22">
        <v>318</v>
      </c>
      <c r="AQ127" s="22">
        <v>10</v>
      </c>
      <c r="AR127" s="22">
        <v>63</v>
      </c>
      <c r="AS127" s="22">
        <v>56</v>
      </c>
      <c r="AT127" s="22">
        <v>1070</v>
      </c>
      <c r="AU127" s="22">
        <v>406</v>
      </c>
      <c r="AV127" s="22">
        <v>433</v>
      </c>
      <c r="AW127" s="22">
        <v>48</v>
      </c>
      <c r="AX127" s="22">
        <v>288</v>
      </c>
      <c r="AY127" s="22">
        <v>42</v>
      </c>
      <c r="BA127" s="22">
        <v>2</v>
      </c>
      <c r="BB127" s="22">
        <v>843</v>
      </c>
      <c r="BD127" s="22">
        <v>24</v>
      </c>
      <c r="BE127" s="22">
        <v>35</v>
      </c>
      <c r="BH127" s="22">
        <v>596</v>
      </c>
      <c r="BI127" s="22">
        <v>596</v>
      </c>
      <c r="BJ127" s="22">
        <v>10</v>
      </c>
      <c r="BK127" s="22">
        <v>18</v>
      </c>
      <c r="BL127" s="22">
        <v>8</v>
      </c>
      <c r="BM127" s="22">
        <v>896</v>
      </c>
      <c r="BN127" s="22">
        <v>32</v>
      </c>
      <c r="BP127" s="22">
        <v>28</v>
      </c>
      <c r="BQ127" s="22">
        <v>46</v>
      </c>
      <c r="BR127" s="22">
        <v>610</v>
      </c>
      <c r="BS127" s="22">
        <v>606</v>
      </c>
      <c r="BW127" s="22">
        <v>12776</v>
      </c>
    </row>
    <row r="128" spans="1:75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G128" s="22">
        <v>30</v>
      </c>
      <c r="H128" s="22">
        <v>50</v>
      </c>
      <c r="J128" s="22">
        <v>200</v>
      </c>
      <c r="N128" s="22">
        <v>298</v>
      </c>
      <c r="R128" s="22">
        <v>1192</v>
      </c>
      <c r="S128" s="22">
        <v>596</v>
      </c>
      <c r="V128" s="22">
        <v>100</v>
      </c>
      <c r="X128" s="22">
        <v>298</v>
      </c>
      <c r="Z128" s="22">
        <v>298</v>
      </c>
      <c r="AC128" s="22">
        <v>298</v>
      </c>
      <c r="AE128" s="22">
        <v>1046</v>
      </c>
      <c r="AF128" s="22">
        <v>1192</v>
      </c>
      <c r="AH128" s="22">
        <v>500</v>
      </c>
      <c r="AI128" s="22">
        <v>1000</v>
      </c>
      <c r="AK128" s="22">
        <v>4</v>
      </c>
      <c r="AL128" s="22">
        <v>298</v>
      </c>
      <c r="AQ128" s="22">
        <v>2</v>
      </c>
      <c r="AR128" s="22">
        <v>7</v>
      </c>
      <c r="AT128" s="22">
        <v>1355</v>
      </c>
      <c r="AU128" s="22">
        <v>1441</v>
      </c>
      <c r="AV128" s="22">
        <v>1449</v>
      </c>
      <c r="AW128" s="22">
        <v>3</v>
      </c>
      <c r="AY128" s="22">
        <v>1675</v>
      </c>
      <c r="BB128" s="22">
        <v>421</v>
      </c>
      <c r="BC128" s="22">
        <v>2</v>
      </c>
      <c r="BD128" s="22">
        <v>1070</v>
      </c>
      <c r="BJ128" s="22">
        <v>4</v>
      </c>
      <c r="BM128" s="22">
        <v>1490</v>
      </c>
      <c r="BN128" s="22">
        <v>6</v>
      </c>
      <c r="BO128" s="22">
        <v>4</v>
      </c>
      <c r="BP128" s="22">
        <v>596</v>
      </c>
      <c r="BQ128" s="22">
        <v>11</v>
      </c>
      <c r="BS128" s="22">
        <v>596</v>
      </c>
      <c r="BW128" s="22">
        <v>17532</v>
      </c>
    </row>
    <row r="129" spans="1:76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L129" s="22">
        <v>63</v>
      </c>
      <c r="Q129" s="22">
        <v>204</v>
      </c>
      <c r="U129" s="22">
        <v>288</v>
      </c>
      <c r="W129" s="22">
        <v>298</v>
      </c>
      <c r="X129" s="22">
        <v>88</v>
      </c>
      <c r="AC129" s="22">
        <v>63</v>
      </c>
      <c r="AE129" s="22">
        <v>8</v>
      </c>
      <c r="AQ129" s="22">
        <v>596</v>
      </c>
      <c r="AU129" s="22">
        <v>593</v>
      </c>
      <c r="AX129" s="22">
        <v>748</v>
      </c>
      <c r="AY129" s="22">
        <v>265</v>
      </c>
      <c r="BC129" s="22">
        <v>298</v>
      </c>
      <c r="BE129" s="22">
        <v>719</v>
      </c>
      <c r="BG129" s="22">
        <v>298</v>
      </c>
      <c r="BI129" s="22">
        <v>596</v>
      </c>
      <c r="BL129" s="22">
        <v>596</v>
      </c>
      <c r="BM129" s="22">
        <v>298</v>
      </c>
      <c r="BR129" s="22">
        <v>596</v>
      </c>
      <c r="BW129" s="22">
        <v>6615</v>
      </c>
    </row>
    <row r="130" spans="1:76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G130" s="22">
        <v>50</v>
      </c>
      <c r="L130" s="22">
        <v>200</v>
      </c>
      <c r="N130" s="22">
        <v>158</v>
      </c>
      <c r="P130" s="22">
        <v>894</v>
      </c>
      <c r="S130" s="22">
        <v>298</v>
      </c>
      <c r="U130" s="22">
        <v>298</v>
      </c>
      <c r="V130" s="22">
        <v>298</v>
      </c>
      <c r="X130" s="22">
        <v>298</v>
      </c>
      <c r="Z130" s="22">
        <v>298</v>
      </c>
      <c r="AE130" s="22">
        <v>392</v>
      </c>
      <c r="AI130" s="22">
        <v>20</v>
      </c>
      <c r="AL130" s="22">
        <v>298</v>
      </c>
      <c r="AS130" s="22">
        <v>623</v>
      </c>
      <c r="AY130" s="22">
        <v>299</v>
      </c>
      <c r="BA130" s="22">
        <v>298</v>
      </c>
      <c r="BC130" s="22">
        <v>298</v>
      </c>
      <c r="BD130" s="22">
        <v>842</v>
      </c>
      <c r="BE130" s="22">
        <v>298</v>
      </c>
      <c r="BH130" s="22">
        <v>596</v>
      </c>
      <c r="BI130" s="22">
        <v>596</v>
      </c>
      <c r="BL130" s="22">
        <v>596</v>
      </c>
      <c r="BP130" s="22">
        <v>596</v>
      </c>
      <c r="BS130" s="22">
        <v>596</v>
      </c>
      <c r="BW130" s="22">
        <v>9140</v>
      </c>
    </row>
    <row r="131" spans="1:76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U131" s="22">
        <v>50</v>
      </c>
      <c r="AC131" s="22">
        <v>14</v>
      </c>
      <c r="AI131" s="22">
        <v>3</v>
      </c>
      <c r="BB131" s="22">
        <v>298</v>
      </c>
      <c r="BW131" s="22">
        <v>365</v>
      </c>
      <c r="BX131" t="s">
        <v>667</v>
      </c>
    </row>
    <row r="132" spans="1:76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G132" s="22">
        <v>5</v>
      </c>
      <c r="H132" s="22">
        <v>50</v>
      </c>
      <c r="J132" s="22">
        <v>50</v>
      </c>
      <c r="N132" s="22">
        <v>298</v>
      </c>
      <c r="S132" s="22">
        <v>298</v>
      </c>
      <c r="W132" s="22">
        <v>258</v>
      </c>
      <c r="X132" s="22">
        <v>200</v>
      </c>
      <c r="AH132" s="22">
        <v>500</v>
      </c>
      <c r="AI132" s="22">
        <v>238</v>
      </c>
      <c r="AS132" s="22">
        <v>596</v>
      </c>
      <c r="AX132" s="22">
        <v>719</v>
      </c>
      <c r="BA132" s="22">
        <v>298</v>
      </c>
      <c r="BB132" s="22">
        <v>298</v>
      </c>
      <c r="BN132" s="22">
        <v>596</v>
      </c>
      <c r="BR132" s="22">
        <v>596</v>
      </c>
      <c r="BW132" s="22">
        <v>5000</v>
      </c>
    </row>
    <row r="133" spans="1:76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X133" s="22">
        <v>50</v>
      </c>
      <c r="BW133" s="22">
        <v>50</v>
      </c>
    </row>
    <row r="134" spans="1:76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BW134" s="22">
        <v>0</v>
      </c>
    </row>
    <row r="135" spans="1:76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G135" s="22">
        <v>10</v>
      </c>
      <c r="H135" s="22">
        <v>50</v>
      </c>
      <c r="L135" s="22">
        <v>100</v>
      </c>
      <c r="N135" s="22">
        <v>100</v>
      </c>
      <c r="P135" s="22">
        <v>100</v>
      </c>
      <c r="T135" s="22">
        <v>50</v>
      </c>
      <c r="U135" s="22">
        <v>200</v>
      </c>
      <c r="X135" s="22">
        <v>200</v>
      </c>
      <c r="Z135" s="22">
        <v>250</v>
      </c>
      <c r="AH135" s="22">
        <v>500</v>
      </c>
      <c r="AI135" s="22">
        <v>500</v>
      </c>
      <c r="BA135" s="22">
        <v>300</v>
      </c>
      <c r="BC135" s="22">
        <v>281</v>
      </c>
      <c r="BO135" s="22">
        <v>596</v>
      </c>
      <c r="BW135" s="22">
        <v>3237</v>
      </c>
    </row>
    <row r="136" spans="1:76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BW136" s="22">
        <v>0</v>
      </c>
    </row>
    <row r="137" spans="1:76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BW137" s="22">
        <v>0</v>
      </c>
    </row>
    <row r="138" spans="1:76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BW138" s="22">
        <v>0</v>
      </c>
    </row>
    <row r="139" spans="1:76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BW139" s="22">
        <v>0</v>
      </c>
    </row>
    <row r="140" spans="1:76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BW140" s="22">
        <v>0</v>
      </c>
    </row>
    <row r="141" spans="1:76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BW141" s="22">
        <v>0</v>
      </c>
    </row>
    <row r="142" spans="1:76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BW142" s="22">
        <v>0</v>
      </c>
    </row>
    <row r="143" spans="1:76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G143" s="22">
        <v>30</v>
      </c>
      <c r="H143" s="22">
        <v>40</v>
      </c>
      <c r="J143" s="22">
        <v>100</v>
      </c>
      <c r="N143" s="22">
        <v>300</v>
      </c>
      <c r="P143" s="22">
        <v>2000</v>
      </c>
      <c r="S143" s="22">
        <v>450</v>
      </c>
      <c r="X143" s="22">
        <v>1000</v>
      </c>
      <c r="Z143" s="22">
        <v>500</v>
      </c>
      <c r="AR143" s="22">
        <v>1500</v>
      </c>
      <c r="AW143" s="22">
        <v>2050</v>
      </c>
      <c r="BC143" s="22">
        <v>1550</v>
      </c>
      <c r="BE143" s="22">
        <v>1600</v>
      </c>
      <c r="BH143" s="22">
        <v>1890</v>
      </c>
      <c r="BQ143" s="22">
        <v>1452</v>
      </c>
      <c r="BW143" s="22">
        <v>14462</v>
      </c>
    </row>
    <row r="144" spans="1:76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BW144" s="22">
        <v>0</v>
      </c>
    </row>
    <row r="145" spans="1:75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BW145" s="22">
        <v>0</v>
      </c>
    </row>
    <row r="146" spans="1:75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BW146" s="22">
        <v>0</v>
      </c>
    </row>
    <row r="147" spans="1:75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BW147" s="22">
        <v>0</v>
      </c>
    </row>
    <row r="148" spans="1:75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BW148" s="22">
        <v>0</v>
      </c>
    </row>
    <row r="149" spans="1:75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BW149" s="22">
        <v>0</v>
      </c>
    </row>
    <row r="150" spans="1:75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BW150" s="22">
        <v>0</v>
      </c>
    </row>
    <row r="151" spans="1:75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BW151" s="22">
        <v>0</v>
      </c>
    </row>
    <row r="152" spans="1:75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BW152" s="22">
        <v>0</v>
      </c>
    </row>
    <row r="153" spans="1:75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BW153" s="22">
        <v>0</v>
      </c>
    </row>
    <row r="154" spans="1:75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BW154" s="22">
        <v>0</v>
      </c>
    </row>
    <row r="155" spans="1:75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BW155" s="22">
        <v>0</v>
      </c>
    </row>
    <row r="156" spans="1:75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BW156" s="22">
        <v>0</v>
      </c>
    </row>
    <row r="157" spans="1:75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BW157" s="22">
        <v>0</v>
      </c>
    </row>
    <row r="158" spans="1:75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G158" s="22">
        <v>20</v>
      </c>
      <c r="U158" s="22">
        <v>100</v>
      </c>
      <c r="V158" s="22">
        <v>100</v>
      </c>
      <c r="Y158" s="22">
        <v>100</v>
      </c>
      <c r="AA158" s="22">
        <v>100</v>
      </c>
      <c r="BB158" s="22">
        <v>200</v>
      </c>
      <c r="BW158" s="22">
        <v>620</v>
      </c>
    </row>
    <row r="159" spans="1:75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H159" s="22">
        <v>50</v>
      </c>
      <c r="I159" s="22">
        <v>25</v>
      </c>
      <c r="J159" s="22">
        <v>75</v>
      </c>
      <c r="N159" s="22">
        <v>100</v>
      </c>
      <c r="P159" s="22">
        <v>36</v>
      </c>
      <c r="Q159" s="22">
        <v>8</v>
      </c>
      <c r="U159" s="22">
        <v>6</v>
      </c>
      <c r="Y159" s="22">
        <v>106</v>
      </c>
      <c r="AA159" s="22">
        <v>100</v>
      </c>
      <c r="AQ159" s="22">
        <v>6</v>
      </c>
      <c r="AR159" s="22">
        <v>22</v>
      </c>
      <c r="AV159" s="22">
        <v>175</v>
      </c>
      <c r="AW159" s="22">
        <v>6</v>
      </c>
      <c r="BE159" s="22">
        <v>18</v>
      </c>
      <c r="BJ159" s="22">
        <v>12</v>
      </c>
      <c r="BK159" s="22">
        <v>19</v>
      </c>
      <c r="BN159" s="22">
        <v>36</v>
      </c>
      <c r="BQ159" s="22">
        <v>24</v>
      </c>
      <c r="BW159" s="22">
        <v>824</v>
      </c>
    </row>
    <row r="160" spans="1:75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G160" s="22">
        <v>30</v>
      </c>
      <c r="H160" s="22">
        <v>66</v>
      </c>
      <c r="P160" s="22">
        <v>8</v>
      </c>
      <c r="Q160" s="22">
        <v>6</v>
      </c>
      <c r="U160" s="22">
        <v>6</v>
      </c>
      <c r="AQ160" s="22">
        <v>13</v>
      </c>
      <c r="AR160" s="22">
        <v>39</v>
      </c>
      <c r="AW160" s="22">
        <v>91</v>
      </c>
      <c r="BJ160" s="22">
        <v>26</v>
      </c>
      <c r="BN160" s="22">
        <v>25</v>
      </c>
      <c r="BQ160" s="22">
        <v>51</v>
      </c>
      <c r="BS160" s="22">
        <v>100</v>
      </c>
      <c r="BW160" s="22">
        <v>461</v>
      </c>
    </row>
    <row r="161" spans="1:75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BW161" s="22">
        <v>0</v>
      </c>
    </row>
    <row r="162" spans="1:75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I162" s="22">
        <v>3</v>
      </c>
      <c r="R162" s="22">
        <v>100</v>
      </c>
      <c r="Y162" s="22">
        <v>100</v>
      </c>
      <c r="AV162" s="22">
        <v>175</v>
      </c>
      <c r="AW162" s="22">
        <v>75</v>
      </c>
      <c r="BW162" s="22">
        <v>453</v>
      </c>
    </row>
    <row r="163" spans="1:75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I163" s="22">
        <v>63</v>
      </c>
      <c r="S163" s="22">
        <v>41</v>
      </c>
      <c r="X163" s="22">
        <v>80</v>
      </c>
      <c r="BW163" s="22">
        <v>184</v>
      </c>
    </row>
    <row r="164" spans="1:75" x14ac:dyDescent="0.25">
      <c r="A164" s="22">
        <v>160</v>
      </c>
      <c r="B164" s="22">
        <v>3000003029</v>
      </c>
      <c r="C164" t="s">
        <v>211</v>
      </c>
      <c r="D164" s="22" t="s">
        <v>12</v>
      </c>
      <c r="BW164" s="22">
        <v>0</v>
      </c>
    </row>
    <row r="165" spans="1:75" x14ac:dyDescent="0.25">
      <c r="A165" s="22">
        <v>161</v>
      </c>
      <c r="B165" s="22">
        <v>3000003029</v>
      </c>
      <c r="C165" t="s">
        <v>297</v>
      </c>
      <c r="D165" s="22" t="s">
        <v>12</v>
      </c>
      <c r="BW165" s="22">
        <v>0</v>
      </c>
    </row>
    <row r="166" spans="1:75" x14ac:dyDescent="0.25">
      <c r="A166" s="22">
        <v>162</v>
      </c>
      <c r="B166" s="22">
        <v>1000006010</v>
      </c>
      <c r="C166" t="s">
        <v>298</v>
      </c>
      <c r="D166" s="22" t="s">
        <v>12</v>
      </c>
      <c r="BW166" s="22">
        <v>0</v>
      </c>
    </row>
    <row r="167" spans="1:75" x14ac:dyDescent="0.25">
      <c r="A167" s="22">
        <v>163</v>
      </c>
      <c r="B167" s="22">
        <v>3000001220</v>
      </c>
      <c r="C167" t="s">
        <v>300</v>
      </c>
      <c r="D167" s="22" t="s">
        <v>12</v>
      </c>
      <c r="BW167" s="22">
        <v>0</v>
      </c>
    </row>
    <row r="168" spans="1:75" x14ac:dyDescent="0.25">
      <c r="A168" s="22">
        <v>164</v>
      </c>
      <c r="B168" s="22">
        <v>3000001221</v>
      </c>
      <c r="C168" t="s">
        <v>302</v>
      </c>
      <c r="D168" s="22" t="s">
        <v>12</v>
      </c>
      <c r="BW168" s="22">
        <v>0</v>
      </c>
    </row>
    <row r="169" spans="1:75" x14ac:dyDescent="0.25">
      <c r="A169" s="22">
        <v>165</v>
      </c>
      <c r="B169" s="22">
        <v>3000001223</v>
      </c>
      <c r="C169" t="s">
        <v>304</v>
      </c>
      <c r="D169" s="22" t="s">
        <v>12</v>
      </c>
      <c r="BW169" s="22">
        <v>0</v>
      </c>
    </row>
    <row r="170" spans="1:75" x14ac:dyDescent="0.25">
      <c r="A170" s="22">
        <v>166</v>
      </c>
      <c r="B170" s="22">
        <v>3000001224</v>
      </c>
      <c r="C170" t="s">
        <v>306</v>
      </c>
      <c r="D170" s="22" t="s">
        <v>12</v>
      </c>
      <c r="BW170" s="22">
        <v>0</v>
      </c>
    </row>
    <row r="171" spans="1:75" x14ac:dyDescent="0.25">
      <c r="A171" s="22">
        <v>167</v>
      </c>
      <c r="B171" s="22">
        <v>3000003827</v>
      </c>
      <c r="C171" t="s">
        <v>446</v>
      </c>
      <c r="D171" s="22" t="s">
        <v>12</v>
      </c>
      <c r="BW171" s="22">
        <v>0</v>
      </c>
    </row>
    <row r="172" spans="1:75" x14ac:dyDescent="0.25">
      <c r="A172" s="22">
        <v>168</v>
      </c>
      <c r="B172" s="22">
        <v>3000001802</v>
      </c>
      <c r="C172" t="s">
        <v>448</v>
      </c>
      <c r="D172" s="22" t="s">
        <v>12</v>
      </c>
      <c r="BW172" s="22">
        <v>0</v>
      </c>
    </row>
    <row r="173" spans="1:75" x14ac:dyDescent="0.25">
      <c r="A173" s="22">
        <v>169</v>
      </c>
      <c r="B173" s="22" t="s">
        <v>35</v>
      </c>
      <c r="C173" t="s">
        <v>449</v>
      </c>
      <c r="D173" s="22" t="s">
        <v>12</v>
      </c>
      <c r="BW173" s="22">
        <v>0</v>
      </c>
    </row>
    <row r="174" spans="1:75" x14ac:dyDescent="0.25">
      <c r="A174" s="22">
        <v>170</v>
      </c>
      <c r="B174" s="22" t="s">
        <v>35</v>
      </c>
      <c r="C174" t="s">
        <v>450</v>
      </c>
      <c r="D174" s="22" t="s">
        <v>12</v>
      </c>
      <c r="BW174" s="22">
        <v>0</v>
      </c>
    </row>
    <row r="175" spans="1:75" x14ac:dyDescent="0.25">
      <c r="A175" s="22">
        <v>171</v>
      </c>
      <c r="B175" s="22" t="s">
        <v>35</v>
      </c>
      <c r="C175" t="s">
        <v>510</v>
      </c>
      <c r="D175" s="22" t="s">
        <v>12</v>
      </c>
      <c r="BW175" s="22">
        <v>0</v>
      </c>
    </row>
    <row r="176" spans="1:75" x14ac:dyDescent="0.25">
      <c r="A176" s="22">
        <v>172</v>
      </c>
      <c r="B176" s="22" t="s">
        <v>35</v>
      </c>
      <c r="C176" t="s">
        <v>516</v>
      </c>
      <c r="D176" s="22" t="s">
        <v>12</v>
      </c>
      <c r="AK176" s="22">
        <v>50</v>
      </c>
      <c r="BW176" s="22">
        <v>50</v>
      </c>
    </row>
    <row r="177" spans="1:75" x14ac:dyDescent="0.25">
      <c r="A177" s="22">
        <v>173</v>
      </c>
      <c r="B177" s="22" t="s">
        <v>35</v>
      </c>
      <c r="C177" t="s">
        <v>600</v>
      </c>
      <c r="D177" s="22" t="s">
        <v>12</v>
      </c>
      <c r="BW177" s="22">
        <v>0</v>
      </c>
    </row>
    <row r="178" spans="1:75" x14ac:dyDescent="0.25">
      <c r="A178" s="22">
        <v>174</v>
      </c>
      <c r="B178" s="22" t="s">
        <v>35</v>
      </c>
      <c r="C178" t="s">
        <v>601</v>
      </c>
      <c r="D178" s="22" t="s">
        <v>12</v>
      </c>
      <c r="BW178" s="22">
        <v>0</v>
      </c>
    </row>
    <row r="179" spans="1:75" x14ac:dyDescent="0.25">
      <c r="A179" s="22">
        <v>99</v>
      </c>
      <c r="B179" s="22" t="s">
        <v>35</v>
      </c>
      <c r="C179" t="s">
        <v>1383</v>
      </c>
      <c r="D179" s="22" t="s">
        <v>12</v>
      </c>
      <c r="BW179" s="22">
        <v>0</v>
      </c>
    </row>
    <row r="180" spans="1:75" x14ac:dyDescent="0.25">
      <c r="A180" s="22">
        <v>99</v>
      </c>
      <c r="B180" s="22" t="s">
        <v>35</v>
      </c>
      <c r="C180" t="s">
        <v>1557</v>
      </c>
      <c r="D180" s="22" t="s">
        <v>12</v>
      </c>
      <c r="BW180" s="22">
        <v>0</v>
      </c>
    </row>
    <row r="181" spans="1:75" x14ac:dyDescent="0.25">
      <c r="A181" s="22">
        <v>101</v>
      </c>
      <c r="B181" s="22">
        <v>3000000008</v>
      </c>
      <c r="C181" t="s">
        <v>1565</v>
      </c>
      <c r="D181" s="22" t="s">
        <v>12</v>
      </c>
      <c r="BW181" s="22">
        <v>0</v>
      </c>
    </row>
    <row r="182" spans="1:75" x14ac:dyDescent="0.25">
      <c r="A182" s="22">
        <v>178</v>
      </c>
      <c r="B182" s="22" t="s">
        <v>35</v>
      </c>
      <c r="C182" t="s">
        <v>1662</v>
      </c>
      <c r="D182" s="22" t="s">
        <v>12</v>
      </c>
      <c r="BW182" s="22">
        <v>0</v>
      </c>
    </row>
    <row r="183" spans="1:75" x14ac:dyDescent="0.25">
      <c r="A183" s="22">
        <v>80</v>
      </c>
      <c r="B183" s="22" t="s">
        <v>35</v>
      </c>
      <c r="C183" t="s">
        <v>1574</v>
      </c>
      <c r="D183" s="22" t="s">
        <v>12</v>
      </c>
      <c r="BW183" s="22">
        <v>0</v>
      </c>
    </row>
    <row r="184" spans="1:75" x14ac:dyDescent="0.25">
      <c r="A184" s="22">
        <v>81</v>
      </c>
      <c r="B184" s="22">
        <v>1000014673</v>
      </c>
      <c r="C184" t="s">
        <v>1575</v>
      </c>
      <c r="D184" s="22" t="s">
        <v>12</v>
      </c>
      <c r="BW184" s="22">
        <v>0</v>
      </c>
    </row>
    <row r="185" spans="1:75" x14ac:dyDescent="0.25">
      <c r="A185" s="22">
        <v>181</v>
      </c>
      <c r="B185" s="22">
        <v>4000021502</v>
      </c>
      <c r="C185" t="s">
        <v>1576</v>
      </c>
      <c r="D185" s="22" t="s">
        <v>12</v>
      </c>
      <c r="BW185" s="22">
        <v>0</v>
      </c>
    </row>
    <row r="186" spans="1:75" x14ac:dyDescent="0.25">
      <c r="A186" s="22">
        <v>100</v>
      </c>
      <c r="B186" s="22">
        <v>3000002696</v>
      </c>
      <c r="C186" t="s">
        <v>1580</v>
      </c>
      <c r="D186" s="22" t="s">
        <v>12</v>
      </c>
      <c r="BW186" s="22">
        <v>0</v>
      </c>
    </row>
    <row r="187" spans="1:75" x14ac:dyDescent="0.25">
      <c r="A187" s="22">
        <v>101</v>
      </c>
      <c r="B187" s="22">
        <v>3000000707</v>
      </c>
      <c r="C187" t="s">
        <v>1618</v>
      </c>
      <c r="D187" s="22" t="s">
        <v>12</v>
      </c>
      <c r="BW187" s="22">
        <v>0</v>
      </c>
    </row>
  </sheetData>
  <autoFilter ref="A4:BX187"/>
  <mergeCells count="3">
    <mergeCell ref="A1:A2"/>
    <mergeCell ref="B1:B2"/>
    <mergeCell ref="C1:C2"/>
  </mergeCells>
  <conditionalFormatting sqref="A1:XFD1048576">
    <cfRule type="expression" dxfId="358" priority="1" stopIfTrue="1">
      <formula>AND(ROW()&gt;=1,ROW()&lt;=1048576)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ntrol 1">
          <controlPr defaultSize="0" r:id="rId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914400</xdr:colOff>
                <xdr:row>3</xdr:row>
                <xdr:rowOff>76200</xdr:rowOff>
              </to>
            </anchor>
          </controlPr>
        </control>
      </mc:Choice>
      <mc:Fallback>
        <control shapeId="14337" r:id="rId4" name="Control 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G187"/>
  <sheetViews>
    <sheetView showGridLines="0" zoomScaleNormal="100" workbookViewId="0">
      <pane xSplit="5" ySplit="4" topLeftCell="F70" activePane="bottomRight" state="frozen"/>
      <selection pane="topRight" activeCell="F1" sqref="F1"/>
      <selection pane="bottomLeft" activeCell="A5" sqref="A5"/>
      <selection pane="bottomRight" activeCell="B101" sqref="B101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.7109375" style="22" customWidth="1"/>
    <col min="5" max="5" width="8.42578125" customWidth="1"/>
    <col min="6" max="10" width="10.5703125" customWidth="1"/>
    <col min="11" max="11" width="11" customWidth="1"/>
    <col min="12" max="13" width="11.28515625" customWidth="1"/>
    <col min="14" max="14" width="11" customWidth="1"/>
    <col min="15" max="15" width="11.42578125" customWidth="1"/>
    <col min="16" max="31" width="10.85546875" style="22" customWidth="1"/>
    <col min="32" max="33" width="9.140625" customWidth="1"/>
    <col min="34" max="34" width="11" bestFit="1" customWidth="1"/>
    <col min="35" max="35" width="45.42578125" customWidth="1"/>
  </cols>
  <sheetData>
    <row r="1" spans="1:33" ht="30.75" customHeight="1" thickBot="1" x14ac:dyDescent="0.3">
      <c r="A1" s="149" t="s">
        <v>420</v>
      </c>
      <c r="B1" s="149" t="s">
        <v>419</v>
      </c>
      <c r="C1" s="149" t="s">
        <v>418</v>
      </c>
      <c r="D1" s="80">
        <f>COUNTA(F1:XFD1)-1</f>
        <v>25</v>
      </c>
      <c r="E1" s="27" t="s">
        <v>188</v>
      </c>
      <c r="F1" s="26" t="s">
        <v>310</v>
      </c>
      <c r="G1" s="26" t="s">
        <v>310</v>
      </c>
      <c r="H1" s="26" t="s">
        <v>310</v>
      </c>
      <c r="I1" s="26" t="s">
        <v>310</v>
      </c>
      <c r="J1" s="26" t="s">
        <v>310</v>
      </c>
      <c r="K1" s="26" t="s">
        <v>310</v>
      </c>
      <c r="L1" s="26" t="s">
        <v>310</v>
      </c>
      <c r="M1" s="26" t="s">
        <v>310</v>
      </c>
      <c r="N1" s="26" t="s">
        <v>310</v>
      </c>
      <c r="O1" s="26" t="s">
        <v>310</v>
      </c>
      <c r="P1" s="26" t="s">
        <v>310</v>
      </c>
      <c r="Q1" s="26" t="s">
        <v>310</v>
      </c>
      <c r="R1" s="26" t="s">
        <v>310</v>
      </c>
      <c r="S1" s="26" t="s">
        <v>310</v>
      </c>
      <c r="T1" s="26" t="s">
        <v>310</v>
      </c>
      <c r="U1" s="26" t="s">
        <v>310</v>
      </c>
      <c r="V1" s="26" t="s">
        <v>310</v>
      </c>
      <c r="W1" s="26" t="s">
        <v>310</v>
      </c>
      <c r="X1" s="26" t="s">
        <v>310</v>
      </c>
      <c r="Y1" s="26" t="s">
        <v>310</v>
      </c>
      <c r="Z1" s="26" t="s">
        <v>310</v>
      </c>
      <c r="AA1" s="26" t="s">
        <v>310</v>
      </c>
      <c r="AB1" s="26" t="s">
        <v>310</v>
      </c>
      <c r="AC1" s="26" t="s">
        <v>310</v>
      </c>
      <c r="AD1" s="26" t="s">
        <v>310</v>
      </c>
      <c r="AE1" s="26"/>
      <c r="AF1" s="26"/>
      <c r="AG1" s="27" t="s">
        <v>177</v>
      </c>
    </row>
    <row r="2" spans="1:33" s="52" customFormat="1" ht="26.25" thickBot="1" x14ac:dyDescent="0.3">
      <c r="A2" s="150"/>
      <c r="B2" s="150"/>
      <c r="C2" s="150" t="s">
        <v>10</v>
      </c>
      <c r="D2" s="4" t="s">
        <v>530</v>
      </c>
      <c r="E2" s="4" t="s">
        <v>186</v>
      </c>
      <c r="F2" s="4" t="s">
        <v>35</v>
      </c>
      <c r="G2" s="25" t="s">
        <v>417</v>
      </c>
      <c r="H2" s="25" t="s">
        <v>416</v>
      </c>
      <c r="I2" s="25" t="s">
        <v>415</v>
      </c>
      <c r="J2" s="25" t="s">
        <v>414</v>
      </c>
      <c r="K2" s="25" t="s">
        <v>413</v>
      </c>
      <c r="L2" s="25" t="s">
        <v>412</v>
      </c>
      <c r="M2" s="25" t="s">
        <v>411</v>
      </c>
      <c r="N2" s="25" t="s">
        <v>410</v>
      </c>
      <c r="O2" s="25" t="s">
        <v>409</v>
      </c>
      <c r="P2" s="25" t="s">
        <v>1312</v>
      </c>
      <c r="Q2" s="25" t="s">
        <v>1320</v>
      </c>
      <c r="R2" s="25" t="s">
        <v>1340</v>
      </c>
      <c r="S2" s="25" t="s">
        <v>1385</v>
      </c>
      <c r="T2" s="25" t="s">
        <v>1386</v>
      </c>
      <c r="U2" s="25" t="s">
        <v>1387</v>
      </c>
      <c r="V2" s="25" t="s">
        <v>1424</v>
      </c>
      <c r="W2" s="25" t="s">
        <v>1433</v>
      </c>
      <c r="X2" s="25" t="s">
        <v>1434</v>
      </c>
      <c r="Y2" s="25" t="s">
        <v>1463</v>
      </c>
      <c r="Z2" s="25" t="s">
        <v>1464</v>
      </c>
      <c r="AA2" s="25" t="s">
        <v>1566</v>
      </c>
      <c r="AB2" s="25" t="s">
        <v>1570</v>
      </c>
      <c r="AC2" s="25" t="s">
        <v>1581</v>
      </c>
      <c r="AD2" s="25" t="s">
        <v>1582</v>
      </c>
      <c r="AE2" s="25"/>
      <c r="AF2" s="25"/>
      <c r="AG2" s="25"/>
    </row>
    <row r="3" spans="1:33" s="52" customFormat="1" ht="18.75" x14ac:dyDescent="0.25">
      <c r="A3" s="26"/>
      <c r="B3" s="26"/>
      <c r="C3" s="26"/>
      <c r="D3" s="26"/>
      <c r="E3" s="38" t="s">
        <v>187</v>
      </c>
      <c r="F3" s="27">
        <v>45646</v>
      </c>
      <c r="G3" s="27">
        <v>45651</v>
      </c>
      <c r="H3" s="27">
        <v>45652</v>
      </c>
      <c r="I3" s="27">
        <v>45663</v>
      </c>
      <c r="J3" s="27">
        <v>45665</v>
      </c>
      <c r="K3" s="34">
        <v>45708</v>
      </c>
      <c r="L3" s="34">
        <v>45725</v>
      </c>
      <c r="M3" s="34">
        <v>45728</v>
      </c>
      <c r="N3" s="34">
        <v>45775</v>
      </c>
      <c r="O3" s="34">
        <v>45781</v>
      </c>
      <c r="P3" s="27">
        <v>45966</v>
      </c>
      <c r="Q3" s="27">
        <v>45970</v>
      </c>
      <c r="R3" s="27">
        <v>45974</v>
      </c>
      <c r="S3" s="27">
        <v>45976</v>
      </c>
      <c r="T3" s="27">
        <v>45976</v>
      </c>
      <c r="U3" s="27">
        <v>45976</v>
      </c>
      <c r="V3" s="27">
        <v>45995</v>
      </c>
      <c r="W3" s="27">
        <v>45999</v>
      </c>
      <c r="X3" s="27">
        <v>46000</v>
      </c>
      <c r="Y3" s="27">
        <v>46001</v>
      </c>
      <c r="Z3" s="27">
        <v>46002</v>
      </c>
      <c r="AA3" s="27">
        <v>46013</v>
      </c>
      <c r="AB3" s="27">
        <v>46026</v>
      </c>
      <c r="AC3" s="27">
        <v>46027</v>
      </c>
      <c r="AD3" s="27">
        <v>46027</v>
      </c>
      <c r="AE3" s="27"/>
      <c r="AF3" s="27"/>
      <c r="AG3" s="27"/>
    </row>
    <row r="4" spans="1:33" s="42" customFormat="1" ht="10.5" customHeight="1" x14ac:dyDescent="0.25">
      <c r="A4" s="23"/>
      <c r="B4" s="23"/>
      <c r="C4" s="2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111" t="s">
        <v>1326</v>
      </c>
      <c r="Q4" s="111" t="s">
        <v>1325</v>
      </c>
      <c r="R4" s="111" t="s">
        <v>1356</v>
      </c>
      <c r="S4" s="111" t="s">
        <v>1420</v>
      </c>
      <c r="T4" s="111" t="s">
        <v>1421</v>
      </c>
      <c r="U4" s="111" t="s">
        <v>1422</v>
      </c>
      <c r="V4" s="111" t="s">
        <v>1429</v>
      </c>
      <c r="W4" s="111" t="s">
        <v>1435</v>
      </c>
      <c r="X4" s="111" t="s">
        <v>1436</v>
      </c>
      <c r="Y4" s="111" t="s">
        <v>1476</v>
      </c>
      <c r="Z4" s="111" t="s">
        <v>1473</v>
      </c>
      <c r="AA4" s="111" t="s">
        <v>1614</v>
      </c>
      <c r="AB4" s="111" t="s">
        <v>1614</v>
      </c>
      <c r="AC4" s="111" t="s">
        <v>1614</v>
      </c>
      <c r="AD4" s="111" t="s">
        <v>1614</v>
      </c>
      <c r="AE4" s="111"/>
      <c r="AF4" s="23"/>
      <c r="AG4" s="23"/>
    </row>
    <row r="5" spans="1:33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F5" s="117" t="s">
        <v>1321</v>
      </c>
      <c r="O5" s="22">
        <v>788</v>
      </c>
      <c r="AG5" s="22">
        <v>788</v>
      </c>
    </row>
    <row r="6" spans="1:33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AG6" s="22">
        <v>0</v>
      </c>
    </row>
    <row r="7" spans="1:33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AG7" s="22">
        <v>0</v>
      </c>
    </row>
    <row r="8" spans="1:33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AG8" s="22">
        <v>0</v>
      </c>
    </row>
    <row r="9" spans="1:33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T9" s="22">
        <v>4</v>
      </c>
      <c r="U9" s="22">
        <v>1</v>
      </c>
      <c r="Y9" s="22">
        <v>5</v>
      </c>
      <c r="AG9" s="22">
        <v>10</v>
      </c>
    </row>
    <row r="10" spans="1:33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T10" s="22">
        <v>3</v>
      </c>
      <c r="U10" s="22">
        <v>1</v>
      </c>
      <c r="Y10" s="22">
        <v>16</v>
      </c>
      <c r="AG10" s="22">
        <v>20</v>
      </c>
    </row>
    <row r="11" spans="1:33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T11" s="22">
        <v>12</v>
      </c>
      <c r="U11" s="22">
        <v>5</v>
      </c>
      <c r="AG11" s="22">
        <v>17</v>
      </c>
    </row>
    <row r="12" spans="1:33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AG12" s="22">
        <v>0</v>
      </c>
    </row>
    <row r="13" spans="1:33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AG13" s="22">
        <v>0</v>
      </c>
    </row>
    <row r="14" spans="1:33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L14" s="22">
        <v>14</v>
      </c>
      <c r="AG14" s="22">
        <v>14</v>
      </c>
    </row>
    <row r="15" spans="1:33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AG15" s="22">
        <v>0</v>
      </c>
    </row>
    <row r="16" spans="1:33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L16" s="22">
        <v>18</v>
      </c>
      <c r="AG16" s="22">
        <v>18</v>
      </c>
    </row>
    <row r="17" spans="1:33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AG17" s="22">
        <v>0</v>
      </c>
    </row>
    <row r="18" spans="1:33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AG18" s="22">
        <v>0</v>
      </c>
    </row>
    <row r="19" spans="1:33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K19" s="22">
        <v>200</v>
      </c>
      <c r="AG19" s="22">
        <v>200</v>
      </c>
    </row>
    <row r="20" spans="1:33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AG20" s="22">
        <v>0</v>
      </c>
    </row>
    <row r="21" spans="1:33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AG21" s="22">
        <v>0</v>
      </c>
    </row>
    <row r="22" spans="1:33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AG22" s="22">
        <v>0</v>
      </c>
    </row>
    <row r="23" spans="1:33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AG23" s="22">
        <v>0</v>
      </c>
    </row>
    <row r="24" spans="1:33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AG24" s="22">
        <v>0</v>
      </c>
    </row>
    <row r="25" spans="1:33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AG25" s="22">
        <v>0</v>
      </c>
    </row>
    <row r="26" spans="1:33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AG26" s="22">
        <v>0</v>
      </c>
    </row>
    <row r="27" spans="1:33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AC27" s="22">
        <v>6209</v>
      </c>
      <c r="AG27" s="22">
        <v>6209</v>
      </c>
    </row>
    <row r="28" spans="1:33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AG28" s="22">
        <v>0</v>
      </c>
    </row>
    <row r="29" spans="1:33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AG29" s="22">
        <v>0</v>
      </c>
    </row>
    <row r="30" spans="1:33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AG30" s="22">
        <v>0</v>
      </c>
    </row>
    <row r="31" spans="1:33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AG31" s="22">
        <v>0</v>
      </c>
    </row>
    <row r="32" spans="1:33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AG32" s="22">
        <v>0</v>
      </c>
    </row>
    <row r="33" spans="1:33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AG33" s="22">
        <v>0</v>
      </c>
    </row>
    <row r="34" spans="1:33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AG34" s="22">
        <v>0</v>
      </c>
    </row>
    <row r="35" spans="1:33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AG35" s="22">
        <v>0</v>
      </c>
    </row>
    <row r="36" spans="1:33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AG36" s="22">
        <v>0</v>
      </c>
    </row>
    <row r="37" spans="1:33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G37" s="22">
        <v>20</v>
      </c>
      <c r="AG37" s="22">
        <v>20</v>
      </c>
    </row>
    <row r="38" spans="1:33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G38" s="22">
        <v>763</v>
      </c>
      <c r="AG38" s="22">
        <v>763</v>
      </c>
    </row>
    <row r="39" spans="1:33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G39" s="22">
        <v>100</v>
      </c>
      <c r="H39" s="22">
        <v>200</v>
      </c>
      <c r="AG39" s="22">
        <v>300</v>
      </c>
    </row>
    <row r="40" spans="1:33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AG40" s="22">
        <v>0</v>
      </c>
    </row>
    <row r="41" spans="1:33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AG41" s="22">
        <v>0</v>
      </c>
    </row>
    <row r="42" spans="1:33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AG42" s="22">
        <v>0</v>
      </c>
    </row>
    <row r="43" spans="1:33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AG43" s="22">
        <v>0</v>
      </c>
    </row>
    <row r="44" spans="1:33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AG44" s="22">
        <v>0</v>
      </c>
    </row>
    <row r="45" spans="1:33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AG45" s="22">
        <v>0</v>
      </c>
    </row>
    <row r="46" spans="1:33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M46" s="22">
        <v>180</v>
      </c>
      <c r="O46" s="22">
        <v>90</v>
      </c>
      <c r="AG46" s="22">
        <v>270</v>
      </c>
    </row>
    <row r="47" spans="1:33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M47" s="22">
        <v>65</v>
      </c>
      <c r="N47" s="22">
        <v>299</v>
      </c>
      <c r="AG47" s="22">
        <v>364</v>
      </c>
    </row>
    <row r="48" spans="1:33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AG48" s="22">
        <v>0</v>
      </c>
    </row>
    <row r="49" spans="1:33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AG49" s="22">
        <v>0</v>
      </c>
    </row>
    <row r="50" spans="1:33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AG50" s="22">
        <v>0</v>
      </c>
    </row>
    <row r="51" spans="1:33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AG51" s="22">
        <v>0</v>
      </c>
    </row>
    <row r="52" spans="1:33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AG52" s="22">
        <v>0</v>
      </c>
    </row>
    <row r="53" spans="1:33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AG53" s="22">
        <v>0</v>
      </c>
    </row>
    <row r="54" spans="1:33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Y54" s="22">
        <v>4</v>
      </c>
      <c r="AG54" s="22">
        <v>4</v>
      </c>
    </row>
    <row r="55" spans="1:33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Y55" s="22" t="s">
        <v>10</v>
      </c>
      <c r="AG55" s="22">
        <v>0</v>
      </c>
    </row>
    <row r="56" spans="1:33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AG56" s="22">
        <v>0</v>
      </c>
    </row>
    <row r="57" spans="1:33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AG57" s="22">
        <v>0</v>
      </c>
    </row>
    <row r="58" spans="1:33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AG58" s="22">
        <v>0</v>
      </c>
    </row>
    <row r="59" spans="1:33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AG59" s="22">
        <v>0</v>
      </c>
    </row>
    <row r="60" spans="1:33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AG60" s="22">
        <v>0</v>
      </c>
    </row>
    <row r="61" spans="1:33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AG61" s="22">
        <v>0</v>
      </c>
    </row>
    <row r="62" spans="1:33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AG62" s="22">
        <v>0</v>
      </c>
    </row>
    <row r="63" spans="1:33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H63" s="22">
        <v>20</v>
      </c>
      <c r="AG63" s="22">
        <v>20</v>
      </c>
    </row>
    <row r="64" spans="1:33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H64" s="22">
        <v>20</v>
      </c>
      <c r="AG64" s="22">
        <v>20</v>
      </c>
    </row>
    <row r="65" spans="1:33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F65" s="22">
        <v>13</v>
      </c>
      <c r="H65" s="22">
        <v>29</v>
      </c>
      <c r="AG65" s="22">
        <v>42</v>
      </c>
    </row>
    <row r="66" spans="1:33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H66" s="22">
        <v>2</v>
      </c>
      <c r="AG66" s="22">
        <v>2</v>
      </c>
    </row>
    <row r="67" spans="1:33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R67" s="22">
        <v>9</v>
      </c>
      <c r="V67" s="22">
        <v>196</v>
      </c>
      <c r="X67" s="22">
        <f>197-15</f>
        <v>182</v>
      </c>
      <c r="AG67" s="22">
        <v>387</v>
      </c>
    </row>
    <row r="68" spans="1:33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X68" s="22">
        <v>32</v>
      </c>
      <c r="AC68" s="22">
        <v>60</v>
      </c>
      <c r="AG68" s="22">
        <v>92</v>
      </c>
    </row>
    <row r="69" spans="1:33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R69" s="22">
        <v>12</v>
      </c>
      <c r="X69" s="22">
        <f>165-42</f>
        <v>123</v>
      </c>
      <c r="AC69" s="22">
        <v>149</v>
      </c>
      <c r="AG69" s="22">
        <v>284</v>
      </c>
    </row>
    <row r="70" spans="1:33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R70" s="22">
        <v>3</v>
      </c>
      <c r="X70" s="22">
        <f>200-49</f>
        <v>151</v>
      </c>
      <c r="AG70" s="22">
        <v>154</v>
      </c>
    </row>
    <row r="71" spans="1:33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V71" s="22">
        <v>100</v>
      </c>
      <c r="X71" s="22">
        <v>200</v>
      </c>
      <c r="AG71" s="22">
        <v>300</v>
      </c>
    </row>
    <row r="72" spans="1:33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Q72" s="22">
        <v>1200</v>
      </c>
      <c r="R72" s="22">
        <v>1189</v>
      </c>
      <c r="S72" s="22">
        <v>600</v>
      </c>
      <c r="V72" s="22">
        <v>1100</v>
      </c>
      <c r="X72" s="22">
        <v>800</v>
      </c>
      <c r="AD72" s="22">
        <v>602</v>
      </c>
      <c r="AG72" s="22">
        <v>5491</v>
      </c>
    </row>
    <row r="73" spans="1:33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AG73" s="22">
        <v>0</v>
      </c>
    </row>
    <row r="74" spans="1:33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W74" s="22">
        <f>117-117</f>
        <v>0</v>
      </c>
      <c r="AG74" s="22">
        <v>0</v>
      </c>
    </row>
    <row r="75" spans="1:33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I75" s="22">
        <v>44</v>
      </c>
      <c r="J75" s="22">
        <v>55</v>
      </c>
      <c r="M75" s="22">
        <v>90</v>
      </c>
      <c r="O75" s="22">
        <v>30</v>
      </c>
      <c r="AG75" s="22">
        <v>219</v>
      </c>
    </row>
    <row r="76" spans="1:33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J76" s="22">
        <v>336</v>
      </c>
      <c r="M76" s="22">
        <v>145</v>
      </c>
      <c r="AG76" s="22">
        <v>481</v>
      </c>
    </row>
    <row r="77" spans="1:33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AG77" s="22">
        <v>0</v>
      </c>
    </row>
    <row r="78" spans="1:33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P78" s="22">
        <v>8</v>
      </c>
      <c r="Y78" s="22">
        <v>4</v>
      </c>
      <c r="AB78" s="22">
        <v>2</v>
      </c>
      <c r="AG78" s="22">
        <v>14</v>
      </c>
    </row>
    <row r="79" spans="1:33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AG79" s="22">
        <v>0</v>
      </c>
    </row>
    <row r="80" spans="1:33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P80" s="22">
        <v>532</v>
      </c>
      <c r="W80" s="22">
        <v>684</v>
      </c>
      <c r="Y80" s="22">
        <v>130</v>
      </c>
      <c r="AA80" s="22">
        <v>676</v>
      </c>
      <c r="AB80" s="22">
        <v>277</v>
      </c>
      <c r="AG80" s="22">
        <v>2299</v>
      </c>
    </row>
    <row r="81" spans="1:33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P81" s="22">
        <v>4</v>
      </c>
      <c r="W81" s="22">
        <v>4</v>
      </c>
      <c r="Y81" s="22">
        <v>110</v>
      </c>
      <c r="AA81" s="22">
        <v>200</v>
      </c>
      <c r="AB81" s="22">
        <v>7</v>
      </c>
      <c r="AG81" s="22">
        <v>325</v>
      </c>
    </row>
    <row r="82" spans="1:33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Y82" s="22">
        <v>40</v>
      </c>
      <c r="AA82" s="22">
        <v>62</v>
      </c>
      <c r="AB82" s="22">
        <v>2</v>
      </c>
      <c r="AG82" s="22">
        <v>104</v>
      </c>
    </row>
    <row r="83" spans="1:33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P83" s="22">
        <v>442</v>
      </c>
      <c r="Y83" s="22">
        <v>116</v>
      </c>
      <c r="AA83" s="22">
        <v>123</v>
      </c>
      <c r="AB83" s="22">
        <v>8</v>
      </c>
      <c r="AG83" s="22">
        <v>689</v>
      </c>
    </row>
    <row r="84" spans="1:33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P84" s="22">
        <v>7</v>
      </c>
      <c r="AG84" s="22">
        <v>7</v>
      </c>
    </row>
    <row r="85" spans="1:33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P85" s="22">
        <v>438</v>
      </c>
      <c r="W85" s="22">
        <v>27</v>
      </c>
      <c r="Y85" s="22">
        <v>151</v>
      </c>
      <c r="AA85" s="22">
        <v>116</v>
      </c>
      <c r="AG85" s="22">
        <v>732</v>
      </c>
    </row>
    <row r="86" spans="1:33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W86" s="22">
        <v>261</v>
      </c>
      <c r="Y86" s="22">
        <v>29</v>
      </c>
      <c r="AG86" s="22">
        <v>290</v>
      </c>
    </row>
    <row r="87" spans="1:33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P87" s="22">
        <v>906</v>
      </c>
      <c r="W87" s="22">
        <v>300</v>
      </c>
      <c r="Y87" s="22">
        <v>307</v>
      </c>
      <c r="AA87" s="22">
        <v>780</v>
      </c>
      <c r="AB87" s="22">
        <v>1271</v>
      </c>
      <c r="AG87" s="22">
        <v>3564</v>
      </c>
    </row>
    <row r="88" spans="1:33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Y88" s="22">
        <v>2</v>
      </c>
      <c r="AG88" s="22">
        <v>2</v>
      </c>
    </row>
    <row r="89" spans="1:33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AG89" s="22">
        <v>0</v>
      </c>
    </row>
    <row r="90" spans="1:33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AG90" s="22">
        <v>0</v>
      </c>
    </row>
    <row r="91" spans="1:33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AG91" s="22">
        <v>0</v>
      </c>
    </row>
    <row r="92" spans="1:33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AG92" s="22">
        <v>0</v>
      </c>
    </row>
    <row r="93" spans="1:33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AG93" s="22">
        <v>0</v>
      </c>
    </row>
    <row r="94" spans="1:33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AG94" s="22">
        <v>0</v>
      </c>
    </row>
    <row r="95" spans="1:33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AG95" s="22">
        <v>0</v>
      </c>
    </row>
    <row r="96" spans="1:33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AG96" s="22">
        <v>0</v>
      </c>
    </row>
    <row r="97" spans="1:33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AG97" s="22">
        <v>0</v>
      </c>
    </row>
    <row r="98" spans="1:33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AG98" s="22">
        <v>0</v>
      </c>
    </row>
    <row r="99" spans="1:33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AG99" s="22">
        <v>0</v>
      </c>
    </row>
    <row r="100" spans="1:33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AG100" s="22">
        <v>0</v>
      </c>
    </row>
    <row r="101" spans="1:33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F101" s="22">
        <v>248</v>
      </c>
      <c r="AG101" s="22">
        <v>248</v>
      </c>
    </row>
    <row r="102" spans="1:33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AG102" s="22">
        <v>0</v>
      </c>
    </row>
    <row r="103" spans="1:33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I103" s="22">
        <v>0</v>
      </c>
      <c r="J103" s="22">
        <v>87</v>
      </c>
      <c r="AG103" s="22">
        <v>87</v>
      </c>
    </row>
    <row r="104" spans="1:33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AG104" s="22">
        <v>0</v>
      </c>
    </row>
    <row r="105" spans="1:33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AG105" s="22">
        <v>0</v>
      </c>
    </row>
    <row r="106" spans="1:33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AC106" s="22">
        <v>4688</v>
      </c>
      <c r="AG106" s="22">
        <v>4688</v>
      </c>
    </row>
    <row r="107" spans="1:33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AG107" s="22">
        <v>0</v>
      </c>
    </row>
    <row r="108" spans="1:33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O108" s="22">
        <v>152</v>
      </c>
      <c r="AG108" s="22">
        <v>152</v>
      </c>
    </row>
    <row r="109" spans="1:33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P109" s="22">
        <v>4</v>
      </c>
      <c r="S109" s="22">
        <v>96</v>
      </c>
      <c r="T109" s="22">
        <v>108</v>
      </c>
      <c r="U109" s="22">
        <v>104</v>
      </c>
      <c r="W109" s="22">
        <v>8</v>
      </c>
      <c r="Y109" s="22">
        <v>84</v>
      </c>
      <c r="Z109" s="22">
        <v>164</v>
      </c>
      <c r="AA109" s="22">
        <v>16</v>
      </c>
      <c r="AB109" s="22">
        <v>2</v>
      </c>
      <c r="AC109" s="22">
        <v>7304</v>
      </c>
      <c r="AG109" s="22">
        <v>7890</v>
      </c>
    </row>
    <row r="110" spans="1:33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AG110" s="22">
        <v>0</v>
      </c>
    </row>
    <row r="111" spans="1:33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P111" s="22">
        <v>253</v>
      </c>
      <c r="W111" s="22">
        <v>228</v>
      </c>
      <c r="Y111" s="22">
        <v>118</v>
      </c>
      <c r="AA111" s="22">
        <v>141</v>
      </c>
      <c r="AB111" s="22">
        <v>146</v>
      </c>
      <c r="AC111" s="22">
        <v>1848</v>
      </c>
      <c r="AG111" s="22">
        <v>2734</v>
      </c>
    </row>
    <row r="112" spans="1:33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AG112" s="22">
        <v>0</v>
      </c>
    </row>
    <row r="113" spans="1:33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Y113" s="22">
        <v>92</v>
      </c>
      <c r="AA113" s="22">
        <v>96</v>
      </c>
      <c r="AG113" s="22">
        <v>188</v>
      </c>
    </row>
    <row r="114" spans="1:33" s="22" customFormat="1" x14ac:dyDescent="0.25">
      <c r="A114" s="17">
        <v>110</v>
      </c>
      <c r="B114" s="15" t="s">
        <v>1474</v>
      </c>
      <c r="C114" s="16" t="s">
        <v>123</v>
      </c>
      <c r="D114" s="44" t="s">
        <v>12</v>
      </c>
      <c r="W114" s="22">
        <v>4</v>
      </c>
      <c r="Y114" s="22">
        <v>60</v>
      </c>
      <c r="AG114" s="22">
        <v>64</v>
      </c>
    </row>
    <row r="115" spans="1:33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P115" s="22">
        <v>7</v>
      </c>
      <c r="Y115" s="22">
        <v>44</v>
      </c>
      <c r="AA115" s="22">
        <v>39</v>
      </c>
      <c r="AB115" s="22">
        <v>6</v>
      </c>
      <c r="AG115" s="22">
        <v>96</v>
      </c>
    </row>
    <row r="116" spans="1:33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P116" s="22">
        <v>41</v>
      </c>
      <c r="Y116" s="22">
        <v>147</v>
      </c>
      <c r="AA116" s="22">
        <v>119</v>
      </c>
      <c r="AB116" s="22">
        <v>30</v>
      </c>
      <c r="AG116" s="22">
        <v>337</v>
      </c>
    </row>
    <row r="117" spans="1:33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AG117" s="22">
        <v>0</v>
      </c>
    </row>
    <row r="118" spans="1:33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Y118" s="22">
        <v>41</v>
      </c>
      <c r="AG118" s="22">
        <v>41</v>
      </c>
    </row>
    <row r="119" spans="1:33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P119" s="22">
        <v>324</v>
      </c>
      <c r="W119" s="22">
        <v>392</v>
      </c>
      <c r="Y119" s="22">
        <v>129</v>
      </c>
      <c r="AA119" s="22">
        <v>325</v>
      </c>
      <c r="AB119" s="22">
        <v>166</v>
      </c>
      <c r="AG119" s="22">
        <v>1336</v>
      </c>
    </row>
    <row r="120" spans="1:33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AG120" s="22">
        <v>0</v>
      </c>
    </row>
    <row r="121" spans="1:33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AG121" s="22">
        <v>0</v>
      </c>
    </row>
    <row r="122" spans="1:33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AG122" s="22">
        <v>0</v>
      </c>
    </row>
    <row r="123" spans="1:33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T123" s="22">
        <v>4</v>
      </c>
      <c r="Y123" s="22">
        <v>4</v>
      </c>
      <c r="Z123" s="22">
        <v>227</v>
      </c>
      <c r="AG123" s="22">
        <v>235</v>
      </c>
    </row>
    <row r="124" spans="1:33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AG124" s="22">
        <v>0</v>
      </c>
    </row>
    <row r="125" spans="1:33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Z125" s="22">
        <v>2</v>
      </c>
      <c r="AG125" s="22">
        <v>2</v>
      </c>
    </row>
    <row r="126" spans="1:33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S126" s="22">
        <v>36</v>
      </c>
      <c r="T126" s="22">
        <v>42</v>
      </c>
      <c r="U126" s="22">
        <v>44</v>
      </c>
      <c r="Y126" s="22">
        <v>18</v>
      </c>
      <c r="Z126" s="22">
        <v>65</v>
      </c>
      <c r="AC126" s="22">
        <v>78</v>
      </c>
      <c r="AG126" s="22">
        <v>283</v>
      </c>
    </row>
    <row r="127" spans="1:33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P127" s="22">
        <v>2</v>
      </c>
      <c r="S127" s="22">
        <v>1300</v>
      </c>
      <c r="T127" s="22">
        <v>716</v>
      </c>
      <c r="U127" s="22">
        <v>683</v>
      </c>
      <c r="Y127" s="22">
        <v>18</v>
      </c>
      <c r="Z127" s="22">
        <v>296</v>
      </c>
      <c r="AC127" s="22">
        <v>80</v>
      </c>
      <c r="AG127" s="22">
        <v>3095</v>
      </c>
    </row>
    <row r="128" spans="1:33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Y128" s="22">
        <v>686</v>
      </c>
      <c r="Z128" s="22">
        <v>579</v>
      </c>
      <c r="AG128" s="22">
        <v>1265</v>
      </c>
    </row>
    <row r="129" spans="1:33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Y129" s="22">
        <v>140</v>
      </c>
      <c r="Z129" s="22">
        <v>193</v>
      </c>
      <c r="AG129" s="22">
        <v>333</v>
      </c>
    </row>
    <row r="130" spans="1:33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U130" s="22">
        <v>5</v>
      </c>
      <c r="Z130" s="22">
        <v>457</v>
      </c>
      <c r="AG130" s="22">
        <v>462</v>
      </c>
    </row>
    <row r="131" spans="1:33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S131" s="22">
        <v>43</v>
      </c>
      <c r="U131" s="22">
        <v>93</v>
      </c>
      <c r="Z131" s="22">
        <v>222</v>
      </c>
      <c r="AG131" s="22">
        <v>358</v>
      </c>
    </row>
    <row r="132" spans="1:33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S132" s="22">
        <v>407</v>
      </c>
      <c r="Z132" s="22">
        <v>458</v>
      </c>
      <c r="AG132" s="22">
        <v>865</v>
      </c>
    </row>
    <row r="133" spans="1:33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AG133" s="22">
        <v>0</v>
      </c>
    </row>
    <row r="134" spans="1:33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T134" s="22">
        <v>14</v>
      </c>
      <c r="U134" s="22">
        <v>6</v>
      </c>
      <c r="AG134" s="22">
        <v>20</v>
      </c>
    </row>
    <row r="135" spans="1:33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T135" s="22">
        <v>650</v>
      </c>
      <c r="U135" s="22">
        <v>845</v>
      </c>
      <c r="Z135" s="22">
        <v>202</v>
      </c>
      <c r="AG135" s="22">
        <v>1697</v>
      </c>
    </row>
    <row r="136" spans="1:33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I136" s="22">
        <v>50</v>
      </c>
      <c r="AG136" s="22">
        <v>50</v>
      </c>
    </row>
    <row r="137" spans="1:33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I137" s="22">
        <v>65</v>
      </c>
      <c r="AG137" s="22">
        <v>65</v>
      </c>
    </row>
    <row r="138" spans="1:33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I138" s="22">
        <v>25</v>
      </c>
      <c r="AG138" s="22">
        <v>25</v>
      </c>
    </row>
    <row r="139" spans="1:33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H139" s="22">
        <v>25</v>
      </c>
      <c r="AG139" s="22">
        <v>25</v>
      </c>
    </row>
    <row r="140" spans="1:33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H140" s="22">
        <v>75</v>
      </c>
      <c r="I140" s="22">
        <v>45</v>
      </c>
      <c r="AG140" s="22">
        <v>120</v>
      </c>
    </row>
    <row r="141" spans="1:33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H141" s="22">
        <v>50</v>
      </c>
      <c r="I141" s="22">
        <v>50</v>
      </c>
      <c r="AG141" s="22">
        <v>100</v>
      </c>
    </row>
    <row r="142" spans="1:33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H142" s="22">
        <v>50</v>
      </c>
      <c r="I142" s="22">
        <v>145</v>
      </c>
      <c r="AG142" s="22">
        <v>195</v>
      </c>
    </row>
    <row r="143" spans="1:33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AC143" s="22">
        <v>3760</v>
      </c>
      <c r="AG143" s="22">
        <v>3760</v>
      </c>
    </row>
    <row r="144" spans="1:33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AG144" s="22">
        <v>0</v>
      </c>
    </row>
    <row r="145" spans="1:33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P145" s="22">
        <v>7</v>
      </c>
      <c r="W145" s="22">
        <v>210</v>
      </c>
      <c r="Y145" s="22">
        <v>113</v>
      </c>
      <c r="AA145" s="22">
        <v>380</v>
      </c>
      <c r="AB145" s="22">
        <v>238</v>
      </c>
      <c r="AG145" s="22">
        <v>948</v>
      </c>
    </row>
    <row r="146" spans="1:33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Y146" s="22">
        <v>32</v>
      </c>
      <c r="AA146" s="22">
        <v>161</v>
      </c>
      <c r="AG146" s="22">
        <v>193</v>
      </c>
    </row>
    <row r="147" spans="1:33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AG147" s="22">
        <v>0</v>
      </c>
    </row>
    <row r="148" spans="1:33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Y148" s="22">
        <v>6</v>
      </c>
      <c r="AG148" s="22">
        <v>6</v>
      </c>
    </row>
    <row r="149" spans="1:33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AG149" s="22">
        <v>0</v>
      </c>
    </row>
    <row r="150" spans="1:33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Y150" s="22">
        <v>22</v>
      </c>
      <c r="AG150" s="22">
        <v>22</v>
      </c>
    </row>
    <row r="151" spans="1:33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Y151" s="22">
        <v>1</v>
      </c>
      <c r="AG151" s="22">
        <v>1</v>
      </c>
    </row>
    <row r="152" spans="1:33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Y152" s="22">
        <v>96</v>
      </c>
      <c r="AB152" s="22">
        <v>268</v>
      </c>
      <c r="AG152" s="22">
        <v>364</v>
      </c>
    </row>
    <row r="153" spans="1:33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AG153" s="22">
        <v>0</v>
      </c>
    </row>
    <row r="154" spans="1:33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AG154" s="22">
        <v>0</v>
      </c>
    </row>
    <row r="155" spans="1:33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F155" s="22">
        <v>10</v>
      </c>
      <c r="AG155" s="22">
        <v>10</v>
      </c>
    </row>
    <row r="156" spans="1:33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AG156" s="22">
        <v>0</v>
      </c>
    </row>
    <row r="157" spans="1:33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AG157" s="22">
        <v>0</v>
      </c>
    </row>
    <row r="158" spans="1:33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Q158" s="22">
        <v>5</v>
      </c>
      <c r="U158" s="22">
        <v>2</v>
      </c>
      <c r="W158" s="22">
        <v>6</v>
      </c>
      <c r="X158" s="22">
        <v>3</v>
      </c>
      <c r="Z158" s="22">
        <v>2</v>
      </c>
      <c r="AA158" s="22">
        <v>3</v>
      </c>
      <c r="AB158" s="22">
        <v>4</v>
      </c>
      <c r="AC158" s="22">
        <v>1</v>
      </c>
      <c r="AG158" s="22">
        <v>26</v>
      </c>
    </row>
    <row r="159" spans="1:33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Q159" s="22">
        <v>6</v>
      </c>
      <c r="U159" s="22">
        <v>9</v>
      </c>
      <c r="Z159" s="22">
        <v>17</v>
      </c>
      <c r="AC159" s="22">
        <v>1</v>
      </c>
      <c r="AG159" s="22">
        <v>33</v>
      </c>
    </row>
    <row r="160" spans="1:33" s="55" customFormat="1" x14ac:dyDescent="0.25">
      <c r="A160" s="59">
        <v>156</v>
      </c>
      <c r="B160" s="58">
        <v>4000017082</v>
      </c>
      <c r="C160" s="57" t="s">
        <v>170</v>
      </c>
      <c r="D160" s="56" t="s">
        <v>12</v>
      </c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>
        <v>100</v>
      </c>
      <c r="AE160" s="22"/>
      <c r="AG160" s="55">
        <v>100</v>
      </c>
    </row>
    <row r="161" spans="1:33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AG161" s="22">
        <v>0</v>
      </c>
    </row>
    <row r="162" spans="1:33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AG162" s="22">
        <v>0</v>
      </c>
    </row>
    <row r="163" spans="1:33" s="22" customFormat="1" x14ac:dyDescent="0.25">
      <c r="A163" s="14">
        <v>159</v>
      </c>
      <c r="B163" s="15">
        <v>4000017084</v>
      </c>
      <c r="C163" s="16" t="s">
        <v>173</v>
      </c>
      <c r="D163" s="44" t="s">
        <v>12</v>
      </c>
      <c r="AD163" s="22">
        <v>100</v>
      </c>
      <c r="AG163" s="22">
        <v>100</v>
      </c>
    </row>
    <row r="164" spans="1:33" x14ac:dyDescent="0.25">
      <c r="A164" s="22">
        <v>160</v>
      </c>
      <c r="B164" s="22">
        <v>3000003029</v>
      </c>
      <c r="C164" t="s">
        <v>211</v>
      </c>
      <c r="D164" s="22" t="s">
        <v>12</v>
      </c>
      <c r="E164" s="22"/>
      <c r="AG164" s="22">
        <v>0</v>
      </c>
    </row>
    <row r="165" spans="1:33" x14ac:dyDescent="0.25">
      <c r="A165" s="22">
        <v>161</v>
      </c>
      <c r="B165" s="22">
        <v>3000003029</v>
      </c>
      <c r="C165" t="s">
        <v>297</v>
      </c>
      <c r="D165" s="22" t="s">
        <v>12</v>
      </c>
      <c r="E165" s="22"/>
      <c r="AG165">
        <v>0</v>
      </c>
    </row>
    <row r="166" spans="1:33" x14ac:dyDescent="0.25">
      <c r="A166" s="22">
        <v>162</v>
      </c>
      <c r="B166" s="22">
        <v>1000006010</v>
      </c>
      <c r="C166" t="s">
        <v>298</v>
      </c>
      <c r="D166" s="22" t="s">
        <v>12</v>
      </c>
      <c r="AG166">
        <v>0</v>
      </c>
    </row>
    <row r="167" spans="1:33" x14ac:dyDescent="0.25">
      <c r="A167" s="22">
        <v>163</v>
      </c>
      <c r="B167" s="22">
        <v>3000001220</v>
      </c>
      <c r="C167" t="s">
        <v>300</v>
      </c>
      <c r="D167" s="22" t="s">
        <v>12</v>
      </c>
      <c r="AG167">
        <v>0</v>
      </c>
    </row>
    <row r="168" spans="1:33" x14ac:dyDescent="0.25">
      <c r="A168" s="22">
        <v>164</v>
      </c>
      <c r="B168" s="22">
        <v>3000001221</v>
      </c>
      <c r="C168" t="s">
        <v>302</v>
      </c>
      <c r="D168" s="22" t="s">
        <v>12</v>
      </c>
      <c r="AG168">
        <v>0</v>
      </c>
    </row>
    <row r="169" spans="1:33" x14ac:dyDescent="0.25">
      <c r="A169" s="22">
        <v>165</v>
      </c>
      <c r="B169" s="22">
        <v>3000001223</v>
      </c>
      <c r="C169" t="s">
        <v>304</v>
      </c>
      <c r="D169" s="22" t="s">
        <v>12</v>
      </c>
      <c r="AG169">
        <v>0</v>
      </c>
    </row>
    <row r="170" spans="1:33" x14ac:dyDescent="0.25">
      <c r="A170" s="22">
        <v>166</v>
      </c>
      <c r="B170" s="22">
        <v>3000001224</v>
      </c>
      <c r="C170" t="s">
        <v>306</v>
      </c>
      <c r="D170" s="22" t="s">
        <v>12</v>
      </c>
      <c r="AG170">
        <v>0</v>
      </c>
    </row>
    <row r="171" spans="1:33" x14ac:dyDescent="0.25">
      <c r="A171" s="22">
        <v>167</v>
      </c>
      <c r="B171" s="22">
        <v>3000003827</v>
      </c>
      <c r="C171" t="s">
        <v>446</v>
      </c>
      <c r="D171" s="22" t="s">
        <v>12</v>
      </c>
      <c r="AG171">
        <v>0</v>
      </c>
    </row>
    <row r="172" spans="1:33" x14ac:dyDescent="0.25">
      <c r="A172" s="22">
        <v>168</v>
      </c>
      <c r="B172" s="22">
        <v>3000001802</v>
      </c>
      <c r="C172" t="s">
        <v>448</v>
      </c>
      <c r="D172" s="22" t="s">
        <v>12</v>
      </c>
      <c r="AG172">
        <v>0</v>
      </c>
    </row>
    <row r="173" spans="1:33" x14ac:dyDescent="0.25">
      <c r="A173" s="22">
        <v>169</v>
      </c>
      <c r="B173" s="22" t="s">
        <v>35</v>
      </c>
      <c r="C173" t="s">
        <v>449</v>
      </c>
      <c r="D173" s="22" t="s">
        <v>12</v>
      </c>
      <c r="AG173">
        <v>0</v>
      </c>
    </row>
    <row r="174" spans="1:33" x14ac:dyDescent="0.25">
      <c r="A174" s="22">
        <v>170</v>
      </c>
      <c r="B174" s="22" t="s">
        <v>35</v>
      </c>
      <c r="C174" t="s">
        <v>450</v>
      </c>
      <c r="D174" s="22" t="s">
        <v>12</v>
      </c>
      <c r="AG174">
        <v>0</v>
      </c>
    </row>
    <row r="175" spans="1:33" x14ac:dyDescent="0.25">
      <c r="A175" s="22">
        <v>171</v>
      </c>
      <c r="B175" s="22" t="s">
        <v>35</v>
      </c>
      <c r="C175" t="s">
        <v>510</v>
      </c>
      <c r="D175" s="22" t="s">
        <v>12</v>
      </c>
      <c r="AG175">
        <v>0</v>
      </c>
    </row>
    <row r="176" spans="1:33" x14ac:dyDescent="0.25">
      <c r="A176" s="22">
        <v>172</v>
      </c>
      <c r="B176" s="22" t="s">
        <v>35</v>
      </c>
      <c r="C176" t="s">
        <v>516</v>
      </c>
      <c r="D176" s="22" t="s">
        <v>12</v>
      </c>
      <c r="AG176">
        <v>0</v>
      </c>
    </row>
    <row r="177" spans="1:33" x14ac:dyDescent="0.25">
      <c r="A177" s="22">
        <v>173</v>
      </c>
      <c r="B177" s="22" t="s">
        <v>35</v>
      </c>
      <c r="C177" t="s">
        <v>600</v>
      </c>
      <c r="D177" s="22" t="s">
        <v>12</v>
      </c>
      <c r="AG177">
        <v>0</v>
      </c>
    </row>
    <row r="178" spans="1:33" x14ac:dyDescent="0.25">
      <c r="A178" s="22">
        <v>174</v>
      </c>
      <c r="B178" s="22" t="s">
        <v>35</v>
      </c>
      <c r="C178" t="s">
        <v>601</v>
      </c>
      <c r="D178" s="22" t="s">
        <v>12</v>
      </c>
      <c r="AG178">
        <v>0</v>
      </c>
    </row>
    <row r="179" spans="1:33" x14ac:dyDescent="0.25">
      <c r="A179" s="22">
        <v>99</v>
      </c>
      <c r="B179" s="22" t="s">
        <v>35</v>
      </c>
      <c r="C179" t="s">
        <v>1383</v>
      </c>
      <c r="D179" s="22" t="s">
        <v>12</v>
      </c>
      <c r="Z179" s="22">
        <v>1</v>
      </c>
      <c r="AG179">
        <v>1</v>
      </c>
    </row>
    <row r="180" spans="1:33" x14ac:dyDescent="0.25">
      <c r="A180" s="22">
        <v>99</v>
      </c>
      <c r="B180" s="22" t="s">
        <v>35</v>
      </c>
      <c r="C180" t="s">
        <v>1557</v>
      </c>
      <c r="D180" s="22" t="s">
        <v>12</v>
      </c>
      <c r="AG180">
        <v>0</v>
      </c>
    </row>
    <row r="181" spans="1:33" x14ac:dyDescent="0.25">
      <c r="A181" s="22">
        <v>101</v>
      </c>
      <c r="B181" s="22">
        <v>3000000008</v>
      </c>
      <c r="C181" t="s">
        <v>1565</v>
      </c>
      <c r="D181" s="22" t="s">
        <v>12</v>
      </c>
      <c r="AG181">
        <v>0</v>
      </c>
    </row>
    <row r="182" spans="1:33" x14ac:dyDescent="0.25">
      <c r="A182" s="22">
        <v>178</v>
      </c>
      <c r="B182" s="22" t="s">
        <v>35</v>
      </c>
      <c r="C182" t="s">
        <v>1662</v>
      </c>
      <c r="D182" s="22" t="s">
        <v>12</v>
      </c>
      <c r="AG182">
        <v>0</v>
      </c>
    </row>
    <row r="183" spans="1:33" x14ac:dyDescent="0.25">
      <c r="A183" s="22">
        <v>80</v>
      </c>
      <c r="B183" s="22" t="s">
        <v>35</v>
      </c>
      <c r="C183" t="s">
        <v>1574</v>
      </c>
      <c r="D183" s="22" t="s">
        <v>12</v>
      </c>
      <c r="AG183">
        <v>0</v>
      </c>
    </row>
    <row r="184" spans="1:33" x14ac:dyDescent="0.25">
      <c r="A184" s="22">
        <v>81</v>
      </c>
      <c r="B184" s="22">
        <v>1000014673</v>
      </c>
      <c r="C184" t="s">
        <v>1575</v>
      </c>
      <c r="D184" s="22" t="s">
        <v>12</v>
      </c>
      <c r="AG184">
        <v>0</v>
      </c>
    </row>
    <row r="185" spans="1:33" x14ac:dyDescent="0.25">
      <c r="A185" s="22">
        <v>181</v>
      </c>
      <c r="B185" s="22">
        <v>4000021502</v>
      </c>
      <c r="C185" t="s">
        <v>1576</v>
      </c>
      <c r="D185" s="22" t="s">
        <v>12</v>
      </c>
      <c r="AG185">
        <v>0</v>
      </c>
    </row>
    <row r="186" spans="1:33" x14ac:dyDescent="0.25">
      <c r="A186" s="22">
        <v>100</v>
      </c>
      <c r="B186" s="22">
        <v>3000002696</v>
      </c>
      <c r="C186" t="s">
        <v>1580</v>
      </c>
      <c r="D186" s="22" t="s">
        <v>12</v>
      </c>
      <c r="AG186">
        <v>0</v>
      </c>
    </row>
    <row r="187" spans="1:33" x14ac:dyDescent="0.25">
      <c r="A187" s="22">
        <v>101</v>
      </c>
      <c r="B187" s="22">
        <v>3000000707</v>
      </c>
      <c r="C187" t="s">
        <v>1618</v>
      </c>
      <c r="D187" s="22" t="s">
        <v>12</v>
      </c>
      <c r="AG187">
        <v>0</v>
      </c>
    </row>
  </sheetData>
  <autoFilter ref="A4:AG186"/>
  <mergeCells count="3">
    <mergeCell ref="A1:A2"/>
    <mergeCell ref="B1:B2"/>
    <mergeCell ref="C1:C2"/>
  </mergeCells>
  <conditionalFormatting sqref="A101:XFD101">
    <cfRule type="expression" dxfId="357" priority="1" stopIfTrue="1">
      <formula>AND(ROW()&gt;=101,ROW()&lt;=101)</formula>
    </cfRule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E187"/>
  <sheetViews>
    <sheetView zoomScaleNormal="100" workbookViewId="0">
      <pane xSplit="5" ySplit="4" topLeftCell="CC101" activePane="bottomRight" state="frozen"/>
      <selection pane="topRight" activeCell="F1" sqref="F1"/>
      <selection pane="bottomLeft" activeCell="A5" sqref="A5"/>
      <selection pane="bottomRight" activeCell="CC2" sqref="CC2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7.42578125" style="22" customWidth="1"/>
    <col min="5" max="5" width="9.140625" customWidth="1"/>
    <col min="6" max="6" width="10.28515625" customWidth="1"/>
    <col min="7" max="9" width="9.140625" customWidth="1"/>
    <col min="10" max="10" width="10.7109375" customWidth="1"/>
    <col min="11" max="13" width="10.140625" customWidth="1"/>
    <col min="14" max="14" width="11.140625" customWidth="1"/>
    <col min="15" max="16" width="9" customWidth="1"/>
    <col min="17" max="17" width="11" customWidth="1"/>
    <col min="18" max="18" width="9" customWidth="1"/>
    <col min="19" max="23" width="7.7109375" customWidth="1"/>
    <col min="24" max="24" width="7.42578125" customWidth="1"/>
    <col min="25" max="26" width="8.85546875" customWidth="1"/>
    <col min="27" max="28" width="7.7109375" customWidth="1"/>
    <col min="29" max="29" width="6.85546875" customWidth="1"/>
    <col min="30" max="79" width="9.140625" customWidth="1"/>
    <col min="80" max="81" width="9.85546875" customWidth="1"/>
    <col min="82" max="86" width="9.140625" customWidth="1"/>
    <col min="87" max="89" width="11.140625" style="22" customWidth="1"/>
    <col min="90" max="91" width="9.42578125" customWidth="1"/>
    <col min="92" max="100" width="9.42578125" style="22" customWidth="1"/>
    <col min="101" max="101" width="9.85546875" style="22" customWidth="1"/>
    <col min="102" max="108" width="11.85546875" style="22" customWidth="1"/>
    <col min="109" max="109" width="11" customWidth="1"/>
    <col min="111" max="111" width="11" bestFit="1" customWidth="1"/>
    <col min="112" max="112" width="48" bestFit="1" customWidth="1"/>
    <col min="113" max="113" width="6" bestFit="1" customWidth="1"/>
  </cols>
  <sheetData>
    <row r="1" spans="1:109" ht="57" thickBot="1" x14ac:dyDescent="0.3">
      <c r="A1" s="149" t="s">
        <v>420</v>
      </c>
      <c r="B1" s="149" t="s">
        <v>419</v>
      </c>
      <c r="C1" s="149" t="s">
        <v>418</v>
      </c>
      <c r="D1" s="80">
        <f>COUNTA(F1:XFD1)-1</f>
        <v>101</v>
      </c>
      <c r="E1" s="37" t="s">
        <v>188</v>
      </c>
      <c r="F1" s="26" t="s">
        <v>310</v>
      </c>
      <c r="G1" s="26" t="s">
        <v>310</v>
      </c>
      <c r="H1" s="26" t="s">
        <v>310</v>
      </c>
      <c r="I1" s="26" t="s">
        <v>310</v>
      </c>
      <c r="J1" s="26" t="s">
        <v>310</v>
      </c>
      <c r="K1" s="26" t="s">
        <v>311</v>
      </c>
      <c r="L1" s="26" t="s">
        <v>310</v>
      </c>
      <c r="M1" s="26" t="s">
        <v>310</v>
      </c>
      <c r="N1" s="26" t="s">
        <v>310</v>
      </c>
      <c r="O1" s="26" t="s">
        <v>310</v>
      </c>
      <c r="P1" s="26" t="s">
        <v>310</v>
      </c>
      <c r="Q1" s="26" t="s">
        <v>310</v>
      </c>
      <c r="R1" s="26" t="s">
        <v>310</v>
      </c>
      <c r="S1" s="26" t="s">
        <v>310</v>
      </c>
      <c r="T1" s="26" t="s">
        <v>310</v>
      </c>
      <c r="U1" s="26" t="s">
        <v>310</v>
      </c>
      <c r="V1" s="26" t="s">
        <v>310</v>
      </c>
      <c r="W1" s="26" t="s">
        <v>310</v>
      </c>
      <c r="X1" s="26" t="s">
        <v>310</v>
      </c>
      <c r="Y1" s="26" t="s">
        <v>310</v>
      </c>
      <c r="Z1" s="26" t="s">
        <v>310</v>
      </c>
      <c r="AA1" s="26" t="s">
        <v>310</v>
      </c>
      <c r="AB1" s="26" t="s">
        <v>310</v>
      </c>
      <c r="AC1" s="26" t="s">
        <v>310</v>
      </c>
      <c r="AD1" s="53" t="s">
        <v>35</v>
      </c>
      <c r="AE1" s="26" t="s">
        <v>310</v>
      </c>
      <c r="AF1" s="26" t="s">
        <v>310</v>
      </c>
      <c r="AG1" s="26" t="s">
        <v>310</v>
      </c>
      <c r="AH1" s="26" t="s">
        <v>310</v>
      </c>
      <c r="AI1" s="26" t="s">
        <v>311</v>
      </c>
      <c r="AJ1" s="26" t="s">
        <v>310</v>
      </c>
      <c r="AK1" s="26" t="s">
        <v>310</v>
      </c>
      <c r="AL1" s="26" t="s">
        <v>310</v>
      </c>
      <c r="AM1" s="26" t="s">
        <v>310</v>
      </c>
      <c r="AN1" s="26" t="s">
        <v>310</v>
      </c>
      <c r="AO1" s="26" t="s">
        <v>310</v>
      </c>
      <c r="AP1" s="26" t="s">
        <v>310</v>
      </c>
      <c r="AQ1" s="26" t="s">
        <v>310</v>
      </c>
      <c r="AR1" s="26" t="s">
        <v>310</v>
      </c>
      <c r="AS1" s="26" t="s">
        <v>310</v>
      </c>
      <c r="AT1" s="26" t="s">
        <v>310</v>
      </c>
      <c r="AU1" s="26" t="s">
        <v>310</v>
      </c>
      <c r="AV1" s="26" t="s">
        <v>310</v>
      </c>
      <c r="AW1" s="26" t="s">
        <v>310</v>
      </c>
      <c r="AX1" s="26" t="s">
        <v>310</v>
      </c>
      <c r="AY1" s="26" t="s">
        <v>310</v>
      </c>
      <c r="AZ1" s="26" t="s">
        <v>310</v>
      </c>
      <c r="BA1" s="26" t="s">
        <v>310</v>
      </c>
      <c r="BB1" s="26" t="s">
        <v>310</v>
      </c>
      <c r="BC1" s="26" t="s">
        <v>310</v>
      </c>
      <c r="BD1" s="26" t="s">
        <v>310</v>
      </c>
      <c r="BE1" s="26" t="s">
        <v>310</v>
      </c>
      <c r="BF1" s="26" t="s">
        <v>310</v>
      </c>
      <c r="BG1" s="26" t="s">
        <v>310</v>
      </c>
      <c r="BH1" s="26" t="s">
        <v>310</v>
      </c>
      <c r="BI1" s="26" t="s">
        <v>310</v>
      </c>
      <c r="BJ1" s="26" t="s">
        <v>310</v>
      </c>
      <c r="BK1" s="26" t="s">
        <v>310</v>
      </c>
      <c r="BL1" s="26" t="s">
        <v>310</v>
      </c>
      <c r="BM1" s="26" t="s">
        <v>310</v>
      </c>
      <c r="BN1" s="26" t="s">
        <v>310</v>
      </c>
      <c r="BO1" s="26" t="s">
        <v>310</v>
      </c>
      <c r="BP1" s="26" t="s">
        <v>310</v>
      </c>
      <c r="BQ1" s="26" t="s">
        <v>310</v>
      </c>
      <c r="BR1" s="26" t="s">
        <v>310</v>
      </c>
      <c r="BS1" s="26" t="s">
        <v>310</v>
      </c>
      <c r="BT1" s="26" t="s">
        <v>310</v>
      </c>
      <c r="BU1" s="26" t="s">
        <v>310</v>
      </c>
      <c r="BV1" s="26" t="s">
        <v>310</v>
      </c>
      <c r="BW1" s="26" t="s">
        <v>310</v>
      </c>
      <c r="BX1" s="26" t="s">
        <v>310</v>
      </c>
      <c r="BY1" s="26" t="s">
        <v>310</v>
      </c>
      <c r="BZ1" s="26" t="s">
        <v>310</v>
      </c>
      <c r="CA1" s="26" t="s">
        <v>310</v>
      </c>
      <c r="CB1" s="26" t="s">
        <v>310</v>
      </c>
      <c r="CC1" s="26" t="s">
        <v>310</v>
      </c>
      <c r="CD1" s="26" t="s">
        <v>310</v>
      </c>
      <c r="CE1" s="26" t="s">
        <v>310</v>
      </c>
      <c r="CF1" s="26" t="s">
        <v>310</v>
      </c>
      <c r="CG1" s="26" t="s">
        <v>310</v>
      </c>
      <c r="CH1" s="26" t="s">
        <v>310</v>
      </c>
      <c r="CI1" s="26" t="s">
        <v>310</v>
      </c>
      <c r="CJ1" s="26" t="s">
        <v>310</v>
      </c>
      <c r="CK1" s="26" t="s">
        <v>310</v>
      </c>
      <c r="CL1" s="26" t="s">
        <v>457</v>
      </c>
      <c r="CM1" s="26" t="s">
        <v>457</v>
      </c>
      <c r="CN1" s="26" t="s">
        <v>457</v>
      </c>
      <c r="CO1" s="26" t="s">
        <v>457</v>
      </c>
      <c r="CP1" s="26" t="s">
        <v>457</v>
      </c>
      <c r="CQ1" s="26" t="s">
        <v>313</v>
      </c>
      <c r="CR1" s="26" t="s">
        <v>313</v>
      </c>
      <c r="CS1" s="26" t="s">
        <v>313</v>
      </c>
      <c r="CT1" s="26" t="s">
        <v>310</v>
      </c>
      <c r="CU1" s="26" t="s">
        <v>310</v>
      </c>
      <c r="CV1" s="26" t="s">
        <v>457</v>
      </c>
      <c r="CW1" s="26" t="s">
        <v>457</v>
      </c>
      <c r="CX1" s="26" t="s">
        <v>310</v>
      </c>
      <c r="CY1" s="26" t="s">
        <v>310</v>
      </c>
      <c r="CZ1" s="26" t="s">
        <v>310</v>
      </c>
      <c r="DA1" s="26" t="s">
        <v>310</v>
      </c>
      <c r="DB1" s="26" t="s">
        <v>310</v>
      </c>
      <c r="DC1" s="26"/>
      <c r="DD1" s="26"/>
      <c r="DE1" s="53" t="s">
        <v>177</v>
      </c>
    </row>
    <row r="2" spans="1:109" ht="29.25" customHeight="1" thickBot="1" x14ac:dyDescent="0.3">
      <c r="A2" s="150"/>
      <c r="B2" s="150"/>
      <c r="C2" s="150" t="s">
        <v>10</v>
      </c>
      <c r="D2" s="26" t="s">
        <v>2</v>
      </c>
      <c r="E2" s="4" t="s">
        <v>186</v>
      </c>
      <c r="F2" s="25" t="s">
        <v>314</v>
      </c>
      <c r="G2" s="25" t="s">
        <v>315</v>
      </c>
      <c r="H2" s="25" t="s">
        <v>316</v>
      </c>
      <c r="I2" s="25" t="s">
        <v>317</v>
      </c>
      <c r="J2" s="25" t="s">
        <v>318</v>
      </c>
      <c r="K2" s="25" t="s">
        <v>319</v>
      </c>
      <c r="L2" s="25" t="s">
        <v>320</v>
      </c>
      <c r="M2" s="25" t="s">
        <v>321</v>
      </c>
      <c r="N2" s="25" t="s">
        <v>322</v>
      </c>
      <c r="O2" s="25" t="s">
        <v>323</v>
      </c>
      <c r="P2" s="25" t="s">
        <v>324</v>
      </c>
      <c r="Q2" s="25" t="s">
        <v>325</v>
      </c>
      <c r="R2" s="25" t="s">
        <v>326</v>
      </c>
      <c r="S2" s="25" t="s">
        <v>327</v>
      </c>
      <c r="T2" s="25" t="s">
        <v>328</v>
      </c>
      <c r="U2" s="25" t="s">
        <v>329</v>
      </c>
      <c r="V2" s="25" t="s">
        <v>330</v>
      </c>
      <c r="W2" s="25" t="s">
        <v>331</v>
      </c>
      <c r="X2" s="25" t="s">
        <v>332</v>
      </c>
      <c r="Y2" s="25" t="s">
        <v>333</v>
      </c>
      <c r="Z2" s="25" t="s">
        <v>334</v>
      </c>
      <c r="AA2" s="25" t="s">
        <v>335</v>
      </c>
      <c r="AB2" s="25" t="s">
        <v>336</v>
      </c>
      <c r="AC2" s="25" t="s">
        <v>337</v>
      </c>
      <c r="AD2" s="25" t="s">
        <v>338</v>
      </c>
      <c r="AE2" s="25" t="s">
        <v>339</v>
      </c>
      <c r="AF2" s="25" t="s">
        <v>340</v>
      </c>
      <c r="AG2" s="25" t="s">
        <v>341</v>
      </c>
      <c r="AH2" s="25" t="s">
        <v>342</v>
      </c>
      <c r="AI2" s="25" t="s">
        <v>343</v>
      </c>
      <c r="AJ2" s="25" t="s">
        <v>344</v>
      </c>
      <c r="AK2" s="25" t="s">
        <v>345</v>
      </c>
      <c r="AL2" s="25" t="s">
        <v>346</v>
      </c>
      <c r="AM2" s="25" t="s">
        <v>347</v>
      </c>
      <c r="AN2" s="25" t="s">
        <v>348</v>
      </c>
      <c r="AO2" s="25" t="s">
        <v>349</v>
      </c>
      <c r="AP2" s="25" t="s">
        <v>350</v>
      </c>
      <c r="AQ2" s="25" t="s">
        <v>351</v>
      </c>
      <c r="AR2" s="25" t="s">
        <v>352</v>
      </c>
      <c r="AS2" s="25" t="s">
        <v>353</v>
      </c>
      <c r="AT2" s="25" t="s">
        <v>354</v>
      </c>
      <c r="AU2" s="25" t="s">
        <v>355</v>
      </c>
      <c r="AV2" s="25" t="s">
        <v>356</v>
      </c>
      <c r="AW2" s="25" t="s">
        <v>357</v>
      </c>
      <c r="AX2" s="25" t="s">
        <v>358</v>
      </c>
      <c r="AY2" s="25" t="s">
        <v>359</v>
      </c>
      <c r="AZ2" s="25" t="s">
        <v>360</v>
      </c>
      <c r="BA2" s="25" t="s">
        <v>361</v>
      </c>
      <c r="BB2" s="25" t="s">
        <v>362</v>
      </c>
      <c r="BC2" s="25" t="s">
        <v>363</v>
      </c>
      <c r="BD2" s="25" t="s">
        <v>364</v>
      </c>
      <c r="BE2" s="25" t="s">
        <v>365</v>
      </c>
      <c r="BF2" s="25" t="s">
        <v>366</v>
      </c>
      <c r="BG2" s="25" t="s">
        <v>367</v>
      </c>
      <c r="BH2" s="25" t="s">
        <v>368</v>
      </c>
      <c r="BI2" s="25" t="s">
        <v>369</v>
      </c>
      <c r="BJ2" s="25" t="s">
        <v>370</v>
      </c>
      <c r="BK2" s="25" t="s">
        <v>371</v>
      </c>
      <c r="BL2" s="25" t="s">
        <v>372</v>
      </c>
      <c r="BM2" s="25" t="s">
        <v>373</v>
      </c>
      <c r="BN2" s="25" t="s">
        <v>374</v>
      </c>
      <c r="BO2" s="25" t="s">
        <v>375</v>
      </c>
      <c r="BP2" s="25" t="s">
        <v>376</v>
      </c>
      <c r="BQ2" s="25" t="s">
        <v>377</v>
      </c>
      <c r="BR2" s="25" t="s">
        <v>378</v>
      </c>
      <c r="BS2" s="25" t="s">
        <v>379</v>
      </c>
      <c r="BT2" s="25" t="s">
        <v>380</v>
      </c>
      <c r="BU2" s="25" t="s">
        <v>381</v>
      </c>
      <c r="BV2" s="25" t="s">
        <v>382</v>
      </c>
      <c r="BW2" s="25" t="s">
        <v>383</v>
      </c>
      <c r="BX2" s="25" t="s">
        <v>384</v>
      </c>
      <c r="BY2" s="25" t="s">
        <v>385</v>
      </c>
      <c r="BZ2" s="25" t="s">
        <v>386</v>
      </c>
      <c r="CA2" s="25" t="s">
        <v>387</v>
      </c>
      <c r="CB2" s="25" t="s">
        <v>388</v>
      </c>
      <c r="CC2" s="25" t="s">
        <v>389</v>
      </c>
      <c r="CD2" s="25" t="s">
        <v>390</v>
      </c>
      <c r="CE2" s="25" t="s">
        <v>391</v>
      </c>
      <c r="CF2" s="25" t="s">
        <v>392</v>
      </c>
      <c r="CG2" s="25" t="s">
        <v>393</v>
      </c>
      <c r="CH2" s="25" t="s">
        <v>394</v>
      </c>
      <c r="CI2" s="25" t="s">
        <v>395</v>
      </c>
      <c r="CJ2" s="25" t="s">
        <v>396</v>
      </c>
      <c r="CK2" s="25" t="s">
        <v>397</v>
      </c>
      <c r="CL2" s="25" t="s">
        <v>398</v>
      </c>
      <c r="CM2" s="25" t="s">
        <v>399</v>
      </c>
      <c r="CN2" s="25" t="s">
        <v>400</v>
      </c>
      <c r="CO2" s="25" t="s">
        <v>401</v>
      </c>
      <c r="CP2" s="25" t="s">
        <v>402</v>
      </c>
      <c r="CQ2" s="25" t="s">
        <v>403</v>
      </c>
      <c r="CR2" s="25" t="s">
        <v>404</v>
      </c>
      <c r="CS2" s="25" t="s">
        <v>35</v>
      </c>
      <c r="CT2" s="25" t="s">
        <v>421</v>
      </c>
      <c r="CU2" s="25" t="s">
        <v>432</v>
      </c>
      <c r="CV2" s="25" t="s">
        <v>456</v>
      </c>
      <c r="CW2" s="25" t="s">
        <v>468</v>
      </c>
      <c r="CX2" s="25" t="s">
        <v>591</v>
      </c>
      <c r="CY2" s="104" t="s">
        <v>1362</v>
      </c>
      <c r="CZ2" s="104" t="s">
        <v>1427</v>
      </c>
      <c r="DA2" s="104" t="s">
        <v>1482</v>
      </c>
      <c r="DB2" s="104" t="s">
        <v>1652</v>
      </c>
      <c r="DC2" s="104"/>
      <c r="DD2" s="104"/>
      <c r="DE2" s="53"/>
    </row>
    <row r="3" spans="1:109" s="28" customFormat="1" ht="12" customHeight="1" x14ac:dyDescent="0.25">
      <c r="A3" s="26"/>
      <c r="B3" s="26"/>
      <c r="C3" s="26"/>
      <c r="D3" s="26"/>
      <c r="E3" s="38" t="s">
        <v>187</v>
      </c>
      <c r="F3" s="27">
        <v>45428</v>
      </c>
      <c r="G3" s="27">
        <v>45428</v>
      </c>
      <c r="H3" s="27">
        <v>45452</v>
      </c>
      <c r="I3" s="27">
        <v>45462</v>
      </c>
      <c r="J3" s="34">
        <v>45473</v>
      </c>
      <c r="K3" s="34">
        <v>45481</v>
      </c>
      <c r="L3" s="34">
        <v>45496</v>
      </c>
      <c r="M3" s="34">
        <v>45501</v>
      </c>
      <c r="N3" s="34">
        <v>45524</v>
      </c>
      <c r="O3" s="27">
        <v>45546</v>
      </c>
      <c r="P3" s="27">
        <v>45547</v>
      </c>
      <c r="Q3" s="34">
        <v>45549</v>
      </c>
      <c r="R3" s="27">
        <v>45551</v>
      </c>
      <c r="S3" s="53">
        <v>45552</v>
      </c>
      <c r="T3" s="53">
        <v>45553</v>
      </c>
      <c r="U3" s="53">
        <v>45554</v>
      </c>
      <c r="V3" s="53">
        <v>45556</v>
      </c>
      <c r="W3" s="53">
        <v>45557</v>
      </c>
      <c r="X3" s="53" t="s">
        <v>405</v>
      </c>
      <c r="Y3" s="53">
        <v>45560</v>
      </c>
      <c r="Z3" s="53">
        <v>45561</v>
      </c>
      <c r="AA3" s="53">
        <v>45563</v>
      </c>
      <c r="AB3" s="53">
        <v>45563</v>
      </c>
      <c r="AC3" s="53">
        <v>45567</v>
      </c>
      <c r="AD3" s="53">
        <v>45569</v>
      </c>
      <c r="AE3" s="53">
        <v>45570</v>
      </c>
      <c r="AF3" s="53">
        <v>45571</v>
      </c>
      <c r="AG3" s="53">
        <v>45572</v>
      </c>
      <c r="AH3" s="53">
        <v>45574</v>
      </c>
      <c r="AI3" s="53">
        <v>45577</v>
      </c>
      <c r="AJ3" s="53">
        <v>45577</v>
      </c>
      <c r="AK3" s="53">
        <v>45578</v>
      </c>
      <c r="AL3" s="53">
        <v>45580</v>
      </c>
      <c r="AM3" s="53">
        <v>45582</v>
      </c>
      <c r="AN3" s="53">
        <v>45584</v>
      </c>
      <c r="AO3" s="53">
        <v>45589</v>
      </c>
      <c r="AP3" s="53">
        <v>45592</v>
      </c>
      <c r="AQ3" s="53">
        <v>45595</v>
      </c>
      <c r="AR3" s="53">
        <v>45595</v>
      </c>
      <c r="AS3" s="53">
        <v>45598</v>
      </c>
      <c r="AT3" s="53">
        <v>45607</v>
      </c>
      <c r="AU3" s="53">
        <v>45608</v>
      </c>
      <c r="AV3" s="53">
        <v>45614</v>
      </c>
      <c r="AW3" s="53">
        <v>45619</v>
      </c>
      <c r="AX3" s="53">
        <v>45630</v>
      </c>
      <c r="AY3" s="53">
        <v>45630</v>
      </c>
      <c r="AZ3" s="53">
        <v>45647</v>
      </c>
      <c r="BA3" s="53">
        <v>45693</v>
      </c>
      <c r="BB3" s="53">
        <v>45715</v>
      </c>
      <c r="BC3" s="53">
        <v>45720</v>
      </c>
      <c r="BD3" s="53">
        <v>45721</v>
      </c>
      <c r="BE3" s="53">
        <v>45725</v>
      </c>
      <c r="BF3" s="53">
        <v>45752</v>
      </c>
      <c r="BG3" s="53">
        <v>45753</v>
      </c>
      <c r="BH3" s="53">
        <v>45761</v>
      </c>
      <c r="BI3" s="53">
        <v>45770</v>
      </c>
      <c r="BJ3" s="53">
        <v>45774</v>
      </c>
      <c r="BK3" s="53">
        <v>45776</v>
      </c>
      <c r="BL3" s="53">
        <v>45780</v>
      </c>
      <c r="BM3" s="53">
        <v>45782</v>
      </c>
      <c r="BN3" s="53">
        <v>45787</v>
      </c>
      <c r="BO3" s="53">
        <v>45797</v>
      </c>
      <c r="BP3" s="53">
        <v>45803</v>
      </c>
      <c r="BQ3" s="53">
        <v>45806</v>
      </c>
      <c r="BR3" s="53">
        <v>45809</v>
      </c>
      <c r="BS3" s="53">
        <v>45810</v>
      </c>
      <c r="BT3" s="53">
        <v>45811</v>
      </c>
      <c r="BU3" s="53">
        <v>45812</v>
      </c>
      <c r="BV3" s="53">
        <v>45817</v>
      </c>
      <c r="BW3" s="53">
        <v>45818</v>
      </c>
      <c r="BX3" s="53">
        <v>45819</v>
      </c>
      <c r="BY3" s="53">
        <v>45820</v>
      </c>
      <c r="BZ3" s="53">
        <v>45822</v>
      </c>
      <c r="CA3" s="53">
        <v>45825</v>
      </c>
      <c r="CB3" s="53">
        <v>45831</v>
      </c>
      <c r="CC3" s="53">
        <v>45836</v>
      </c>
      <c r="CD3" s="53">
        <v>45840</v>
      </c>
      <c r="CE3" s="53">
        <v>45847</v>
      </c>
      <c r="CF3" s="53">
        <v>45854</v>
      </c>
      <c r="CG3" s="53">
        <v>45860</v>
      </c>
      <c r="CH3" s="53" t="s">
        <v>239</v>
      </c>
      <c r="CI3" s="34">
        <v>45857</v>
      </c>
      <c r="CJ3" s="34">
        <v>45842</v>
      </c>
      <c r="CK3" s="34">
        <v>45844</v>
      </c>
      <c r="CL3" s="53">
        <v>45882</v>
      </c>
      <c r="CM3" s="54">
        <v>45883</v>
      </c>
      <c r="CN3" s="54">
        <v>45883</v>
      </c>
      <c r="CO3" s="54">
        <v>45882</v>
      </c>
      <c r="CP3" s="54">
        <v>45627</v>
      </c>
      <c r="CQ3" s="54">
        <v>45612</v>
      </c>
      <c r="CR3" s="54">
        <v>45554</v>
      </c>
      <c r="CS3" s="54" t="s">
        <v>35</v>
      </c>
      <c r="CT3" s="54">
        <v>45888</v>
      </c>
      <c r="CU3" s="54">
        <v>45890</v>
      </c>
      <c r="CV3" s="54">
        <v>45896</v>
      </c>
      <c r="CW3" s="54">
        <v>45899</v>
      </c>
      <c r="CX3" s="54">
        <v>45916</v>
      </c>
      <c r="CY3" s="54">
        <v>45979</v>
      </c>
      <c r="CZ3" s="54">
        <v>45994</v>
      </c>
      <c r="DA3" s="54">
        <v>46013</v>
      </c>
      <c r="DB3" s="54">
        <v>46035</v>
      </c>
      <c r="DC3" s="54"/>
      <c r="DD3" s="54"/>
      <c r="DE3" s="53"/>
    </row>
    <row r="4" spans="1:109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 t="s">
        <v>1363</v>
      </c>
      <c r="CZ4" s="32" t="s">
        <v>1428</v>
      </c>
      <c r="DA4" s="32" t="s">
        <v>1512</v>
      </c>
      <c r="DB4" s="32" t="s">
        <v>1655</v>
      </c>
      <c r="DC4" s="32"/>
      <c r="DD4" s="32"/>
      <c r="DE4" s="32"/>
    </row>
    <row r="5" spans="1:109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AC5" s="22">
        <v>460</v>
      </c>
      <c r="AF5" s="22">
        <v>328</v>
      </c>
      <c r="DE5" s="22">
        <v>788</v>
      </c>
    </row>
    <row r="6" spans="1:109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DE6" s="22">
        <v>0</v>
      </c>
    </row>
    <row r="7" spans="1:109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DE7" s="22">
        <v>0</v>
      </c>
    </row>
    <row r="8" spans="1:109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X8" s="22">
        <v>9</v>
      </c>
      <c r="AT8" s="22">
        <v>26</v>
      </c>
      <c r="CT8" s="22">
        <v>30</v>
      </c>
      <c r="DE8" s="22">
        <v>65</v>
      </c>
    </row>
    <row r="9" spans="1:109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X9" s="22">
        <v>7</v>
      </c>
      <c r="Z9" s="22">
        <v>24</v>
      </c>
      <c r="AI9" s="22">
        <v>24</v>
      </c>
      <c r="CT9" s="22">
        <v>30</v>
      </c>
      <c r="DE9" s="22">
        <v>85</v>
      </c>
    </row>
    <row r="10" spans="1:109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X10" s="22">
        <v>1</v>
      </c>
      <c r="AQ10" s="22">
        <v>35</v>
      </c>
      <c r="AS10" s="22">
        <v>6</v>
      </c>
      <c r="AT10" s="22">
        <v>19</v>
      </c>
      <c r="BQ10" s="22">
        <v>4</v>
      </c>
      <c r="DE10" s="22">
        <v>65</v>
      </c>
    </row>
    <row r="11" spans="1:109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X11" s="22">
        <v>10</v>
      </c>
      <c r="Z11" s="22">
        <v>24</v>
      </c>
      <c r="BQ11" s="22">
        <v>30</v>
      </c>
      <c r="BS11" s="22">
        <v>30</v>
      </c>
      <c r="DE11" s="22">
        <v>94</v>
      </c>
    </row>
    <row r="12" spans="1:109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DE12" s="22">
        <v>0</v>
      </c>
    </row>
    <row r="13" spans="1:109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DE13" s="22">
        <v>0</v>
      </c>
    </row>
    <row r="14" spans="1:109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N14" s="22">
        <v>20</v>
      </c>
      <c r="DE14" s="22">
        <v>20</v>
      </c>
    </row>
    <row r="15" spans="1:109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DE15" s="22">
        <v>0</v>
      </c>
    </row>
    <row r="16" spans="1:109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N16" s="22">
        <v>20</v>
      </c>
      <c r="DE16" s="22">
        <v>20</v>
      </c>
    </row>
    <row r="17" spans="1:109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DE17" s="22">
        <v>0</v>
      </c>
    </row>
    <row r="18" spans="1:109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DE18" s="22">
        <v>0</v>
      </c>
    </row>
    <row r="19" spans="1:109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F19" s="22">
        <v>45</v>
      </c>
      <c r="H19" s="22">
        <v>100</v>
      </c>
      <c r="N19" s="22">
        <v>400</v>
      </c>
      <c r="V19" s="22">
        <v>560</v>
      </c>
      <c r="Y19" s="22">
        <v>79</v>
      </c>
      <c r="Z19" s="22">
        <v>375</v>
      </c>
      <c r="AG19" s="22">
        <v>243</v>
      </c>
      <c r="AN19" s="22">
        <v>150</v>
      </c>
      <c r="BI19" s="22">
        <v>200</v>
      </c>
      <c r="BJ19" s="22">
        <v>400</v>
      </c>
      <c r="CC19" s="22">
        <v>200</v>
      </c>
      <c r="CE19" s="22">
        <v>316</v>
      </c>
      <c r="CU19" s="22">
        <v>150</v>
      </c>
      <c r="DE19" s="22">
        <v>3218</v>
      </c>
    </row>
    <row r="20" spans="1:109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F20" s="22">
        <v>4</v>
      </c>
      <c r="O20" s="22">
        <v>100</v>
      </c>
      <c r="X20" s="22">
        <v>100</v>
      </c>
      <c r="BL20" s="22">
        <v>400</v>
      </c>
      <c r="BQ20" s="22">
        <v>200</v>
      </c>
      <c r="BT20" s="22">
        <v>450</v>
      </c>
      <c r="DE20" s="22">
        <v>1254</v>
      </c>
    </row>
    <row r="21" spans="1:109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BB21" s="22">
        <v>10</v>
      </c>
      <c r="DE21" s="22">
        <v>10</v>
      </c>
    </row>
    <row r="22" spans="1:109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DE22" s="22">
        <v>0</v>
      </c>
    </row>
    <row r="23" spans="1:109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CZ23" s="22">
        <v>10</v>
      </c>
      <c r="DE23" s="22">
        <v>10</v>
      </c>
    </row>
    <row r="24" spans="1:109" s="22" customFormat="1" x14ac:dyDescent="0.25">
      <c r="A24" s="17">
        <v>20</v>
      </c>
      <c r="B24" s="46">
        <v>3000000063</v>
      </c>
      <c r="C24" s="45" t="s">
        <v>31</v>
      </c>
      <c r="D24" s="44" t="s">
        <v>12</v>
      </c>
      <c r="CZ24" s="22">
        <v>10</v>
      </c>
      <c r="DE24" s="22">
        <v>10</v>
      </c>
    </row>
    <row r="25" spans="1:109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CZ25" s="22">
        <v>10</v>
      </c>
      <c r="DE25" s="22">
        <v>10</v>
      </c>
    </row>
    <row r="26" spans="1:109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CY26" s="22">
        <v>8</v>
      </c>
      <c r="CZ26" s="22">
        <v>10</v>
      </c>
      <c r="DE26" s="22">
        <v>18</v>
      </c>
    </row>
    <row r="27" spans="1:109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F27" s="22">
        <v>200</v>
      </c>
      <c r="H27" s="22">
        <v>250</v>
      </c>
      <c r="N27" s="22">
        <v>500</v>
      </c>
      <c r="V27" s="22">
        <v>3510</v>
      </c>
      <c r="AS27" s="22">
        <v>2327</v>
      </c>
      <c r="BF27" s="22">
        <v>1000</v>
      </c>
      <c r="BJ27" s="22">
        <v>2180</v>
      </c>
      <c r="BL27" s="22">
        <v>600</v>
      </c>
      <c r="BO27" s="22">
        <v>900</v>
      </c>
      <c r="BQ27" s="22">
        <v>2000</v>
      </c>
      <c r="BS27" s="22">
        <v>1000</v>
      </c>
      <c r="BT27" s="22">
        <v>1833</v>
      </c>
      <c r="BW27" s="22">
        <v>1200</v>
      </c>
      <c r="BZ27" s="22">
        <v>2200</v>
      </c>
      <c r="CC27" s="22">
        <v>2400</v>
      </c>
      <c r="CF27" s="22">
        <v>22</v>
      </c>
      <c r="CH27" s="22">
        <v>39</v>
      </c>
      <c r="CK27" s="22">
        <v>7408</v>
      </c>
      <c r="CN27" s="22">
        <v>4548</v>
      </c>
      <c r="CV27" s="22">
        <v>20</v>
      </c>
      <c r="DE27" s="22">
        <v>34137</v>
      </c>
    </row>
    <row r="28" spans="1:109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DE28" s="22">
        <v>0</v>
      </c>
    </row>
    <row r="29" spans="1:109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DE29" s="22">
        <v>0</v>
      </c>
    </row>
    <row r="30" spans="1:109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DE30" s="22">
        <v>0</v>
      </c>
    </row>
    <row r="31" spans="1:109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I31" s="22">
        <v>66</v>
      </c>
      <c r="DE31" s="22">
        <v>66</v>
      </c>
    </row>
    <row r="32" spans="1:109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Z32" s="22">
        <v>8</v>
      </c>
      <c r="AS32" s="22">
        <v>8</v>
      </c>
      <c r="DE32" s="22">
        <v>16</v>
      </c>
    </row>
    <row r="33" spans="1:109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DE33" s="22">
        <v>0</v>
      </c>
    </row>
    <row r="34" spans="1:109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DE34" s="22">
        <v>0</v>
      </c>
    </row>
    <row r="35" spans="1:109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DE35" s="22">
        <v>0</v>
      </c>
    </row>
    <row r="36" spans="1:109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DE36" s="22">
        <v>0</v>
      </c>
    </row>
    <row r="37" spans="1:109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W37" s="22">
        <v>15</v>
      </c>
      <c r="AG37" s="22">
        <v>61</v>
      </c>
      <c r="AO37" s="22">
        <v>145</v>
      </c>
      <c r="AP37" s="22">
        <v>5</v>
      </c>
      <c r="AR37" s="22">
        <v>137</v>
      </c>
      <c r="AT37" s="22">
        <v>100</v>
      </c>
      <c r="AU37" s="22">
        <v>429</v>
      </c>
      <c r="AV37" s="22">
        <v>205</v>
      </c>
      <c r="AW37" s="22">
        <v>496</v>
      </c>
      <c r="AX37" s="22">
        <v>105</v>
      </c>
      <c r="DE37" s="22">
        <v>1698</v>
      </c>
    </row>
    <row r="38" spans="1:109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AG38" s="22">
        <v>140</v>
      </c>
      <c r="AO38" s="22">
        <v>90</v>
      </c>
      <c r="AR38" s="22">
        <v>147</v>
      </c>
      <c r="AT38" s="22">
        <v>100</v>
      </c>
      <c r="AV38" s="22">
        <v>430</v>
      </c>
      <c r="AW38" s="22">
        <v>304</v>
      </c>
      <c r="AX38" s="22">
        <v>98</v>
      </c>
      <c r="DB38" s="22">
        <v>120</v>
      </c>
      <c r="DE38" s="22">
        <v>1429</v>
      </c>
    </row>
    <row r="39" spans="1:109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R39" s="22">
        <v>79</v>
      </c>
      <c r="T39" s="22">
        <v>75</v>
      </c>
      <c r="W39" s="22">
        <v>45</v>
      </c>
      <c r="AB39" s="22">
        <v>500</v>
      </c>
      <c r="AD39" s="22">
        <v>109</v>
      </c>
      <c r="AG39" s="22">
        <v>20</v>
      </c>
      <c r="AM39" s="22">
        <v>600</v>
      </c>
      <c r="AN39" s="22">
        <v>105</v>
      </c>
      <c r="AP39" s="22">
        <v>5</v>
      </c>
      <c r="DE39" s="22">
        <v>1538</v>
      </c>
    </row>
    <row r="40" spans="1:109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T40" s="22">
        <v>310</v>
      </c>
      <c r="AD40" s="22">
        <v>8</v>
      </c>
      <c r="DE40" s="22">
        <v>318</v>
      </c>
    </row>
    <row r="41" spans="1:109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P41" s="22">
        <v>180</v>
      </c>
      <c r="T41" s="22">
        <v>50</v>
      </c>
      <c r="AD41" s="22">
        <v>8</v>
      </c>
      <c r="AG41" s="22">
        <v>21</v>
      </c>
      <c r="AO41" s="22">
        <v>77</v>
      </c>
      <c r="AP41" s="22">
        <v>3</v>
      </c>
      <c r="DE41" s="22">
        <v>339</v>
      </c>
    </row>
    <row r="42" spans="1:109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T42" s="22">
        <v>45</v>
      </c>
      <c r="AG42" s="22">
        <v>28</v>
      </c>
      <c r="DE42" s="22">
        <v>73</v>
      </c>
    </row>
    <row r="43" spans="1:109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Q43" s="22">
        <v>10</v>
      </c>
      <c r="DE43" s="22">
        <v>10</v>
      </c>
    </row>
    <row r="44" spans="1:109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S44" s="22">
        <v>1845</v>
      </c>
      <c r="AG44" s="22">
        <v>346</v>
      </c>
      <c r="AJ44" s="22">
        <v>1500</v>
      </c>
      <c r="AN44" s="22">
        <v>800</v>
      </c>
      <c r="AR44" s="22">
        <v>980</v>
      </c>
      <c r="AS44" s="22">
        <v>1020</v>
      </c>
      <c r="DE44" s="22">
        <v>6491</v>
      </c>
    </row>
    <row r="45" spans="1:109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AF45" s="22">
        <v>106</v>
      </c>
      <c r="DE45" s="22">
        <v>106</v>
      </c>
    </row>
    <row r="46" spans="1:109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AF46" s="22">
        <v>680</v>
      </c>
      <c r="DE46" s="22">
        <v>680</v>
      </c>
    </row>
    <row r="47" spans="1:109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AC47" s="22">
        <v>480</v>
      </c>
      <c r="AF47" s="22">
        <v>20</v>
      </c>
      <c r="DE47" s="22">
        <v>500</v>
      </c>
    </row>
    <row r="48" spans="1:109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AZ48" s="22">
        <v>50</v>
      </c>
      <c r="DE48" s="22">
        <v>50</v>
      </c>
    </row>
    <row r="49" spans="1:109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S49" s="22">
        <v>5</v>
      </c>
      <c r="AU49" s="22">
        <v>4</v>
      </c>
      <c r="DE49" s="22">
        <v>9</v>
      </c>
    </row>
    <row r="50" spans="1:109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Q50" s="22">
        <v>50</v>
      </c>
      <c r="T50" s="22">
        <v>1000</v>
      </c>
      <c r="AJ50" s="22">
        <v>200</v>
      </c>
      <c r="AP50" s="22">
        <v>782</v>
      </c>
      <c r="AR50" s="22">
        <v>1000</v>
      </c>
      <c r="DE50" s="22">
        <v>3032</v>
      </c>
    </row>
    <row r="51" spans="1:109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AS51" s="22">
        <v>128</v>
      </c>
      <c r="DE51" s="22">
        <v>128</v>
      </c>
    </row>
    <row r="52" spans="1:109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S52" s="22">
        <v>37</v>
      </c>
      <c r="DE52" s="22">
        <v>37</v>
      </c>
    </row>
    <row r="53" spans="1:109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S53" s="22">
        <v>12</v>
      </c>
      <c r="T53" s="22">
        <v>250</v>
      </c>
      <c r="AJ53" s="22">
        <v>50</v>
      </c>
      <c r="AP53" s="22">
        <v>53</v>
      </c>
      <c r="BP53" s="22">
        <v>1</v>
      </c>
      <c r="DE53" s="22">
        <v>366</v>
      </c>
    </row>
    <row r="54" spans="1:109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H54" s="22">
        <v>50</v>
      </c>
      <c r="J54" s="22">
        <v>100</v>
      </c>
      <c r="M54" s="22">
        <v>50</v>
      </c>
      <c r="N54" s="22">
        <v>300</v>
      </c>
      <c r="U54" s="22">
        <v>8</v>
      </c>
      <c r="V54" s="22">
        <v>209</v>
      </c>
      <c r="AT54" s="22">
        <v>150</v>
      </c>
      <c r="AV54" s="22">
        <v>200</v>
      </c>
      <c r="AW54" s="22">
        <v>100</v>
      </c>
      <c r="BL54" s="22">
        <v>1200</v>
      </c>
      <c r="BS54" s="22">
        <v>500</v>
      </c>
      <c r="BZ54" s="22">
        <v>1200</v>
      </c>
      <c r="CC54" s="22">
        <v>3000</v>
      </c>
      <c r="CH54" s="22">
        <v>1800</v>
      </c>
      <c r="CN54" s="22">
        <v>1500</v>
      </c>
      <c r="DE54" s="22">
        <v>10367</v>
      </c>
    </row>
    <row r="55" spans="1:109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J55" s="22">
        <v>6</v>
      </c>
      <c r="DE55" s="22">
        <v>6</v>
      </c>
    </row>
    <row r="56" spans="1:109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J56" s="22">
        <v>168</v>
      </c>
      <c r="DE56" s="22">
        <v>168</v>
      </c>
    </row>
    <row r="57" spans="1:109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J57" s="22">
        <v>67</v>
      </c>
      <c r="DE57" s="22">
        <v>67</v>
      </c>
    </row>
    <row r="58" spans="1:109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J58" s="22">
        <v>350</v>
      </c>
      <c r="DE58" s="22">
        <v>350</v>
      </c>
    </row>
    <row r="59" spans="1:109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J59" s="22">
        <v>84</v>
      </c>
      <c r="DE59" s="22">
        <v>84</v>
      </c>
    </row>
    <row r="60" spans="1:109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J60" s="22">
        <v>63</v>
      </c>
      <c r="DE60" s="22">
        <v>63</v>
      </c>
    </row>
    <row r="61" spans="1:109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J61" s="22">
        <v>26</v>
      </c>
      <c r="DE61" s="22">
        <v>26</v>
      </c>
    </row>
    <row r="62" spans="1:109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J62" s="22">
        <v>224</v>
      </c>
      <c r="DE62" s="22">
        <v>224</v>
      </c>
    </row>
    <row r="63" spans="1:109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J63" s="22">
        <v>20</v>
      </c>
      <c r="DE63" s="22">
        <v>20</v>
      </c>
    </row>
    <row r="64" spans="1:109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J64" s="22">
        <v>20</v>
      </c>
      <c r="DE64" s="22">
        <v>20</v>
      </c>
    </row>
    <row r="65" spans="1:109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J65" s="22">
        <v>42</v>
      </c>
      <c r="DE65" s="22">
        <v>42</v>
      </c>
    </row>
    <row r="66" spans="1:109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J66" s="22">
        <v>2</v>
      </c>
      <c r="DE66" s="22">
        <v>2</v>
      </c>
    </row>
    <row r="67" spans="1:109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V67" s="22">
        <v>100</v>
      </c>
      <c r="X67" s="22">
        <v>29</v>
      </c>
      <c r="AA67" s="22">
        <v>69</v>
      </c>
      <c r="AE67" s="22">
        <v>55</v>
      </c>
      <c r="AJ67" s="22">
        <v>148</v>
      </c>
      <c r="AT67" s="22">
        <v>200</v>
      </c>
      <c r="BI67" s="22">
        <v>200</v>
      </c>
      <c r="BZ67" s="22">
        <v>100</v>
      </c>
      <c r="DE67" s="22">
        <v>901</v>
      </c>
    </row>
    <row r="68" spans="1:109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AJ68" s="22">
        <v>90</v>
      </c>
      <c r="AL68" s="22">
        <v>100</v>
      </c>
      <c r="CC68" s="22">
        <v>200</v>
      </c>
      <c r="CK68" s="22">
        <v>1</v>
      </c>
      <c r="DE68" s="22">
        <v>391</v>
      </c>
    </row>
    <row r="69" spans="1:109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W69" s="22">
        <v>100</v>
      </c>
      <c r="X69" s="22">
        <v>39</v>
      </c>
      <c r="AE69" s="22">
        <v>82</v>
      </c>
      <c r="AJ69" s="22">
        <v>163</v>
      </c>
      <c r="AT69" s="22">
        <v>200</v>
      </c>
      <c r="BJ69" s="22">
        <v>20</v>
      </c>
      <c r="BK69" s="22">
        <v>300</v>
      </c>
      <c r="BM69" s="22">
        <v>300</v>
      </c>
      <c r="BO69" s="22">
        <v>200</v>
      </c>
      <c r="BR69" s="22">
        <v>100</v>
      </c>
      <c r="BT69" s="22">
        <v>38</v>
      </c>
      <c r="BW69" s="22">
        <v>100</v>
      </c>
      <c r="BZ69" s="22">
        <v>100</v>
      </c>
      <c r="CB69" s="22">
        <v>502</v>
      </c>
      <c r="CF69" s="22">
        <v>19</v>
      </c>
      <c r="CH69" s="22">
        <v>25</v>
      </c>
      <c r="CK69" s="22">
        <v>96</v>
      </c>
      <c r="CN69" s="22">
        <v>195</v>
      </c>
      <c r="CV69" s="22">
        <v>10</v>
      </c>
      <c r="DE69" s="22">
        <v>2589</v>
      </c>
    </row>
    <row r="70" spans="1:109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V70" s="22">
        <v>100</v>
      </c>
      <c r="X70" s="22">
        <v>90</v>
      </c>
      <c r="AJ70" s="22">
        <v>200</v>
      </c>
      <c r="AO70" s="22">
        <v>200</v>
      </c>
      <c r="AT70" s="22">
        <v>200</v>
      </c>
      <c r="AU70" s="22">
        <v>100</v>
      </c>
      <c r="BI70" s="22">
        <v>70</v>
      </c>
      <c r="BQ70" s="22">
        <v>100</v>
      </c>
      <c r="BS70" s="22">
        <v>200</v>
      </c>
      <c r="BT70" s="22">
        <v>100</v>
      </c>
      <c r="CA70" s="22">
        <v>600</v>
      </c>
      <c r="CH70" s="22">
        <v>14</v>
      </c>
      <c r="CN70" s="22">
        <v>8</v>
      </c>
      <c r="DE70" s="22">
        <v>1982</v>
      </c>
    </row>
    <row r="71" spans="1:109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V71" s="22">
        <v>100</v>
      </c>
      <c r="AA71" s="22">
        <v>200</v>
      </c>
      <c r="AJ71" s="22">
        <v>200</v>
      </c>
      <c r="AN71" s="22">
        <v>100</v>
      </c>
      <c r="AP71" s="22">
        <v>100</v>
      </c>
      <c r="BG71" s="22">
        <v>200</v>
      </c>
      <c r="BM71" s="22">
        <v>300</v>
      </c>
      <c r="BQ71" s="22">
        <v>100</v>
      </c>
      <c r="BR71" s="22">
        <v>200</v>
      </c>
      <c r="BT71" s="22">
        <v>100</v>
      </c>
      <c r="BV71" s="22">
        <v>200</v>
      </c>
      <c r="BZ71" s="22">
        <v>100</v>
      </c>
      <c r="CF71" s="22">
        <v>175</v>
      </c>
      <c r="CG71" s="22">
        <v>372</v>
      </c>
      <c r="DE71" s="22">
        <v>2447</v>
      </c>
    </row>
    <row r="72" spans="1:109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V72" s="22">
        <v>100</v>
      </c>
      <c r="W72" s="22">
        <v>100</v>
      </c>
      <c r="X72" s="22">
        <v>400</v>
      </c>
      <c r="Y72" s="22">
        <v>100</v>
      </c>
      <c r="Z72" s="22">
        <v>400</v>
      </c>
      <c r="AA72" s="22">
        <v>200</v>
      </c>
      <c r="AE72" s="22">
        <v>100</v>
      </c>
      <c r="AH72" s="22">
        <v>600</v>
      </c>
      <c r="AJ72" s="22">
        <v>100</v>
      </c>
      <c r="AK72" s="22">
        <v>400</v>
      </c>
      <c r="AN72" s="22">
        <v>300</v>
      </c>
      <c r="AO72" s="22">
        <v>200</v>
      </c>
      <c r="AP72" s="22">
        <v>100</v>
      </c>
      <c r="AU72" s="22">
        <v>100</v>
      </c>
      <c r="BF72" s="22">
        <v>300</v>
      </c>
      <c r="BG72" s="22">
        <v>100</v>
      </c>
      <c r="BI72" s="22">
        <v>300</v>
      </c>
      <c r="BK72" s="22">
        <v>900</v>
      </c>
      <c r="BL72" s="22">
        <v>300</v>
      </c>
      <c r="BN72" s="22">
        <v>225</v>
      </c>
      <c r="BQ72" s="22">
        <v>400</v>
      </c>
      <c r="BR72" s="22">
        <v>300</v>
      </c>
      <c r="BS72" s="22">
        <v>300</v>
      </c>
      <c r="BT72" s="22">
        <v>200</v>
      </c>
      <c r="BV72" s="22">
        <v>300</v>
      </c>
      <c r="BX72" s="22">
        <v>600</v>
      </c>
      <c r="BZ72" s="22">
        <v>500</v>
      </c>
      <c r="CB72" s="22">
        <v>400</v>
      </c>
      <c r="CC72" s="22">
        <v>300</v>
      </c>
      <c r="CD72" s="22">
        <v>400</v>
      </c>
      <c r="CE72" s="22">
        <v>700</v>
      </c>
      <c r="CF72" s="22">
        <v>1225</v>
      </c>
      <c r="CG72" s="22">
        <v>350</v>
      </c>
      <c r="CI72" s="22">
        <v>1400</v>
      </c>
      <c r="CJ72" s="22">
        <v>1050</v>
      </c>
      <c r="CO72" s="22">
        <v>1400</v>
      </c>
      <c r="DE72" s="22">
        <v>15150</v>
      </c>
    </row>
    <row r="73" spans="1:109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DE73" s="22">
        <v>0</v>
      </c>
    </row>
    <row r="74" spans="1:109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DE74" s="22">
        <v>0</v>
      </c>
    </row>
    <row r="75" spans="1:109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I75" s="22">
        <v>100</v>
      </c>
      <c r="O75" s="22">
        <v>100</v>
      </c>
      <c r="S75" s="22">
        <v>365</v>
      </c>
      <c r="AG75" s="22">
        <v>21</v>
      </c>
      <c r="AN75" s="22">
        <v>50</v>
      </c>
      <c r="AO75" s="22">
        <v>96</v>
      </c>
      <c r="AV75" s="22">
        <v>150</v>
      </c>
      <c r="DE75" s="22">
        <v>882</v>
      </c>
    </row>
    <row r="76" spans="1:109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O76" s="22">
        <v>150</v>
      </c>
      <c r="S76" s="22">
        <v>162</v>
      </c>
      <c r="T76" s="22">
        <v>150</v>
      </c>
      <c r="Y76" s="22">
        <v>9</v>
      </c>
      <c r="AG76" s="22">
        <v>101</v>
      </c>
      <c r="AO76" s="22">
        <v>50</v>
      </c>
      <c r="DE76" s="22">
        <v>622</v>
      </c>
    </row>
    <row r="77" spans="1:109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N77" s="22">
        <v>50</v>
      </c>
      <c r="DE77" s="22">
        <v>50</v>
      </c>
    </row>
    <row r="78" spans="1:109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AO78" s="22">
        <v>411</v>
      </c>
      <c r="DE78" s="22">
        <v>411</v>
      </c>
    </row>
    <row r="79" spans="1:109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DE79" s="22">
        <v>0</v>
      </c>
    </row>
    <row r="80" spans="1:109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U80" s="22">
        <v>129</v>
      </c>
      <c r="W80" s="22">
        <v>340</v>
      </c>
      <c r="Y80" s="22">
        <v>329</v>
      </c>
      <c r="AA80" s="22">
        <v>588</v>
      </c>
      <c r="AE80" s="22">
        <v>9</v>
      </c>
      <c r="AJ80" s="22">
        <v>98</v>
      </c>
      <c r="AN80" s="22">
        <v>918</v>
      </c>
      <c r="AO80" s="22">
        <v>357</v>
      </c>
      <c r="AR80" s="22">
        <v>707</v>
      </c>
      <c r="BM80" s="22">
        <v>639</v>
      </c>
      <c r="BR80" s="22">
        <v>200</v>
      </c>
      <c r="BS80" s="22">
        <v>144</v>
      </c>
      <c r="BT80" s="22">
        <v>12</v>
      </c>
      <c r="DE80" s="22">
        <v>4470</v>
      </c>
    </row>
    <row r="81" spans="1:109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U81" s="22">
        <v>60</v>
      </c>
      <c r="Y81" s="22">
        <v>76</v>
      </c>
      <c r="AA81" s="22">
        <v>311</v>
      </c>
      <c r="AE81" s="22">
        <v>96</v>
      </c>
      <c r="AG81" s="22">
        <v>125</v>
      </c>
      <c r="AJ81" s="22">
        <v>62</v>
      </c>
      <c r="BR81" s="22">
        <v>100</v>
      </c>
      <c r="BV81" s="22">
        <v>50</v>
      </c>
      <c r="DE81" s="22">
        <v>880</v>
      </c>
    </row>
    <row r="82" spans="1:109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T82" s="22">
        <v>285</v>
      </c>
      <c r="DE82" s="22">
        <v>285</v>
      </c>
    </row>
    <row r="83" spans="1:109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AI83" s="22">
        <v>469</v>
      </c>
      <c r="AL83" s="22">
        <v>340</v>
      </c>
      <c r="AN83" s="22">
        <v>200</v>
      </c>
      <c r="AP83" s="22">
        <v>112</v>
      </c>
      <c r="AR83" s="22">
        <v>198</v>
      </c>
      <c r="AS83" s="22">
        <v>100</v>
      </c>
      <c r="DE83" s="22">
        <v>1419</v>
      </c>
    </row>
    <row r="84" spans="1:109" s="22" customFormat="1" x14ac:dyDescent="0.25">
      <c r="A84" s="17">
        <v>80</v>
      </c>
      <c r="B84" s="15">
        <v>3000000307</v>
      </c>
      <c r="C84" s="16" t="s">
        <v>92</v>
      </c>
      <c r="D84" s="44" t="s">
        <v>12</v>
      </c>
      <c r="DE84" s="22">
        <v>0</v>
      </c>
    </row>
    <row r="85" spans="1:109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AI85" s="22">
        <v>175</v>
      </c>
      <c r="AP85" s="22">
        <v>200</v>
      </c>
      <c r="AR85" s="22">
        <v>100</v>
      </c>
      <c r="AU85" s="22">
        <v>300</v>
      </c>
      <c r="BM85" s="22">
        <v>200</v>
      </c>
      <c r="BQ85" s="22">
        <v>89</v>
      </c>
      <c r="BR85" s="22">
        <v>100</v>
      </c>
      <c r="BS85" s="22">
        <v>160</v>
      </c>
      <c r="DE85" s="22">
        <v>1324</v>
      </c>
    </row>
    <row r="86" spans="1:109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N86" s="22">
        <v>25</v>
      </c>
      <c r="Q86" s="22">
        <v>80</v>
      </c>
      <c r="U86" s="22">
        <v>137</v>
      </c>
      <c r="Y86" s="22">
        <v>70</v>
      </c>
      <c r="AA86" s="22">
        <v>100</v>
      </c>
      <c r="AE86" s="22">
        <v>97</v>
      </c>
      <c r="AR86" s="22">
        <v>200</v>
      </c>
      <c r="AW86" s="22">
        <v>200</v>
      </c>
      <c r="BQ86" s="22">
        <v>200</v>
      </c>
      <c r="CD86" s="22">
        <v>282</v>
      </c>
      <c r="DE86" s="22">
        <v>1391</v>
      </c>
    </row>
    <row r="87" spans="1:109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O87" s="22">
        <v>100</v>
      </c>
      <c r="Q87" s="22">
        <v>300</v>
      </c>
      <c r="T87" s="22">
        <v>200</v>
      </c>
      <c r="W87" s="22">
        <v>300</v>
      </c>
      <c r="Y87" s="22">
        <v>300</v>
      </c>
      <c r="Z87" s="22">
        <v>300</v>
      </c>
      <c r="AA87" s="22">
        <v>300</v>
      </c>
      <c r="AH87" s="22">
        <v>500</v>
      </c>
      <c r="AI87" s="22">
        <v>257</v>
      </c>
      <c r="AP87" s="22">
        <v>668</v>
      </c>
      <c r="AS87" s="22">
        <v>900</v>
      </c>
      <c r="AU87" s="22">
        <v>500</v>
      </c>
      <c r="BG87" s="22">
        <v>1625</v>
      </c>
      <c r="BJ87" s="22">
        <v>200</v>
      </c>
      <c r="BS87" s="22">
        <v>400</v>
      </c>
      <c r="BV87" s="22">
        <v>400</v>
      </c>
      <c r="BW87" s="22">
        <v>200</v>
      </c>
      <c r="DE87" s="22">
        <v>7450</v>
      </c>
    </row>
    <row r="88" spans="1:109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N88" s="22">
        <v>25</v>
      </c>
      <c r="DE88" s="22">
        <v>25</v>
      </c>
    </row>
    <row r="89" spans="1:109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I89" s="22">
        <v>85</v>
      </c>
      <c r="DE89" s="22">
        <v>85</v>
      </c>
    </row>
    <row r="90" spans="1:109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I90" s="22">
        <v>80</v>
      </c>
      <c r="DE90" s="22">
        <v>80</v>
      </c>
    </row>
    <row r="91" spans="1:109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I91" s="22">
        <v>60</v>
      </c>
      <c r="DE91" s="22">
        <v>60</v>
      </c>
    </row>
    <row r="92" spans="1:109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I92" s="22">
        <v>66</v>
      </c>
      <c r="DE92" s="22">
        <v>66</v>
      </c>
    </row>
    <row r="93" spans="1:109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I93" s="22">
        <v>1375</v>
      </c>
      <c r="Q93" s="22">
        <v>600</v>
      </c>
      <c r="BD93" s="22">
        <v>100</v>
      </c>
      <c r="DE93" s="22">
        <v>2075</v>
      </c>
    </row>
    <row r="94" spans="1:109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I94" s="22">
        <v>66</v>
      </c>
      <c r="DE94" s="22">
        <v>66</v>
      </c>
    </row>
    <row r="95" spans="1:109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I95" s="22">
        <v>80</v>
      </c>
      <c r="DE95" s="22">
        <v>80</v>
      </c>
    </row>
    <row r="96" spans="1:109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DE96" s="22">
        <v>0</v>
      </c>
    </row>
    <row r="97" spans="1:109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DE97" s="22">
        <v>0</v>
      </c>
    </row>
    <row r="98" spans="1:109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DE98" s="22">
        <v>0</v>
      </c>
    </row>
    <row r="99" spans="1:109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BC99" s="22">
        <v>46</v>
      </c>
      <c r="DE99" s="22">
        <v>46</v>
      </c>
    </row>
    <row r="100" spans="1:109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DE100" s="22">
        <v>0</v>
      </c>
    </row>
    <row r="101" spans="1:109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I101" s="22">
        <v>225</v>
      </c>
      <c r="J101" s="22">
        <v>15</v>
      </c>
      <c r="K101" s="22">
        <v>75</v>
      </c>
      <c r="P101" s="22">
        <v>150</v>
      </c>
      <c r="Q101" s="22">
        <v>204</v>
      </c>
      <c r="DE101" s="22">
        <v>669</v>
      </c>
    </row>
    <row r="102" spans="1:109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DE102" s="22">
        <v>0</v>
      </c>
    </row>
    <row r="103" spans="1:109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I103" s="22">
        <v>87</v>
      </c>
      <c r="DE103" s="22">
        <v>87</v>
      </c>
    </row>
    <row r="104" spans="1:109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I104" s="22">
        <v>85</v>
      </c>
      <c r="DE104" s="22">
        <v>85</v>
      </c>
    </row>
    <row r="105" spans="1:109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K105" s="22">
        <v>40</v>
      </c>
      <c r="S105" s="22">
        <v>40</v>
      </c>
      <c r="Y105" s="22">
        <v>20</v>
      </c>
      <c r="DE105" s="22">
        <v>100</v>
      </c>
    </row>
    <row r="106" spans="1:109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F106" s="22">
        <v>200</v>
      </c>
      <c r="H106" s="22">
        <v>300</v>
      </c>
      <c r="L106" s="22">
        <v>100</v>
      </c>
      <c r="M106" s="22">
        <v>300</v>
      </c>
      <c r="N106" s="22">
        <v>1060</v>
      </c>
      <c r="V106" s="22">
        <v>1127</v>
      </c>
      <c r="AL106" s="22">
        <v>2200</v>
      </c>
      <c r="BO106" s="22">
        <v>3000</v>
      </c>
      <c r="BT106" s="22">
        <v>2</v>
      </c>
      <c r="BZ106" s="22">
        <v>2300</v>
      </c>
      <c r="CC106" s="22">
        <v>3000</v>
      </c>
      <c r="CH106" s="22">
        <v>8</v>
      </c>
      <c r="CK106" s="22">
        <v>7365</v>
      </c>
      <c r="CN106" s="22">
        <v>4910</v>
      </c>
      <c r="DE106" s="22">
        <v>25872</v>
      </c>
    </row>
    <row r="107" spans="1:109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DE107" s="22">
        <v>0</v>
      </c>
    </row>
    <row r="108" spans="1:109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AC108" s="22">
        <v>54</v>
      </c>
      <c r="AF108" s="22">
        <v>98</v>
      </c>
      <c r="DE108" s="22">
        <v>152</v>
      </c>
    </row>
    <row r="109" spans="1:109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F109" s="22">
        <v>358</v>
      </c>
      <c r="G109" s="22">
        <v>250</v>
      </c>
      <c r="H109" s="22">
        <v>560</v>
      </c>
      <c r="L109" s="22">
        <v>100</v>
      </c>
      <c r="M109" s="22">
        <v>300</v>
      </c>
      <c r="N109" s="22">
        <v>2950</v>
      </c>
      <c r="U109" s="22">
        <v>104</v>
      </c>
      <c r="V109" s="22">
        <v>2900</v>
      </c>
      <c r="W109" s="22">
        <v>24</v>
      </c>
      <c r="X109" s="22">
        <v>36</v>
      </c>
      <c r="Y109" s="22">
        <v>72</v>
      </c>
      <c r="Z109" s="22">
        <v>24</v>
      </c>
      <c r="AE109" s="22">
        <v>96</v>
      </c>
      <c r="AP109" s="22">
        <v>24</v>
      </c>
      <c r="AS109" s="22">
        <v>1424</v>
      </c>
      <c r="BF109" s="22">
        <v>2700</v>
      </c>
      <c r="BI109" s="22">
        <v>12</v>
      </c>
      <c r="BJ109" s="22">
        <v>1568</v>
      </c>
      <c r="BL109" s="22">
        <v>3012</v>
      </c>
      <c r="BM109" s="22">
        <v>12</v>
      </c>
      <c r="BN109" s="22">
        <v>24</v>
      </c>
      <c r="BO109" s="22">
        <v>2072</v>
      </c>
      <c r="BQ109" s="22">
        <v>24</v>
      </c>
      <c r="BS109" s="22">
        <v>2000</v>
      </c>
      <c r="BT109" s="22">
        <v>2270</v>
      </c>
      <c r="BV109" s="22">
        <v>24</v>
      </c>
      <c r="BW109" s="22">
        <v>624</v>
      </c>
      <c r="BY109" s="22">
        <v>1596</v>
      </c>
      <c r="BZ109" s="22">
        <v>12</v>
      </c>
      <c r="CB109" s="22">
        <v>12</v>
      </c>
      <c r="CC109" s="22">
        <v>5648</v>
      </c>
      <c r="CD109" s="22">
        <v>60</v>
      </c>
      <c r="CE109" s="22">
        <v>48</v>
      </c>
      <c r="CF109" s="22">
        <v>2056</v>
      </c>
      <c r="CG109" s="22">
        <v>72</v>
      </c>
      <c r="CH109" s="22">
        <v>1870</v>
      </c>
      <c r="CJ109" s="22">
        <v>3000</v>
      </c>
      <c r="CK109" s="22">
        <v>8039</v>
      </c>
      <c r="CL109" s="22">
        <v>3188</v>
      </c>
      <c r="CM109" s="22">
        <v>56</v>
      </c>
      <c r="CN109" s="22">
        <v>13194</v>
      </c>
      <c r="CV109" s="22">
        <v>64</v>
      </c>
      <c r="CW109" s="22">
        <v>88</v>
      </c>
      <c r="DA109" s="22">
        <v>84</v>
      </c>
      <c r="DE109" s="22">
        <v>62651</v>
      </c>
    </row>
    <row r="110" spans="1:109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DE110" s="22">
        <v>0</v>
      </c>
    </row>
    <row r="111" spans="1:109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CC111" s="22">
        <v>76</v>
      </c>
      <c r="DE111" s="22">
        <v>76</v>
      </c>
    </row>
    <row r="112" spans="1:109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P112" s="22">
        <v>152</v>
      </c>
      <c r="U112" s="22">
        <v>91</v>
      </c>
      <c r="W112" s="22">
        <v>150</v>
      </c>
      <c r="Y112" s="22">
        <v>141</v>
      </c>
      <c r="Z112" s="22">
        <v>131</v>
      </c>
      <c r="AA112" s="22">
        <v>111</v>
      </c>
      <c r="AH112" s="22">
        <v>150</v>
      </c>
      <c r="AO112" s="22">
        <v>1</v>
      </c>
      <c r="AR112" s="22">
        <v>7</v>
      </c>
      <c r="AS112" s="22">
        <v>276</v>
      </c>
      <c r="AT112" s="22">
        <v>373</v>
      </c>
      <c r="AV112" s="22">
        <v>103</v>
      </c>
      <c r="BE112" s="22">
        <v>250</v>
      </c>
      <c r="BF112" s="22">
        <v>500</v>
      </c>
      <c r="BQ112" s="22">
        <v>78</v>
      </c>
      <c r="BR112" s="22">
        <v>8</v>
      </c>
      <c r="BT112" s="22">
        <v>34</v>
      </c>
      <c r="CC112" s="22">
        <v>2576</v>
      </c>
      <c r="DE112" s="22">
        <v>5132</v>
      </c>
    </row>
    <row r="113" spans="1:109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U113" s="22">
        <v>187</v>
      </c>
      <c r="Y113" s="22">
        <v>123</v>
      </c>
      <c r="AA113" s="22">
        <v>9</v>
      </c>
      <c r="AO113" s="22">
        <v>22</v>
      </c>
      <c r="AP113" s="22">
        <v>8</v>
      </c>
      <c r="AR113" s="22">
        <v>63</v>
      </c>
      <c r="AS113" s="22">
        <v>90</v>
      </c>
      <c r="AT113" s="22">
        <v>74</v>
      </c>
      <c r="DE113" s="22">
        <v>576</v>
      </c>
    </row>
    <row r="114" spans="1:109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Y114" s="22">
        <v>15</v>
      </c>
      <c r="Z114" s="22">
        <v>4</v>
      </c>
      <c r="AO114" s="22">
        <v>5</v>
      </c>
      <c r="AT114" s="22">
        <v>6</v>
      </c>
      <c r="DE114" s="22">
        <v>30</v>
      </c>
    </row>
    <row r="115" spans="1:109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AR115" s="22">
        <v>200</v>
      </c>
      <c r="DE115" s="22">
        <v>200</v>
      </c>
    </row>
    <row r="116" spans="1:109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N116" s="22">
        <v>9</v>
      </c>
      <c r="U116" s="22">
        <v>205</v>
      </c>
      <c r="Y116" s="22">
        <v>15</v>
      </c>
      <c r="Z116" s="22">
        <v>173</v>
      </c>
      <c r="AO116" s="22">
        <v>25</v>
      </c>
      <c r="AP116" s="22">
        <v>7</v>
      </c>
      <c r="AT116" s="22">
        <v>89</v>
      </c>
      <c r="AV116" s="22">
        <v>109</v>
      </c>
      <c r="CD116" s="22">
        <v>198</v>
      </c>
      <c r="DE116" s="22">
        <v>830</v>
      </c>
    </row>
    <row r="117" spans="1:109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DE117" s="22">
        <v>0</v>
      </c>
    </row>
    <row r="118" spans="1:109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Y118" s="22">
        <v>100</v>
      </c>
      <c r="AA118" s="22">
        <v>47</v>
      </c>
      <c r="AR118" s="22">
        <v>51</v>
      </c>
      <c r="BI118" s="22">
        <v>26</v>
      </c>
      <c r="BQ118" s="22">
        <v>10</v>
      </c>
      <c r="CC118" s="22">
        <v>15</v>
      </c>
      <c r="DE118" s="22">
        <v>249</v>
      </c>
    </row>
    <row r="119" spans="1:109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N119" s="22">
        <v>9</v>
      </c>
      <c r="P119" s="22">
        <v>190</v>
      </c>
      <c r="U119" s="22">
        <v>310</v>
      </c>
      <c r="W119" s="22">
        <v>200</v>
      </c>
      <c r="Y119" s="22">
        <v>100</v>
      </c>
      <c r="Z119" s="22">
        <v>160</v>
      </c>
      <c r="AA119" s="22">
        <v>100</v>
      </c>
      <c r="AS119" s="22">
        <v>275</v>
      </c>
      <c r="BF119" s="22">
        <v>630</v>
      </c>
      <c r="BM119" s="22">
        <v>127</v>
      </c>
      <c r="BQ119" s="22">
        <v>146</v>
      </c>
      <c r="BR119" s="22">
        <v>300</v>
      </c>
      <c r="BT119" s="22">
        <v>200</v>
      </c>
      <c r="CC119" s="22">
        <v>178</v>
      </c>
      <c r="DE119" s="22">
        <v>2925</v>
      </c>
    </row>
    <row r="120" spans="1:109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DE120" s="22">
        <v>0</v>
      </c>
    </row>
    <row r="121" spans="1:109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DE121" s="22">
        <v>0</v>
      </c>
    </row>
    <row r="122" spans="1:109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DE122" s="22">
        <v>0</v>
      </c>
    </row>
    <row r="123" spans="1:109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F123" s="22">
        <v>40</v>
      </c>
      <c r="H123" s="22">
        <v>22</v>
      </c>
      <c r="N123" s="22">
        <v>6</v>
      </c>
      <c r="U123" s="22">
        <v>8</v>
      </c>
      <c r="X123" s="22">
        <v>600</v>
      </c>
      <c r="Y123" s="22">
        <v>467</v>
      </c>
      <c r="BF123" s="22">
        <v>500</v>
      </c>
      <c r="BI123" s="22">
        <v>212</v>
      </c>
      <c r="BJ123" s="22">
        <v>700</v>
      </c>
      <c r="BV123" s="22">
        <v>600</v>
      </c>
      <c r="CC123" s="22">
        <v>583</v>
      </c>
      <c r="DE123" s="22">
        <v>3738</v>
      </c>
    </row>
    <row r="124" spans="1:109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DE124" s="22">
        <v>0</v>
      </c>
    </row>
    <row r="125" spans="1:109" s="22" customFormat="1" x14ac:dyDescent="0.25">
      <c r="A125" s="14">
        <v>121</v>
      </c>
      <c r="B125" s="15">
        <v>3000002777</v>
      </c>
      <c r="C125" s="16" t="s">
        <v>134</v>
      </c>
      <c r="D125" s="44" t="s">
        <v>12</v>
      </c>
      <c r="H125" s="22">
        <v>28</v>
      </c>
      <c r="BO125" s="22">
        <v>300</v>
      </c>
      <c r="CC125" s="22">
        <v>300</v>
      </c>
      <c r="CD125" s="22">
        <v>300</v>
      </c>
      <c r="CG125" s="22">
        <v>300</v>
      </c>
      <c r="CK125" s="22">
        <v>6</v>
      </c>
      <c r="CN125" s="22">
        <v>2</v>
      </c>
      <c r="DE125" s="22">
        <v>1236</v>
      </c>
    </row>
    <row r="126" spans="1:109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F126" s="22">
        <v>33</v>
      </c>
      <c r="G126" s="22">
        <v>123</v>
      </c>
      <c r="H126" s="22">
        <v>336</v>
      </c>
      <c r="N126" s="22">
        <v>178</v>
      </c>
      <c r="O126" s="22">
        <v>201</v>
      </c>
      <c r="U126" s="22">
        <v>96</v>
      </c>
      <c r="W126" s="22">
        <v>18</v>
      </c>
      <c r="X126" s="22">
        <v>282</v>
      </c>
      <c r="Y126" s="22">
        <v>51</v>
      </c>
      <c r="Z126" s="22">
        <v>18</v>
      </c>
      <c r="AE126" s="22">
        <v>74</v>
      </c>
      <c r="AP126" s="22">
        <v>12</v>
      </c>
      <c r="AS126" s="22">
        <v>20</v>
      </c>
      <c r="AZ126" s="22">
        <v>67</v>
      </c>
      <c r="BH126" s="22">
        <v>106</v>
      </c>
      <c r="BI126" s="22">
        <v>8</v>
      </c>
      <c r="BJ126" s="22">
        <v>38</v>
      </c>
      <c r="BM126" s="22">
        <v>8</v>
      </c>
      <c r="BN126" s="22">
        <v>16</v>
      </c>
      <c r="BO126" s="22">
        <v>52</v>
      </c>
      <c r="BQ126" s="22">
        <v>616</v>
      </c>
      <c r="BT126" s="22">
        <v>40</v>
      </c>
      <c r="BV126" s="22">
        <v>16</v>
      </c>
      <c r="BW126" s="22">
        <v>16</v>
      </c>
      <c r="BY126" s="22">
        <v>80</v>
      </c>
      <c r="BZ126" s="22">
        <v>10</v>
      </c>
      <c r="CB126" s="22">
        <v>8</v>
      </c>
      <c r="CC126" s="22">
        <v>28</v>
      </c>
      <c r="CD126" s="22">
        <v>44</v>
      </c>
      <c r="CE126" s="22">
        <v>36</v>
      </c>
      <c r="CF126" s="22">
        <v>46</v>
      </c>
      <c r="CG126" s="22">
        <v>58</v>
      </c>
      <c r="CH126" s="22">
        <v>45</v>
      </c>
      <c r="CK126" s="22">
        <v>60</v>
      </c>
      <c r="CL126" s="22">
        <v>588</v>
      </c>
      <c r="CM126" s="22">
        <v>32</v>
      </c>
      <c r="CN126" s="22">
        <v>73</v>
      </c>
      <c r="CV126" s="22">
        <v>46</v>
      </c>
      <c r="CW126" s="22">
        <v>684</v>
      </c>
      <c r="DA126" s="22">
        <v>70</v>
      </c>
      <c r="DE126" s="22">
        <v>4333</v>
      </c>
    </row>
    <row r="127" spans="1:109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F127" s="22">
        <v>7</v>
      </c>
      <c r="H127" s="22">
        <v>218</v>
      </c>
      <c r="N127" s="22">
        <v>142</v>
      </c>
      <c r="O127" s="22">
        <v>200</v>
      </c>
      <c r="U127" s="22">
        <v>602</v>
      </c>
      <c r="W127" s="22">
        <v>4</v>
      </c>
      <c r="Y127" s="22">
        <v>291</v>
      </c>
      <c r="Z127" s="22">
        <v>6</v>
      </c>
      <c r="AE127" s="22">
        <v>424</v>
      </c>
      <c r="AP127" s="22">
        <v>8</v>
      </c>
      <c r="BH127" s="22">
        <v>6</v>
      </c>
      <c r="BJ127" s="22">
        <v>16</v>
      </c>
      <c r="BL127" s="22">
        <v>500</v>
      </c>
      <c r="BM127" s="22">
        <v>2</v>
      </c>
      <c r="BN127" s="22">
        <v>4</v>
      </c>
      <c r="BO127" s="22">
        <v>602</v>
      </c>
      <c r="BQ127" s="22">
        <v>400</v>
      </c>
      <c r="BR127" s="22">
        <v>400</v>
      </c>
      <c r="BT127" s="22">
        <v>612</v>
      </c>
      <c r="BW127" s="22">
        <v>4</v>
      </c>
      <c r="BY127" s="22">
        <v>1740</v>
      </c>
      <c r="BZ127" s="22">
        <v>600</v>
      </c>
      <c r="CB127" s="22">
        <v>502</v>
      </c>
      <c r="CC127" s="22">
        <v>6</v>
      </c>
      <c r="CD127" s="22">
        <v>302</v>
      </c>
      <c r="CE127" s="22">
        <v>4</v>
      </c>
      <c r="CF127" s="22">
        <v>654</v>
      </c>
      <c r="CG127" s="22">
        <v>596</v>
      </c>
      <c r="CH127" s="22">
        <v>313</v>
      </c>
      <c r="CK127" s="22">
        <v>54</v>
      </c>
      <c r="CL127" s="22">
        <v>24</v>
      </c>
      <c r="CM127" s="22">
        <v>740</v>
      </c>
      <c r="CN127" s="22">
        <v>74</v>
      </c>
      <c r="CV127" s="22">
        <v>602</v>
      </c>
      <c r="CW127" s="22">
        <v>6</v>
      </c>
      <c r="DA127" s="22">
        <v>2086</v>
      </c>
      <c r="DE127" s="22">
        <v>12751</v>
      </c>
    </row>
    <row r="128" spans="1:109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F128" s="22">
        <v>5</v>
      </c>
      <c r="G128" s="22">
        <v>28</v>
      </c>
      <c r="H128" s="22">
        <v>200</v>
      </c>
      <c r="N128" s="22">
        <v>103</v>
      </c>
      <c r="U128" s="22">
        <v>245</v>
      </c>
      <c r="Y128" s="22">
        <v>224</v>
      </c>
      <c r="AE128" s="22">
        <v>1072</v>
      </c>
      <c r="BJ128" s="22">
        <v>212</v>
      </c>
      <c r="BO128" s="22">
        <v>250</v>
      </c>
      <c r="CB128" s="22">
        <v>500</v>
      </c>
      <c r="CD128" s="22">
        <v>298</v>
      </c>
      <c r="CF128" s="22">
        <v>298</v>
      </c>
      <c r="CH128" s="22">
        <v>300</v>
      </c>
      <c r="CK128" s="22">
        <v>8</v>
      </c>
      <c r="CN128" s="22">
        <v>3</v>
      </c>
      <c r="CW128" s="22">
        <v>596</v>
      </c>
      <c r="DE128" s="22">
        <v>4342</v>
      </c>
    </row>
    <row r="129" spans="1:109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N129" s="22">
        <v>6</v>
      </c>
      <c r="U129" s="22">
        <v>54</v>
      </c>
      <c r="Y129" s="22">
        <v>28</v>
      </c>
      <c r="AE129" s="22">
        <v>65</v>
      </c>
      <c r="BE129" s="22">
        <v>65</v>
      </c>
      <c r="BI129" s="22">
        <v>100</v>
      </c>
      <c r="BL129" s="22">
        <v>200</v>
      </c>
      <c r="BM129" s="22">
        <v>298</v>
      </c>
      <c r="BN129" s="22">
        <v>102</v>
      </c>
      <c r="BO129" s="22">
        <v>348</v>
      </c>
      <c r="BY129" s="22">
        <v>296</v>
      </c>
      <c r="BZ129" s="22">
        <v>245</v>
      </c>
      <c r="CD129" s="22">
        <v>298</v>
      </c>
      <c r="CE129" s="22">
        <v>596</v>
      </c>
      <c r="CG129" s="22">
        <v>353</v>
      </c>
      <c r="CL129" s="22">
        <v>644</v>
      </c>
      <c r="DE129" s="22">
        <v>3698</v>
      </c>
    </row>
    <row r="130" spans="1:109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F130" s="22">
        <v>64</v>
      </c>
      <c r="H130" s="22">
        <v>45</v>
      </c>
      <c r="N130" s="22">
        <v>47</v>
      </c>
      <c r="U130" s="22">
        <v>139</v>
      </c>
      <c r="Y130" s="22">
        <v>146</v>
      </c>
      <c r="AE130" s="22">
        <v>496</v>
      </c>
      <c r="BJ130" s="22">
        <v>200</v>
      </c>
      <c r="BL130" s="22">
        <v>200</v>
      </c>
      <c r="BM130" s="22">
        <v>399</v>
      </c>
      <c r="BN130" s="22">
        <v>100</v>
      </c>
      <c r="BO130" s="22">
        <v>232</v>
      </c>
      <c r="BY130" s="22">
        <v>596</v>
      </c>
      <c r="CE130" s="22">
        <v>298</v>
      </c>
      <c r="CF130" s="22">
        <v>362</v>
      </c>
      <c r="CG130" s="22">
        <v>298</v>
      </c>
      <c r="CH130" s="22">
        <v>298</v>
      </c>
      <c r="CL130" s="22">
        <v>662</v>
      </c>
      <c r="CW130" s="22">
        <v>595</v>
      </c>
      <c r="DE130" s="22">
        <v>5177</v>
      </c>
    </row>
    <row r="131" spans="1:109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W131" s="22">
        <v>80</v>
      </c>
      <c r="Y131" s="22">
        <v>10</v>
      </c>
      <c r="AE131" s="22">
        <v>2</v>
      </c>
      <c r="BI131" s="22">
        <v>147</v>
      </c>
      <c r="BN131" s="22">
        <v>600</v>
      </c>
      <c r="DE131" s="22">
        <v>839</v>
      </c>
    </row>
    <row r="132" spans="1:109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F132" s="22">
        <v>50</v>
      </c>
      <c r="H132" s="22">
        <v>245</v>
      </c>
      <c r="N132" s="22">
        <v>341</v>
      </c>
      <c r="W132" s="22">
        <v>145</v>
      </c>
      <c r="Y132" s="22">
        <v>151</v>
      </c>
      <c r="AE132" s="22">
        <v>296</v>
      </c>
      <c r="BE132" s="22">
        <v>100</v>
      </c>
      <c r="BO132" s="22">
        <v>298</v>
      </c>
      <c r="BQ132" s="22">
        <v>200</v>
      </c>
      <c r="BS132" s="22">
        <v>150</v>
      </c>
      <c r="BT132" s="22">
        <v>298</v>
      </c>
      <c r="BW132" s="22">
        <v>596</v>
      </c>
      <c r="CG132" s="22">
        <v>298</v>
      </c>
      <c r="CH132" s="22">
        <v>100</v>
      </c>
      <c r="CW132" s="22">
        <v>298</v>
      </c>
      <c r="DE132" s="22">
        <v>3566</v>
      </c>
    </row>
    <row r="133" spans="1:109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W133" s="22">
        <v>6</v>
      </c>
      <c r="DE133" s="22">
        <v>6</v>
      </c>
    </row>
    <row r="134" spans="1:109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CB134" s="22">
        <v>140</v>
      </c>
      <c r="DE134" s="22">
        <v>140</v>
      </c>
    </row>
    <row r="135" spans="1:109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F135" s="22">
        <v>50</v>
      </c>
      <c r="G135" s="22">
        <v>50</v>
      </c>
      <c r="H135" s="22">
        <v>139</v>
      </c>
      <c r="W135" s="22">
        <v>210</v>
      </c>
      <c r="AV135" s="22">
        <v>100</v>
      </c>
      <c r="AW135" s="22">
        <v>165</v>
      </c>
      <c r="BH135" s="22">
        <v>50</v>
      </c>
      <c r="BL135" s="22">
        <v>400</v>
      </c>
      <c r="BN135" s="22">
        <v>600</v>
      </c>
      <c r="BS135" s="22">
        <v>200</v>
      </c>
      <c r="BU135" s="22">
        <v>600</v>
      </c>
      <c r="BV135" s="22">
        <v>400</v>
      </c>
      <c r="BW135" s="22">
        <v>600</v>
      </c>
      <c r="BX135" s="22">
        <v>600</v>
      </c>
      <c r="CH135" s="22">
        <v>250</v>
      </c>
      <c r="CM135" s="22">
        <v>596</v>
      </c>
      <c r="CV135" s="22">
        <v>596</v>
      </c>
      <c r="DE135" s="22">
        <v>5606</v>
      </c>
    </row>
    <row r="136" spans="1:109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O136" s="22">
        <v>75</v>
      </c>
      <c r="P136" s="22">
        <v>20</v>
      </c>
      <c r="BP136" s="22">
        <v>50</v>
      </c>
      <c r="DE136" s="22">
        <v>145</v>
      </c>
    </row>
    <row r="137" spans="1:109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Q137" s="22">
        <v>75</v>
      </c>
      <c r="BP137" s="22">
        <v>20</v>
      </c>
      <c r="DE137" s="22">
        <v>95</v>
      </c>
    </row>
    <row r="138" spans="1:109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P138" s="22">
        <v>3</v>
      </c>
      <c r="AG138" s="22">
        <v>7</v>
      </c>
      <c r="AK138" s="22">
        <v>50</v>
      </c>
      <c r="DE138" s="22">
        <v>60</v>
      </c>
    </row>
    <row r="139" spans="1:109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AK139" s="22">
        <v>50</v>
      </c>
      <c r="DE139" s="22">
        <v>50</v>
      </c>
    </row>
    <row r="140" spans="1:109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R140" s="22">
        <v>20</v>
      </c>
      <c r="AG140" s="22">
        <v>15</v>
      </c>
      <c r="AK140" s="22">
        <v>100</v>
      </c>
      <c r="BP140" s="22">
        <v>100</v>
      </c>
      <c r="DE140" s="22">
        <v>235</v>
      </c>
    </row>
    <row r="141" spans="1:109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O141" s="22">
        <v>25</v>
      </c>
      <c r="R141" s="22">
        <v>30</v>
      </c>
      <c r="AG141" s="22">
        <v>3</v>
      </c>
      <c r="AK141" s="22">
        <v>100</v>
      </c>
      <c r="BA141" s="22">
        <v>50</v>
      </c>
      <c r="DE141" s="22">
        <v>208</v>
      </c>
    </row>
    <row r="142" spans="1:109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O142" s="22">
        <v>150</v>
      </c>
      <c r="R142" s="22">
        <v>125</v>
      </c>
      <c r="AG142" s="22">
        <v>30</v>
      </c>
      <c r="BP142" s="22">
        <v>170</v>
      </c>
      <c r="DE142" s="22">
        <v>475</v>
      </c>
    </row>
    <row r="143" spans="1:109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F143" s="22">
        <v>50</v>
      </c>
      <c r="H143" s="22">
        <v>150</v>
      </c>
      <c r="N143" s="22">
        <v>500</v>
      </c>
      <c r="V143" s="22">
        <v>2611</v>
      </c>
      <c r="BJ143" s="22">
        <v>500</v>
      </c>
      <c r="BL143" s="22">
        <v>1950</v>
      </c>
      <c r="BO143" s="22">
        <v>1000</v>
      </c>
      <c r="BS143" s="22">
        <v>600</v>
      </c>
      <c r="BT143" s="22">
        <v>700</v>
      </c>
      <c r="BW143" s="22">
        <v>500</v>
      </c>
      <c r="BY143" s="22">
        <v>600</v>
      </c>
      <c r="CC143" s="22">
        <v>851</v>
      </c>
      <c r="CH143" s="22">
        <v>901</v>
      </c>
      <c r="CK143" s="22">
        <v>11</v>
      </c>
      <c r="CV143" s="22">
        <v>1800</v>
      </c>
      <c r="DE143" s="22">
        <v>12724</v>
      </c>
    </row>
    <row r="144" spans="1:109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DE144" s="22">
        <v>0</v>
      </c>
    </row>
    <row r="145" spans="1:109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U145" s="22">
        <v>338</v>
      </c>
      <c r="Y145" s="22">
        <v>162</v>
      </c>
      <c r="AJ145" s="22">
        <v>274</v>
      </c>
      <c r="AN145" s="22">
        <v>360</v>
      </c>
      <c r="AO145" s="22">
        <v>570</v>
      </c>
      <c r="BR145" s="22">
        <v>100</v>
      </c>
      <c r="BV145" s="22">
        <v>154</v>
      </c>
      <c r="DE145" s="22">
        <v>1958</v>
      </c>
    </row>
    <row r="146" spans="1:109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U146" s="22">
        <v>153</v>
      </c>
      <c r="W146" s="22">
        <v>223</v>
      </c>
      <c r="AE146" s="22">
        <v>52</v>
      </c>
      <c r="AJ146" s="22">
        <v>12</v>
      </c>
      <c r="BI146" s="22">
        <v>100</v>
      </c>
      <c r="DE146" s="22">
        <v>540</v>
      </c>
    </row>
    <row r="147" spans="1:109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DE147" s="22">
        <v>0</v>
      </c>
    </row>
    <row r="148" spans="1:109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AL148" s="22">
        <v>100</v>
      </c>
      <c r="AP148" s="22">
        <v>196</v>
      </c>
      <c r="AR148" s="22">
        <v>180</v>
      </c>
      <c r="DE148" s="22">
        <v>476</v>
      </c>
    </row>
    <row r="149" spans="1:109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DE149" s="22">
        <v>0</v>
      </c>
    </row>
    <row r="150" spans="1:109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AP150" s="22">
        <v>117</v>
      </c>
      <c r="BI150" s="22">
        <v>110</v>
      </c>
      <c r="BM150" s="22">
        <v>100</v>
      </c>
      <c r="BQ150" s="22">
        <v>100</v>
      </c>
      <c r="BR150" s="22">
        <v>200</v>
      </c>
      <c r="DE150" s="22">
        <v>627</v>
      </c>
    </row>
    <row r="151" spans="1:109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AA151" s="22">
        <v>58</v>
      </c>
      <c r="AR151" s="22">
        <v>66</v>
      </c>
      <c r="BR151" s="22">
        <v>41</v>
      </c>
      <c r="DE151" s="22">
        <v>165</v>
      </c>
    </row>
    <row r="152" spans="1:109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Q152" s="22">
        <v>100</v>
      </c>
      <c r="AA152" s="22">
        <v>92</v>
      </c>
      <c r="AS152" s="22">
        <v>100</v>
      </c>
      <c r="CF152" s="22">
        <v>230</v>
      </c>
      <c r="DE152" s="22">
        <v>522</v>
      </c>
    </row>
    <row r="153" spans="1:109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DE153" s="22">
        <v>0</v>
      </c>
    </row>
    <row r="154" spans="1:109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AT154" s="22">
        <v>160</v>
      </c>
      <c r="AV154" s="22">
        <v>800</v>
      </c>
      <c r="AY154" s="22">
        <v>400</v>
      </c>
      <c r="DE154" s="22">
        <v>1360</v>
      </c>
    </row>
    <row r="155" spans="1:109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S155" s="22">
        <v>168</v>
      </c>
      <c r="DE155" s="22">
        <v>168</v>
      </c>
    </row>
    <row r="156" spans="1:109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S156" s="22">
        <v>14</v>
      </c>
      <c r="DE156" s="22">
        <v>14</v>
      </c>
    </row>
    <row r="157" spans="1:109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S157" s="22">
        <v>14</v>
      </c>
      <c r="DE157" s="22">
        <v>14</v>
      </c>
    </row>
    <row r="158" spans="1:109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F158" s="22">
        <v>50</v>
      </c>
      <c r="N158" s="22">
        <v>100</v>
      </c>
      <c r="O158" s="22">
        <v>100</v>
      </c>
      <c r="V158" s="22">
        <v>100</v>
      </c>
      <c r="X158" s="22">
        <v>200</v>
      </c>
      <c r="BK158" s="22">
        <v>56</v>
      </c>
      <c r="BO158" s="22">
        <v>100</v>
      </c>
      <c r="BS158" s="22">
        <v>19</v>
      </c>
      <c r="CH158" s="22">
        <v>100</v>
      </c>
      <c r="DE158" s="22">
        <v>825</v>
      </c>
    </row>
    <row r="159" spans="1:109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N159" s="22">
        <v>92</v>
      </c>
      <c r="V159" s="22">
        <v>100</v>
      </c>
      <c r="X159" s="22">
        <v>137</v>
      </c>
      <c r="BJ159" s="22">
        <v>20</v>
      </c>
      <c r="BS159" s="22">
        <v>24</v>
      </c>
      <c r="BT159" s="22">
        <v>200</v>
      </c>
      <c r="BU159" s="22">
        <v>200</v>
      </c>
      <c r="CA159" s="22">
        <v>37</v>
      </c>
      <c r="CH159" s="22">
        <v>100</v>
      </c>
      <c r="CK159" s="22">
        <v>36</v>
      </c>
      <c r="CN159" s="22">
        <v>12</v>
      </c>
      <c r="CX159" s="22">
        <v>100</v>
      </c>
      <c r="DB159" s="22">
        <v>206</v>
      </c>
      <c r="DE159" s="22">
        <v>1264</v>
      </c>
    </row>
    <row r="160" spans="1:109" s="22" customFormat="1" x14ac:dyDescent="0.25">
      <c r="A160" s="14">
        <v>156</v>
      </c>
      <c r="B160" s="15">
        <v>4000017082</v>
      </c>
      <c r="C160" s="16" t="s">
        <v>170</v>
      </c>
      <c r="D160" s="44" t="s">
        <v>12</v>
      </c>
      <c r="F160" s="22">
        <v>100</v>
      </c>
      <c r="H160" s="22">
        <v>90</v>
      </c>
      <c r="N160" s="22">
        <v>50</v>
      </c>
      <c r="R160" s="22">
        <v>200</v>
      </c>
      <c r="V160" s="22">
        <v>107</v>
      </c>
      <c r="BS160" s="22">
        <v>30</v>
      </c>
      <c r="CA160" s="22">
        <v>88</v>
      </c>
      <c r="CK160" s="22">
        <v>40</v>
      </c>
      <c r="CN160" s="22">
        <v>13</v>
      </c>
      <c r="DE160" s="22">
        <v>718</v>
      </c>
    </row>
    <row r="161" spans="1:109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N161" s="22">
        <v>51</v>
      </c>
      <c r="V161" s="22">
        <v>100</v>
      </c>
      <c r="DE161" s="22">
        <v>151</v>
      </c>
    </row>
    <row r="162" spans="1:109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F162" s="22">
        <v>12</v>
      </c>
      <c r="N162" s="22">
        <v>41</v>
      </c>
      <c r="V162" s="22">
        <v>90</v>
      </c>
      <c r="DE162" s="22">
        <v>143</v>
      </c>
    </row>
    <row r="163" spans="1:109" s="22" customFormat="1" x14ac:dyDescent="0.25">
      <c r="A163" s="60">
        <v>159</v>
      </c>
      <c r="B163" s="60">
        <v>4000017084</v>
      </c>
      <c r="C163" s="61" t="s">
        <v>173</v>
      </c>
      <c r="D163" s="60" t="s">
        <v>12</v>
      </c>
      <c r="F163" s="22">
        <v>100</v>
      </c>
      <c r="H163" s="22">
        <v>100</v>
      </c>
      <c r="N163" s="22">
        <v>55</v>
      </c>
      <c r="R163" s="22">
        <v>180</v>
      </c>
      <c r="V163" s="22">
        <v>100</v>
      </c>
      <c r="CH163" s="22">
        <v>100</v>
      </c>
      <c r="DE163" s="22">
        <v>635</v>
      </c>
    </row>
    <row r="164" spans="1:109" x14ac:dyDescent="0.25">
      <c r="A164" s="22">
        <v>160</v>
      </c>
      <c r="B164" s="22">
        <v>3000003029</v>
      </c>
      <c r="C164" t="s">
        <v>211</v>
      </c>
      <c r="D164" s="22" t="s">
        <v>12</v>
      </c>
      <c r="E164" s="22"/>
      <c r="DE164" s="22">
        <v>0</v>
      </c>
    </row>
    <row r="165" spans="1:109" x14ac:dyDescent="0.25">
      <c r="A165" s="22">
        <v>161</v>
      </c>
      <c r="B165" s="22">
        <v>3000003029</v>
      </c>
      <c r="C165" t="s">
        <v>297</v>
      </c>
      <c r="D165" s="22" t="s">
        <v>12</v>
      </c>
      <c r="E165" s="22"/>
      <c r="CP165" s="22">
        <v>400</v>
      </c>
      <c r="CQ165" s="22">
        <v>800</v>
      </c>
      <c r="DE165" s="22">
        <v>1200</v>
      </c>
    </row>
    <row r="166" spans="1:109" x14ac:dyDescent="0.25">
      <c r="A166" s="22">
        <v>162</v>
      </c>
      <c r="B166" s="22">
        <v>1000006010</v>
      </c>
      <c r="C166" t="s">
        <v>298</v>
      </c>
      <c r="D166" s="22" t="s">
        <v>12</v>
      </c>
      <c r="CR166" s="22">
        <v>50</v>
      </c>
      <c r="DE166" s="22">
        <v>50</v>
      </c>
    </row>
    <row r="167" spans="1:109" x14ac:dyDescent="0.25">
      <c r="A167" s="22">
        <v>163</v>
      </c>
      <c r="B167" s="22">
        <v>3000001220</v>
      </c>
      <c r="C167" t="s">
        <v>300</v>
      </c>
      <c r="D167" s="22" t="s">
        <v>12</v>
      </c>
      <c r="CS167" s="22">
        <v>5</v>
      </c>
      <c r="DE167" s="22">
        <v>5</v>
      </c>
    </row>
    <row r="168" spans="1:109" x14ac:dyDescent="0.25">
      <c r="A168" s="22">
        <v>164</v>
      </c>
      <c r="B168" s="22">
        <v>3000001221</v>
      </c>
      <c r="C168" t="s">
        <v>302</v>
      </c>
      <c r="D168" s="22" t="s">
        <v>12</v>
      </c>
      <c r="CS168" s="22">
        <v>77</v>
      </c>
      <c r="DE168" s="22">
        <v>77</v>
      </c>
    </row>
    <row r="169" spans="1:109" x14ac:dyDescent="0.25">
      <c r="A169" s="22">
        <v>165</v>
      </c>
      <c r="B169" s="22">
        <v>3000001223</v>
      </c>
      <c r="C169" t="s">
        <v>304</v>
      </c>
      <c r="D169" s="22" t="s">
        <v>12</v>
      </c>
      <c r="CS169" s="22">
        <v>100</v>
      </c>
      <c r="DE169" s="22">
        <v>100</v>
      </c>
    </row>
    <row r="170" spans="1:109" x14ac:dyDescent="0.25">
      <c r="A170" s="22">
        <v>166</v>
      </c>
      <c r="B170" s="22">
        <v>3000001224</v>
      </c>
      <c r="C170" t="s">
        <v>306</v>
      </c>
      <c r="D170" s="22" t="s">
        <v>12</v>
      </c>
      <c r="CS170" s="22">
        <v>40</v>
      </c>
      <c r="DE170" s="22">
        <v>40</v>
      </c>
    </row>
    <row r="171" spans="1:109" x14ac:dyDescent="0.25">
      <c r="A171" s="22">
        <v>167</v>
      </c>
      <c r="B171" s="22">
        <v>3000003827</v>
      </c>
      <c r="C171" t="s">
        <v>446</v>
      </c>
      <c r="D171" s="22" t="s">
        <v>12</v>
      </c>
      <c r="DE171" s="22">
        <v>0</v>
      </c>
    </row>
    <row r="172" spans="1:109" x14ac:dyDescent="0.25">
      <c r="A172" s="22">
        <v>168</v>
      </c>
      <c r="B172" s="22">
        <v>3000001802</v>
      </c>
      <c r="C172" t="s">
        <v>448</v>
      </c>
      <c r="D172" s="22" t="s">
        <v>12</v>
      </c>
      <c r="DE172" s="22">
        <v>0</v>
      </c>
    </row>
    <row r="173" spans="1:109" x14ac:dyDescent="0.25">
      <c r="A173" s="22">
        <v>169</v>
      </c>
      <c r="B173" s="22" t="s">
        <v>35</v>
      </c>
      <c r="C173" t="s">
        <v>449</v>
      </c>
      <c r="D173" s="22" t="s">
        <v>12</v>
      </c>
      <c r="DE173" s="22">
        <v>0</v>
      </c>
    </row>
    <row r="174" spans="1:109" x14ac:dyDescent="0.25">
      <c r="A174" s="22">
        <v>170</v>
      </c>
      <c r="B174" s="22" t="s">
        <v>35</v>
      </c>
      <c r="C174" t="s">
        <v>450</v>
      </c>
      <c r="D174" s="22" t="s">
        <v>12</v>
      </c>
      <c r="DE174" s="22">
        <v>0</v>
      </c>
    </row>
    <row r="175" spans="1:109" x14ac:dyDescent="0.25">
      <c r="A175" s="22">
        <v>171</v>
      </c>
      <c r="B175" s="22" t="s">
        <v>35</v>
      </c>
      <c r="C175" t="s">
        <v>510</v>
      </c>
      <c r="D175" s="22" t="s">
        <v>12</v>
      </c>
      <c r="DE175" s="22">
        <v>0</v>
      </c>
    </row>
    <row r="176" spans="1:109" x14ac:dyDescent="0.25">
      <c r="A176" s="22">
        <v>172</v>
      </c>
      <c r="B176" s="22" t="s">
        <v>35</v>
      </c>
      <c r="C176" t="s">
        <v>516</v>
      </c>
      <c r="D176" s="22" t="s">
        <v>12</v>
      </c>
      <c r="DE176" s="22">
        <v>0</v>
      </c>
    </row>
    <row r="177" spans="1:109" x14ac:dyDescent="0.25">
      <c r="A177" s="22">
        <v>173</v>
      </c>
      <c r="B177" s="22" t="s">
        <v>35</v>
      </c>
      <c r="C177" t="s">
        <v>600</v>
      </c>
      <c r="D177" s="22" t="s">
        <v>12</v>
      </c>
      <c r="DE177">
        <v>0</v>
      </c>
    </row>
    <row r="178" spans="1:109" x14ac:dyDescent="0.25">
      <c r="A178" s="22">
        <v>174</v>
      </c>
      <c r="B178" s="22" t="s">
        <v>35</v>
      </c>
      <c r="C178" t="s">
        <v>601</v>
      </c>
      <c r="D178" s="22" t="s">
        <v>12</v>
      </c>
      <c r="DE178">
        <v>0</v>
      </c>
    </row>
    <row r="179" spans="1:109" x14ac:dyDescent="0.25">
      <c r="A179" s="22">
        <v>99</v>
      </c>
      <c r="B179" s="22" t="s">
        <v>35</v>
      </c>
      <c r="C179" t="s">
        <v>1383</v>
      </c>
      <c r="D179" s="22" t="s">
        <v>12</v>
      </c>
      <c r="DE179">
        <v>0</v>
      </c>
    </row>
    <row r="180" spans="1:109" x14ac:dyDescent="0.25">
      <c r="A180" s="22">
        <v>99</v>
      </c>
      <c r="B180" s="22" t="s">
        <v>35</v>
      </c>
      <c r="C180" t="s">
        <v>1557</v>
      </c>
      <c r="D180" s="22" t="s">
        <v>12</v>
      </c>
      <c r="DE180">
        <v>0</v>
      </c>
    </row>
    <row r="181" spans="1:109" x14ac:dyDescent="0.25">
      <c r="A181" s="22">
        <v>101</v>
      </c>
      <c r="B181" s="22">
        <v>3000000008</v>
      </c>
      <c r="C181" t="s">
        <v>1565</v>
      </c>
      <c r="D181" s="22" t="s">
        <v>12</v>
      </c>
      <c r="DE181">
        <v>0</v>
      </c>
    </row>
    <row r="182" spans="1:109" x14ac:dyDescent="0.25">
      <c r="A182" s="22">
        <v>178</v>
      </c>
      <c r="B182" s="22" t="s">
        <v>35</v>
      </c>
      <c r="C182" t="s">
        <v>1662</v>
      </c>
      <c r="D182" s="22" t="s">
        <v>12</v>
      </c>
      <c r="DE182">
        <v>0</v>
      </c>
    </row>
    <row r="183" spans="1:109" x14ac:dyDescent="0.25">
      <c r="A183" s="22">
        <v>80</v>
      </c>
      <c r="B183" s="22" t="s">
        <v>35</v>
      </c>
      <c r="C183" t="s">
        <v>1574</v>
      </c>
      <c r="D183" s="22" t="s">
        <v>12</v>
      </c>
      <c r="DE183">
        <v>0</v>
      </c>
    </row>
    <row r="184" spans="1:109" x14ac:dyDescent="0.25">
      <c r="A184" s="22">
        <v>81</v>
      </c>
      <c r="B184" s="22">
        <v>1000014673</v>
      </c>
      <c r="C184" t="s">
        <v>1575</v>
      </c>
      <c r="D184" s="22" t="s">
        <v>12</v>
      </c>
      <c r="DE184">
        <v>0</v>
      </c>
    </row>
    <row r="185" spans="1:109" x14ac:dyDescent="0.25">
      <c r="A185" s="22">
        <v>181</v>
      </c>
      <c r="B185" s="22">
        <v>4000021502</v>
      </c>
      <c r="C185" t="s">
        <v>1576</v>
      </c>
      <c r="D185" s="22" t="s">
        <v>12</v>
      </c>
      <c r="DE185">
        <v>0</v>
      </c>
    </row>
    <row r="186" spans="1:109" x14ac:dyDescent="0.25">
      <c r="A186" s="22">
        <v>100</v>
      </c>
      <c r="B186" s="22">
        <v>3000002696</v>
      </c>
      <c r="C186" t="s">
        <v>1580</v>
      </c>
      <c r="D186" s="22" t="s">
        <v>12</v>
      </c>
      <c r="DE186">
        <v>0</v>
      </c>
    </row>
    <row r="187" spans="1:109" x14ac:dyDescent="0.25">
      <c r="A187" s="22">
        <v>101</v>
      </c>
      <c r="B187" s="22">
        <v>3000000707</v>
      </c>
      <c r="C187" t="s">
        <v>1618</v>
      </c>
      <c r="D187" s="22" t="s">
        <v>12</v>
      </c>
      <c r="DE187">
        <v>0</v>
      </c>
    </row>
  </sheetData>
  <mergeCells count="3">
    <mergeCell ref="A1:A2"/>
    <mergeCell ref="B1:B2"/>
    <mergeCell ref="C1:C2"/>
  </mergeCells>
  <conditionalFormatting sqref="A2:XFD2">
    <cfRule type="expression" dxfId="356" priority="1" stopIfTrue="1">
      <formula>AND(ROW()&gt;=2,ROW()&lt;=2)</formula>
    </cfRule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79"/>
  <sheetViews>
    <sheetView workbookViewId="0">
      <pane xSplit="5" ySplit="4" topLeftCell="F160" activePane="bottomRight" state="frozen"/>
      <selection pane="topRight" activeCell="F1" sqref="F1"/>
      <selection pane="bottomLeft" activeCell="A5" sqref="A5"/>
      <selection pane="bottomRight" activeCell="E195" sqref="E195"/>
    </sheetView>
  </sheetViews>
  <sheetFormatPr defaultRowHeight="15" x14ac:dyDescent="0.25"/>
  <cols>
    <col min="1" max="1" width="8" style="31" customWidth="1"/>
    <col min="2" max="2" width="15.7109375" style="22" customWidth="1"/>
    <col min="3" max="3" width="52.7109375" customWidth="1"/>
    <col min="4" max="4" width="8.140625" bestFit="1" customWidth="1"/>
    <col min="5" max="5" width="8.140625" customWidth="1"/>
    <col min="6" max="7" width="13.85546875" customWidth="1"/>
    <col min="8" max="8" width="16.7109375" customWidth="1"/>
    <col min="9" max="9" width="9.140625" style="31"/>
  </cols>
  <sheetData>
    <row r="1" spans="1:9" ht="27" thickBot="1" x14ac:dyDescent="0.3">
      <c r="A1" s="162" t="s">
        <v>1</v>
      </c>
      <c r="B1" s="149" t="s">
        <v>174</v>
      </c>
      <c r="C1" s="149" t="s">
        <v>175</v>
      </c>
      <c r="D1" s="80">
        <f>COUNTA(F1:XFD1)-1</f>
        <v>0</v>
      </c>
      <c r="E1" s="27" t="s">
        <v>188</v>
      </c>
      <c r="F1" s="27"/>
      <c r="G1" s="27"/>
      <c r="H1" s="26"/>
      <c r="I1" s="29" t="s">
        <v>177</v>
      </c>
    </row>
    <row r="2" spans="1:9" ht="29.25" customHeight="1" thickBot="1" x14ac:dyDescent="0.3">
      <c r="A2" s="163"/>
      <c r="B2" s="150"/>
      <c r="C2" s="150"/>
      <c r="D2" s="4" t="s">
        <v>176</v>
      </c>
      <c r="E2" s="4" t="s">
        <v>186</v>
      </c>
      <c r="F2" s="4"/>
      <c r="G2" s="4"/>
      <c r="H2" s="25"/>
      <c r="I2" s="29"/>
    </row>
    <row r="3" spans="1:9" s="28" customFormat="1" ht="12" customHeight="1" x14ac:dyDescent="0.3">
      <c r="A3" s="118"/>
      <c r="B3" s="26"/>
      <c r="C3" s="26" t="s">
        <v>10</v>
      </c>
      <c r="D3" s="26"/>
      <c r="E3" s="38" t="s">
        <v>187</v>
      </c>
      <c r="F3" s="38"/>
      <c r="G3" s="38"/>
      <c r="H3" s="27"/>
      <c r="I3" s="30"/>
    </row>
    <row r="4" spans="1:9" ht="12" customHeight="1" x14ac:dyDescent="0.3">
      <c r="A4" s="119"/>
      <c r="B4" s="23"/>
      <c r="C4" s="24"/>
      <c r="D4" s="23"/>
      <c r="E4" s="23"/>
      <c r="F4" s="23"/>
      <c r="G4" s="23"/>
      <c r="H4" s="32"/>
      <c r="I4" s="33"/>
    </row>
    <row r="5" spans="1:9" x14ac:dyDescent="0.25">
      <c r="A5" s="120">
        <v>1</v>
      </c>
      <c r="B5" s="6">
        <v>5000000005</v>
      </c>
      <c r="C5" s="7" t="s">
        <v>11</v>
      </c>
      <c r="D5" s="8" t="s">
        <v>12</v>
      </c>
      <c r="E5" s="35"/>
      <c r="F5" s="35"/>
      <c r="G5" s="35"/>
      <c r="I5" s="31">
        <v>0</v>
      </c>
    </row>
    <row r="6" spans="1:9" x14ac:dyDescent="0.25">
      <c r="A6" s="120">
        <v>2</v>
      </c>
      <c r="B6" s="10">
        <v>1000006673</v>
      </c>
      <c r="C6" s="11" t="s">
        <v>13</v>
      </c>
      <c r="D6" s="8" t="s">
        <v>12</v>
      </c>
      <c r="E6" s="35"/>
      <c r="F6" s="35"/>
      <c r="G6" s="35"/>
      <c r="I6" s="31">
        <v>0</v>
      </c>
    </row>
    <row r="7" spans="1:9" x14ac:dyDescent="0.25">
      <c r="A7" s="120">
        <v>3</v>
      </c>
      <c r="B7" s="10">
        <v>1000006674</v>
      </c>
      <c r="C7" s="11" t="s">
        <v>14</v>
      </c>
      <c r="D7" s="8" t="s">
        <v>12</v>
      </c>
      <c r="E7" s="35"/>
      <c r="F7" s="35"/>
      <c r="G7" s="35"/>
      <c r="I7" s="31">
        <v>0</v>
      </c>
    </row>
    <row r="8" spans="1:9" x14ac:dyDescent="0.25">
      <c r="A8" s="120">
        <v>4</v>
      </c>
      <c r="B8" s="6">
        <v>4000015242</v>
      </c>
      <c r="C8" s="7" t="s">
        <v>15</v>
      </c>
      <c r="D8" s="8" t="s">
        <v>12</v>
      </c>
      <c r="E8" s="35"/>
      <c r="F8" s="35"/>
      <c r="G8" s="35"/>
      <c r="I8" s="31">
        <v>0</v>
      </c>
    </row>
    <row r="9" spans="1:9" x14ac:dyDescent="0.25">
      <c r="A9" s="120">
        <v>5</v>
      </c>
      <c r="B9" s="10">
        <v>4000015243</v>
      </c>
      <c r="C9" s="11" t="s">
        <v>16</v>
      </c>
      <c r="D9" s="8" t="s">
        <v>12</v>
      </c>
      <c r="E9" s="35"/>
      <c r="F9" s="35"/>
      <c r="G9" s="35"/>
      <c r="I9" s="31">
        <v>0</v>
      </c>
    </row>
    <row r="10" spans="1:9" x14ac:dyDescent="0.25">
      <c r="A10" s="121">
        <v>6</v>
      </c>
      <c r="B10" s="9">
        <v>4000015244</v>
      </c>
      <c r="C10" s="12" t="s">
        <v>17</v>
      </c>
      <c r="D10" s="9" t="s">
        <v>12</v>
      </c>
      <c r="E10" s="36"/>
      <c r="F10" s="36"/>
      <c r="G10" s="36"/>
      <c r="I10" s="31">
        <v>0</v>
      </c>
    </row>
    <row r="11" spans="1:9" x14ac:dyDescent="0.25">
      <c r="A11" s="121">
        <v>7</v>
      </c>
      <c r="B11" s="9">
        <v>4000015245</v>
      </c>
      <c r="C11" s="12" t="s">
        <v>18</v>
      </c>
      <c r="D11" s="9" t="s">
        <v>12</v>
      </c>
      <c r="E11" s="36"/>
      <c r="F11" s="36"/>
      <c r="G11" s="36"/>
      <c r="I11" s="31">
        <v>0</v>
      </c>
    </row>
    <row r="12" spans="1:9" x14ac:dyDescent="0.25">
      <c r="A12" s="121">
        <v>8</v>
      </c>
      <c r="B12" s="9">
        <v>4000000224</v>
      </c>
      <c r="C12" s="12" t="s">
        <v>19</v>
      </c>
      <c r="D12" s="9" t="s">
        <v>12</v>
      </c>
      <c r="E12" s="36"/>
      <c r="F12" s="36"/>
      <c r="G12" s="36"/>
      <c r="I12" s="31">
        <v>0</v>
      </c>
    </row>
    <row r="13" spans="1:9" x14ac:dyDescent="0.25">
      <c r="A13" s="121">
        <v>9</v>
      </c>
      <c r="B13" s="9">
        <v>3000002332</v>
      </c>
      <c r="C13" s="12" t="s">
        <v>20</v>
      </c>
      <c r="D13" s="9" t="s">
        <v>12</v>
      </c>
      <c r="E13" s="36"/>
      <c r="F13" s="36"/>
      <c r="G13" s="36"/>
      <c r="I13" s="31">
        <v>0</v>
      </c>
    </row>
    <row r="14" spans="1:9" x14ac:dyDescent="0.25">
      <c r="A14" s="121">
        <v>10</v>
      </c>
      <c r="B14" s="9">
        <v>3000000010</v>
      </c>
      <c r="C14" s="12" t="s">
        <v>21</v>
      </c>
      <c r="D14" s="9" t="s">
        <v>12</v>
      </c>
      <c r="E14" s="36"/>
      <c r="F14" s="36"/>
      <c r="G14" s="36"/>
      <c r="I14" s="31">
        <v>0</v>
      </c>
    </row>
    <row r="15" spans="1:9" x14ac:dyDescent="0.25">
      <c r="A15" s="121">
        <v>11</v>
      </c>
      <c r="B15" s="9">
        <v>3000002338</v>
      </c>
      <c r="C15" s="12" t="s">
        <v>22</v>
      </c>
      <c r="D15" s="9" t="s">
        <v>12</v>
      </c>
      <c r="E15" s="36"/>
      <c r="F15" s="36"/>
      <c r="G15" s="36"/>
      <c r="I15" s="31">
        <v>0</v>
      </c>
    </row>
    <row r="16" spans="1:9" x14ac:dyDescent="0.25">
      <c r="A16" s="121">
        <v>12</v>
      </c>
      <c r="B16" s="9">
        <v>3000002322</v>
      </c>
      <c r="C16" s="12" t="s">
        <v>23</v>
      </c>
      <c r="D16" s="9" t="s">
        <v>12</v>
      </c>
      <c r="E16" s="36"/>
      <c r="F16" s="36"/>
      <c r="G16" s="36"/>
      <c r="I16" s="31">
        <v>0</v>
      </c>
    </row>
    <row r="17" spans="1:9" x14ac:dyDescent="0.25">
      <c r="A17" s="121">
        <v>13</v>
      </c>
      <c r="B17" s="9">
        <v>3000002330</v>
      </c>
      <c r="C17" s="12" t="s">
        <v>24</v>
      </c>
      <c r="D17" s="9" t="s">
        <v>12</v>
      </c>
      <c r="E17" s="36"/>
      <c r="F17" s="36"/>
      <c r="G17" s="36"/>
      <c r="I17" s="31">
        <v>0</v>
      </c>
    </row>
    <row r="18" spans="1:9" x14ac:dyDescent="0.25">
      <c r="A18" s="121">
        <v>14</v>
      </c>
      <c r="B18" s="9">
        <v>3000000012</v>
      </c>
      <c r="C18" s="12" t="s">
        <v>25</v>
      </c>
      <c r="D18" s="9" t="s">
        <v>12</v>
      </c>
      <c r="E18" s="36"/>
      <c r="F18" s="36"/>
      <c r="G18" s="36"/>
      <c r="I18" s="31">
        <v>0</v>
      </c>
    </row>
    <row r="19" spans="1:9" x14ac:dyDescent="0.25">
      <c r="A19" s="121">
        <v>15</v>
      </c>
      <c r="B19" s="9">
        <v>3000000701</v>
      </c>
      <c r="C19" s="12" t="s">
        <v>26</v>
      </c>
      <c r="D19" s="9" t="s">
        <v>12</v>
      </c>
      <c r="E19" s="36"/>
      <c r="F19" s="36"/>
      <c r="G19" s="36"/>
      <c r="I19" s="31">
        <v>0</v>
      </c>
    </row>
    <row r="20" spans="1:9" x14ac:dyDescent="0.25">
      <c r="A20" s="121">
        <v>16</v>
      </c>
      <c r="B20" s="9">
        <v>1000006667</v>
      </c>
      <c r="C20" s="12" t="s">
        <v>27</v>
      </c>
      <c r="D20" s="9" t="s">
        <v>12</v>
      </c>
      <c r="E20" s="36"/>
      <c r="F20" s="36"/>
      <c r="G20" s="36"/>
      <c r="I20" s="31">
        <v>0</v>
      </c>
    </row>
    <row r="21" spans="1:9" x14ac:dyDescent="0.25">
      <c r="A21" s="121">
        <v>17</v>
      </c>
      <c r="B21" s="9">
        <v>3000000061</v>
      </c>
      <c r="C21" s="12" t="s">
        <v>28</v>
      </c>
      <c r="D21" s="9" t="s">
        <v>12</v>
      </c>
      <c r="E21" s="36"/>
      <c r="F21" s="36"/>
      <c r="G21" s="36"/>
      <c r="I21" s="31">
        <v>0</v>
      </c>
    </row>
    <row r="22" spans="1:9" x14ac:dyDescent="0.25">
      <c r="A22" s="121">
        <v>18</v>
      </c>
      <c r="B22" s="9">
        <v>3000000064</v>
      </c>
      <c r="C22" s="12" t="s">
        <v>29</v>
      </c>
      <c r="D22" s="9" t="s">
        <v>12</v>
      </c>
      <c r="E22" s="36"/>
      <c r="F22" s="36"/>
      <c r="G22" s="36"/>
      <c r="I22" s="31">
        <v>0</v>
      </c>
    </row>
    <row r="23" spans="1:9" x14ac:dyDescent="0.25">
      <c r="A23" s="121">
        <v>19</v>
      </c>
      <c r="B23" s="9">
        <v>3000000062</v>
      </c>
      <c r="C23" s="12" t="s">
        <v>30</v>
      </c>
      <c r="D23" s="9" t="s">
        <v>12</v>
      </c>
      <c r="E23" s="36"/>
      <c r="F23" s="36"/>
      <c r="G23" s="36"/>
      <c r="I23" s="31">
        <v>0</v>
      </c>
    </row>
    <row r="24" spans="1:9" x14ac:dyDescent="0.25">
      <c r="A24" s="121">
        <v>20</v>
      </c>
      <c r="B24" s="9">
        <v>3000000063</v>
      </c>
      <c r="C24" s="12" t="s">
        <v>31</v>
      </c>
      <c r="D24" s="9" t="s">
        <v>12</v>
      </c>
      <c r="E24" s="36"/>
      <c r="F24" s="36"/>
      <c r="G24" s="36"/>
      <c r="I24" s="31">
        <v>0</v>
      </c>
    </row>
    <row r="25" spans="1:9" x14ac:dyDescent="0.25">
      <c r="A25" s="121">
        <v>21</v>
      </c>
      <c r="B25" s="9">
        <v>3000002688</v>
      </c>
      <c r="C25" s="12" t="s">
        <v>32</v>
      </c>
      <c r="D25" s="9" t="s">
        <v>12</v>
      </c>
      <c r="E25" s="36"/>
      <c r="F25" s="36"/>
      <c r="G25" s="36"/>
      <c r="I25" s="31">
        <v>0</v>
      </c>
    </row>
    <row r="26" spans="1:9" x14ac:dyDescent="0.25">
      <c r="A26" s="121">
        <v>22</v>
      </c>
      <c r="B26" s="9">
        <v>3000002869</v>
      </c>
      <c r="C26" s="12" t="s">
        <v>33</v>
      </c>
      <c r="D26" s="9" t="s">
        <v>12</v>
      </c>
      <c r="E26" s="36"/>
      <c r="F26" s="36"/>
      <c r="G26" s="36"/>
      <c r="I26" s="31">
        <v>0</v>
      </c>
    </row>
    <row r="27" spans="1:9" x14ac:dyDescent="0.25">
      <c r="A27" s="121">
        <v>23</v>
      </c>
      <c r="B27" s="9">
        <v>3000000068</v>
      </c>
      <c r="C27" s="12" t="s">
        <v>34</v>
      </c>
      <c r="D27" s="9" t="s">
        <v>12</v>
      </c>
      <c r="E27" s="36"/>
      <c r="F27" s="36"/>
      <c r="G27" s="36"/>
      <c r="I27" s="31">
        <v>0</v>
      </c>
    </row>
    <row r="28" spans="1:9" x14ac:dyDescent="0.25">
      <c r="A28" s="121">
        <v>24</v>
      </c>
      <c r="B28" s="9" t="s">
        <v>35</v>
      </c>
      <c r="C28" s="12" t="s">
        <v>36</v>
      </c>
      <c r="D28" s="9" t="s">
        <v>12</v>
      </c>
      <c r="E28" s="36"/>
      <c r="F28" s="36"/>
      <c r="G28" s="36"/>
    </row>
    <row r="29" spans="1:9" x14ac:dyDescent="0.25">
      <c r="A29" s="121">
        <v>25</v>
      </c>
      <c r="B29" s="9">
        <v>3000001221</v>
      </c>
      <c r="C29" s="12" t="s">
        <v>37</v>
      </c>
      <c r="D29" s="9" t="s">
        <v>12</v>
      </c>
      <c r="E29" s="36"/>
      <c r="F29" s="36"/>
      <c r="G29" s="36"/>
    </row>
    <row r="30" spans="1:9" x14ac:dyDescent="0.25">
      <c r="A30" s="121">
        <v>26</v>
      </c>
      <c r="B30" s="9">
        <v>3000001223</v>
      </c>
      <c r="C30" s="12" t="s">
        <v>38</v>
      </c>
      <c r="D30" s="9" t="s">
        <v>12</v>
      </c>
      <c r="E30" s="36"/>
      <c r="F30" s="36"/>
      <c r="G30" s="36"/>
    </row>
    <row r="31" spans="1:9" x14ac:dyDescent="0.25">
      <c r="A31" s="121">
        <v>27</v>
      </c>
      <c r="B31" s="9">
        <v>3000008524</v>
      </c>
      <c r="C31" s="12" t="s">
        <v>39</v>
      </c>
      <c r="D31" s="9" t="s">
        <v>12</v>
      </c>
      <c r="E31" s="36"/>
      <c r="F31" s="36"/>
      <c r="G31" s="36"/>
      <c r="I31" s="31">
        <v>0</v>
      </c>
    </row>
    <row r="32" spans="1:9" x14ac:dyDescent="0.25">
      <c r="A32" s="121">
        <v>28</v>
      </c>
      <c r="B32" s="9">
        <v>3000000628</v>
      </c>
      <c r="C32" s="12" t="s">
        <v>40</v>
      </c>
      <c r="D32" s="9" t="s">
        <v>12</v>
      </c>
      <c r="E32" s="36"/>
      <c r="F32" s="36"/>
      <c r="G32" s="36"/>
      <c r="I32" s="31">
        <v>0</v>
      </c>
    </row>
    <row r="33" spans="1:9" x14ac:dyDescent="0.25">
      <c r="A33" s="121">
        <v>29</v>
      </c>
      <c r="B33" s="9">
        <v>5000000013</v>
      </c>
      <c r="C33" s="12" t="s">
        <v>41</v>
      </c>
      <c r="D33" s="9" t="s">
        <v>12</v>
      </c>
      <c r="E33" s="36"/>
      <c r="F33" s="36"/>
      <c r="G33" s="36"/>
      <c r="I33" s="31">
        <v>0</v>
      </c>
    </row>
    <row r="34" spans="1:9" x14ac:dyDescent="0.25">
      <c r="A34" s="121">
        <v>30</v>
      </c>
      <c r="B34" s="9">
        <v>5000000014</v>
      </c>
      <c r="C34" s="12" t="s">
        <v>42</v>
      </c>
      <c r="D34" s="9" t="s">
        <v>12</v>
      </c>
      <c r="E34" s="36"/>
      <c r="F34" s="36"/>
      <c r="G34" s="36"/>
      <c r="I34" s="31">
        <v>0</v>
      </c>
    </row>
    <row r="35" spans="1:9" x14ac:dyDescent="0.25">
      <c r="A35" s="121">
        <v>31</v>
      </c>
      <c r="B35" s="9">
        <v>5000000011</v>
      </c>
      <c r="C35" s="12" t="s">
        <v>43</v>
      </c>
      <c r="D35" s="9" t="s">
        <v>12</v>
      </c>
      <c r="E35" s="36"/>
      <c r="F35" s="36"/>
      <c r="G35" s="36"/>
      <c r="I35" s="31">
        <v>0</v>
      </c>
    </row>
    <row r="36" spans="1:9" x14ac:dyDescent="0.25">
      <c r="A36" s="121">
        <v>32</v>
      </c>
      <c r="B36" s="9">
        <v>5000000012</v>
      </c>
      <c r="C36" s="12" t="s">
        <v>44</v>
      </c>
      <c r="D36" s="9" t="s">
        <v>12</v>
      </c>
      <c r="E36" s="36"/>
      <c r="F36" s="36"/>
      <c r="G36" s="36"/>
      <c r="I36" s="31">
        <v>0</v>
      </c>
    </row>
    <row r="37" spans="1:9" x14ac:dyDescent="0.25">
      <c r="A37" s="121">
        <v>33</v>
      </c>
      <c r="B37" s="9">
        <v>3000002635</v>
      </c>
      <c r="C37" s="12" t="s">
        <v>45</v>
      </c>
      <c r="D37" s="9" t="s">
        <v>12</v>
      </c>
      <c r="E37" s="36"/>
      <c r="F37" s="36"/>
      <c r="G37" s="36"/>
      <c r="I37" s="31">
        <v>0</v>
      </c>
    </row>
    <row r="38" spans="1:9" x14ac:dyDescent="0.25">
      <c r="A38" s="121">
        <v>34</v>
      </c>
      <c r="B38" s="9">
        <v>3000000345</v>
      </c>
      <c r="C38" s="12" t="s">
        <v>46</v>
      </c>
      <c r="D38" s="9" t="s">
        <v>12</v>
      </c>
      <c r="E38" s="36"/>
      <c r="F38" s="36"/>
      <c r="G38" s="36"/>
      <c r="I38" s="31">
        <v>0</v>
      </c>
    </row>
    <row r="39" spans="1:9" x14ac:dyDescent="0.25">
      <c r="A39" s="121">
        <v>35</v>
      </c>
      <c r="B39" s="9">
        <v>3000000346</v>
      </c>
      <c r="C39" s="12" t="s">
        <v>47</v>
      </c>
      <c r="D39" s="9" t="s">
        <v>12</v>
      </c>
      <c r="E39" s="36"/>
      <c r="F39" s="36"/>
      <c r="G39" s="36"/>
      <c r="I39" s="31">
        <v>0</v>
      </c>
    </row>
    <row r="40" spans="1:9" x14ac:dyDescent="0.25">
      <c r="A40" s="121">
        <v>36</v>
      </c>
      <c r="B40" s="9">
        <v>3000000347</v>
      </c>
      <c r="C40" s="12" t="s">
        <v>48</v>
      </c>
      <c r="D40" s="9" t="s">
        <v>12</v>
      </c>
      <c r="E40" s="36"/>
      <c r="F40" s="36"/>
      <c r="G40" s="36"/>
      <c r="I40" s="31">
        <v>0</v>
      </c>
    </row>
    <row r="41" spans="1:9" x14ac:dyDescent="0.25">
      <c r="A41" s="121">
        <v>37</v>
      </c>
      <c r="B41" s="9">
        <v>3000000348</v>
      </c>
      <c r="C41" s="12" t="s">
        <v>49</v>
      </c>
      <c r="D41" s="9" t="s">
        <v>12</v>
      </c>
      <c r="E41" s="36"/>
      <c r="F41" s="36"/>
      <c r="G41" s="36"/>
      <c r="I41" s="31">
        <v>0</v>
      </c>
    </row>
    <row r="42" spans="1:9" x14ac:dyDescent="0.25">
      <c r="A42" s="121">
        <v>38</v>
      </c>
      <c r="B42" s="9">
        <v>3000000349</v>
      </c>
      <c r="C42" s="12" t="s">
        <v>50</v>
      </c>
      <c r="D42" s="9" t="s">
        <v>12</v>
      </c>
      <c r="E42" s="36"/>
      <c r="F42" s="36"/>
      <c r="G42" s="36"/>
      <c r="I42" s="31">
        <v>0</v>
      </c>
    </row>
    <row r="43" spans="1:9" x14ac:dyDescent="0.25">
      <c r="A43" s="121">
        <v>39</v>
      </c>
      <c r="B43" s="9">
        <v>3000004464</v>
      </c>
      <c r="C43" s="12" t="s">
        <v>51</v>
      </c>
      <c r="D43" s="9" t="s">
        <v>12</v>
      </c>
      <c r="E43" s="36"/>
      <c r="F43" s="36"/>
      <c r="G43" s="36"/>
      <c r="I43" s="31">
        <v>0</v>
      </c>
    </row>
    <row r="44" spans="1:9" x14ac:dyDescent="0.25">
      <c r="A44" s="121">
        <v>40</v>
      </c>
      <c r="B44" s="9">
        <v>3000000352</v>
      </c>
      <c r="C44" s="12" t="s">
        <v>52</v>
      </c>
      <c r="D44" s="9" t="s">
        <v>12</v>
      </c>
      <c r="E44" s="36"/>
      <c r="F44" s="36"/>
      <c r="G44" s="36"/>
      <c r="I44" s="31">
        <v>0</v>
      </c>
    </row>
    <row r="45" spans="1:9" x14ac:dyDescent="0.25">
      <c r="A45" s="121">
        <v>41</v>
      </c>
      <c r="B45" s="9">
        <v>5000000007</v>
      </c>
      <c r="C45" s="12" t="s">
        <v>53</v>
      </c>
      <c r="D45" s="9" t="s">
        <v>12</v>
      </c>
      <c r="E45" s="36"/>
      <c r="F45" s="36"/>
      <c r="G45" s="36"/>
      <c r="I45" s="31">
        <v>0</v>
      </c>
    </row>
    <row r="46" spans="1:9" x14ac:dyDescent="0.25">
      <c r="A46" s="121">
        <v>42</v>
      </c>
      <c r="B46" s="9">
        <v>5000000004</v>
      </c>
      <c r="C46" s="12" t="s">
        <v>54</v>
      </c>
      <c r="D46" s="9" t="s">
        <v>12</v>
      </c>
      <c r="E46" s="36"/>
      <c r="F46" s="36"/>
      <c r="G46" s="36"/>
      <c r="I46" s="31">
        <v>0</v>
      </c>
    </row>
    <row r="47" spans="1:9" x14ac:dyDescent="0.25">
      <c r="A47" s="121">
        <v>43</v>
      </c>
      <c r="B47" s="9">
        <v>5000000006</v>
      </c>
      <c r="C47" s="12" t="s">
        <v>55</v>
      </c>
      <c r="D47" s="9" t="s">
        <v>12</v>
      </c>
      <c r="E47" s="36"/>
      <c r="F47" s="36"/>
      <c r="G47" s="36"/>
      <c r="I47" s="31">
        <v>0</v>
      </c>
    </row>
    <row r="48" spans="1:9" x14ac:dyDescent="0.25">
      <c r="A48" s="121">
        <v>44</v>
      </c>
      <c r="B48" s="9" t="s">
        <v>35</v>
      </c>
      <c r="C48" s="12" t="s">
        <v>56</v>
      </c>
      <c r="D48" s="9" t="s">
        <v>12</v>
      </c>
      <c r="E48" s="36"/>
      <c r="F48" s="36"/>
      <c r="G48" s="36"/>
      <c r="I48" s="31">
        <v>0</v>
      </c>
    </row>
    <row r="49" spans="1:9" x14ac:dyDescent="0.25">
      <c r="A49" s="121">
        <v>45</v>
      </c>
      <c r="B49" s="9">
        <v>3000000354</v>
      </c>
      <c r="C49" s="12" t="s">
        <v>57</v>
      </c>
      <c r="D49" s="9" t="s">
        <v>12</v>
      </c>
      <c r="E49" s="36"/>
      <c r="F49" s="36"/>
      <c r="G49" s="36"/>
      <c r="I49" s="31">
        <v>0</v>
      </c>
    </row>
    <row r="50" spans="1:9" x14ac:dyDescent="0.25">
      <c r="A50" s="121">
        <v>46</v>
      </c>
      <c r="B50" s="9">
        <v>3000000355</v>
      </c>
      <c r="C50" s="12" t="s">
        <v>58</v>
      </c>
      <c r="D50" s="9" t="s">
        <v>12</v>
      </c>
      <c r="E50" s="36"/>
      <c r="F50" s="36"/>
      <c r="G50" s="36"/>
      <c r="I50" s="31">
        <v>0</v>
      </c>
    </row>
    <row r="51" spans="1:9" x14ac:dyDescent="0.25">
      <c r="A51" s="121">
        <v>47</v>
      </c>
      <c r="B51" s="9">
        <v>3000000060</v>
      </c>
      <c r="C51" s="12" t="s">
        <v>295</v>
      </c>
      <c r="D51" s="9" t="s">
        <v>12</v>
      </c>
      <c r="E51" s="36"/>
      <c r="F51" s="36"/>
      <c r="G51" s="36"/>
      <c r="I51" s="31">
        <v>0</v>
      </c>
    </row>
    <row r="52" spans="1:9" x14ac:dyDescent="0.25">
      <c r="A52" s="121">
        <v>48</v>
      </c>
      <c r="B52" s="9">
        <v>3000000356</v>
      </c>
      <c r="C52" s="12" t="s">
        <v>60</v>
      </c>
      <c r="D52" s="9" t="s">
        <v>12</v>
      </c>
      <c r="E52" s="36"/>
      <c r="F52" s="36"/>
      <c r="G52" s="36"/>
      <c r="I52" s="31">
        <v>0</v>
      </c>
    </row>
    <row r="53" spans="1:9" x14ac:dyDescent="0.25">
      <c r="A53" s="121">
        <v>49</v>
      </c>
      <c r="B53" s="9">
        <v>3000000353</v>
      </c>
      <c r="C53" s="12" t="s">
        <v>61</v>
      </c>
      <c r="D53" s="9" t="s">
        <v>12</v>
      </c>
      <c r="E53" s="36"/>
      <c r="F53" s="36"/>
      <c r="G53" s="36"/>
      <c r="I53" s="31">
        <v>0</v>
      </c>
    </row>
    <row r="54" spans="1:9" x14ac:dyDescent="0.25">
      <c r="A54" s="121">
        <v>50</v>
      </c>
      <c r="B54" s="9">
        <v>3000000437</v>
      </c>
      <c r="C54" s="12" t="s">
        <v>62</v>
      </c>
      <c r="D54" s="9" t="s">
        <v>12</v>
      </c>
      <c r="E54" s="36"/>
      <c r="F54" s="36"/>
      <c r="G54" s="36"/>
      <c r="I54" s="31">
        <v>0</v>
      </c>
    </row>
    <row r="55" spans="1:9" x14ac:dyDescent="0.25">
      <c r="A55" s="121">
        <v>51</v>
      </c>
      <c r="B55" s="9">
        <v>1000005010</v>
      </c>
      <c r="C55" s="12" t="s">
        <v>63</v>
      </c>
      <c r="D55" s="9" t="s">
        <v>12</v>
      </c>
      <c r="E55" s="36"/>
      <c r="F55" s="36"/>
      <c r="G55" s="36"/>
      <c r="I55" s="31">
        <v>0</v>
      </c>
    </row>
    <row r="56" spans="1:9" x14ac:dyDescent="0.25">
      <c r="A56" s="121">
        <v>52</v>
      </c>
      <c r="B56" s="9">
        <v>1000005004</v>
      </c>
      <c r="C56" s="12" t="s">
        <v>64</v>
      </c>
      <c r="D56" s="9" t="s">
        <v>12</v>
      </c>
      <c r="E56" s="36"/>
      <c r="F56" s="36"/>
      <c r="G56" s="36"/>
      <c r="I56" s="31">
        <v>0</v>
      </c>
    </row>
    <row r="57" spans="1:9" x14ac:dyDescent="0.25">
      <c r="A57" s="121">
        <v>53</v>
      </c>
      <c r="B57" s="9">
        <v>1000005006</v>
      </c>
      <c r="C57" s="12" t="s">
        <v>65</v>
      </c>
      <c r="D57" s="9" t="s">
        <v>12</v>
      </c>
      <c r="E57" s="36"/>
      <c r="F57" s="36"/>
      <c r="G57" s="36"/>
      <c r="I57" s="31">
        <v>0</v>
      </c>
    </row>
    <row r="58" spans="1:9" x14ac:dyDescent="0.25">
      <c r="A58" s="121">
        <v>54</v>
      </c>
      <c r="B58" s="9">
        <v>1000005005</v>
      </c>
      <c r="C58" s="12" t="s">
        <v>66</v>
      </c>
      <c r="D58" s="9" t="s">
        <v>12</v>
      </c>
      <c r="E58" s="36"/>
      <c r="F58" s="36"/>
      <c r="G58" s="36"/>
      <c r="I58" s="31">
        <v>0</v>
      </c>
    </row>
    <row r="59" spans="1:9" x14ac:dyDescent="0.25">
      <c r="A59" s="121">
        <v>55</v>
      </c>
      <c r="B59" s="9">
        <v>1000006424</v>
      </c>
      <c r="C59" s="12" t="s">
        <v>67</v>
      </c>
      <c r="D59" s="9" t="s">
        <v>12</v>
      </c>
      <c r="E59" s="36"/>
      <c r="F59" s="36"/>
      <c r="G59" s="36"/>
      <c r="I59" s="31">
        <v>0</v>
      </c>
    </row>
    <row r="60" spans="1:9" x14ac:dyDescent="0.25">
      <c r="A60" s="121">
        <v>56</v>
      </c>
      <c r="B60" s="9">
        <v>1000005009</v>
      </c>
      <c r="C60" s="12" t="s">
        <v>68</v>
      </c>
      <c r="D60" s="9" t="s">
        <v>12</v>
      </c>
      <c r="E60" s="36"/>
      <c r="F60" s="36"/>
      <c r="G60" s="36"/>
      <c r="I60" s="31">
        <v>0</v>
      </c>
    </row>
    <row r="61" spans="1:9" x14ac:dyDescent="0.25">
      <c r="A61" s="121">
        <v>57</v>
      </c>
      <c r="B61" s="9">
        <v>1000005008</v>
      </c>
      <c r="C61" s="12" t="s">
        <v>69</v>
      </c>
      <c r="D61" s="9" t="s">
        <v>12</v>
      </c>
      <c r="E61" s="36"/>
      <c r="F61" s="36"/>
      <c r="G61" s="36"/>
      <c r="I61" s="31">
        <v>0</v>
      </c>
    </row>
    <row r="62" spans="1:9" x14ac:dyDescent="0.25">
      <c r="A62" s="121">
        <v>58</v>
      </c>
      <c r="B62" s="9">
        <v>1000005007</v>
      </c>
      <c r="C62" s="12" t="s">
        <v>70</v>
      </c>
      <c r="D62" s="9" t="s">
        <v>12</v>
      </c>
      <c r="E62" s="36"/>
      <c r="F62" s="36"/>
      <c r="G62" s="36"/>
      <c r="I62" s="31">
        <v>0</v>
      </c>
    </row>
    <row r="63" spans="1:9" x14ac:dyDescent="0.25">
      <c r="A63" s="121">
        <v>59</v>
      </c>
      <c r="B63" s="9">
        <v>1000005003</v>
      </c>
      <c r="C63" s="12" t="s">
        <v>71</v>
      </c>
      <c r="D63" s="9" t="s">
        <v>12</v>
      </c>
      <c r="E63" s="36"/>
      <c r="F63" s="36"/>
      <c r="G63" s="36"/>
      <c r="I63" s="31">
        <v>0</v>
      </c>
    </row>
    <row r="64" spans="1:9" x14ac:dyDescent="0.25">
      <c r="A64" s="121">
        <v>60</v>
      </c>
      <c r="B64" s="9">
        <v>1000005001</v>
      </c>
      <c r="C64" s="12" t="s">
        <v>72</v>
      </c>
      <c r="D64" s="9" t="s">
        <v>12</v>
      </c>
      <c r="E64" s="36"/>
      <c r="F64" s="36"/>
      <c r="G64" s="36"/>
      <c r="I64" s="31">
        <v>0</v>
      </c>
    </row>
    <row r="65" spans="1:9" x14ac:dyDescent="0.25">
      <c r="A65" s="121">
        <v>61</v>
      </c>
      <c r="B65" s="9">
        <v>1000005002</v>
      </c>
      <c r="C65" s="12" t="s">
        <v>73</v>
      </c>
      <c r="D65" s="9" t="s">
        <v>12</v>
      </c>
      <c r="E65" s="36"/>
      <c r="F65" s="36"/>
      <c r="G65" s="36"/>
      <c r="I65" s="31">
        <v>0</v>
      </c>
    </row>
    <row r="66" spans="1:9" x14ac:dyDescent="0.25">
      <c r="A66" s="121">
        <v>62</v>
      </c>
      <c r="B66" s="9">
        <v>1000005000</v>
      </c>
      <c r="C66" s="12" t="s">
        <v>74</v>
      </c>
      <c r="D66" s="9" t="s">
        <v>12</v>
      </c>
      <c r="E66" s="36"/>
      <c r="F66" s="36"/>
      <c r="G66" s="36"/>
      <c r="I66" s="31">
        <v>0</v>
      </c>
    </row>
    <row r="67" spans="1:9" x14ac:dyDescent="0.25">
      <c r="A67" s="121">
        <v>63</v>
      </c>
      <c r="B67" s="9">
        <v>3000002340</v>
      </c>
      <c r="C67" s="12" t="s">
        <v>75</v>
      </c>
      <c r="D67" s="9" t="s">
        <v>12</v>
      </c>
      <c r="E67" s="36"/>
      <c r="F67" s="36"/>
      <c r="G67" s="36"/>
      <c r="I67" s="31">
        <v>0</v>
      </c>
    </row>
    <row r="68" spans="1:9" x14ac:dyDescent="0.25">
      <c r="A68" s="121">
        <v>64</v>
      </c>
      <c r="B68" s="9">
        <v>3000001211</v>
      </c>
      <c r="C68" s="12" t="s">
        <v>76</v>
      </c>
      <c r="D68" s="9" t="s">
        <v>12</v>
      </c>
      <c r="E68" s="36"/>
      <c r="F68" s="36"/>
      <c r="G68" s="36"/>
      <c r="I68" s="31">
        <v>0</v>
      </c>
    </row>
    <row r="69" spans="1:9" x14ac:dyDescent="0.25">
      <c r="A69" s="121">
        <v>65</v>
      </c>
      <c r="B69" s="9">
        <v>3000001212</v>
      </c>
      <c r="C69" s="12" t="s">
        <v>77</v>
      </c>
      <c r="D69" s="9" t="s">
        <v>12</v>
      </c>
      <c r="E69" s="36"/>
      <c r="F69" s="36"/>
      <c r="G69" s="36"/>
      <c r="I69" s="31">
        <v>0</v>
      </c>
    </row>
    <row r="70" spans="1:9" x14ac:dyDescent="0.25">
      <c r="A70" s="121">
        <v>66</v>
      </c>
      <c r="B70" s="9">
        <v>3000002341</v>
      </c>
      <c r="C70" s="12" t="s">
        <v>78</v>
      </c>
      <c r="D70" s="9" t="s">
        <v>12</v>
      </c>
      <c r="E70" s="36"/>
      <c r="F70" s="36"/>
      <c r="G70" s="36"/>
      <c r="I70" s="31">
        <v>0</v>
      </c>
    </row>
    <row r="71" spans="1:9" x14ac:dyDescent="0.25">
      <c r="A71" s="121">
        <v>67</v>
      </c>
      <c r="B71" s="9">
        <v>3000001214</v>
      </c>
      <c r="C71" s="12" t="s">
        <v>79</v>
      </c>
      <c r="D71" s="9" t="s">
        <v>12</v>
      </c>
      <c r="E71" s="36"/>
      <c r="F71" s="36"/>
      <c r="G71" s="36"/>
      <c r="I71" s="31">
        <v>0</v>
      </c>
    </row>
    <row r="72" spans="1:9" x14ac:dyDescent="0.25">
      <c r="A72" s="121">
        <v>68</v>
      </c>
      <c r="B72" s="9">
        <v>3000001215</v>
      </c>
      <c r="C72" s="12" t="s">
        <v>80</v>
      </c>
      <c r="D72" s="9" t="s">
        <v>12</v>
      </c>
      <c r="E72" s="36"/>
      <c r="F72" s="36"/>
      <c r="G72" s="36"/>
      <c r="I72" s="31">
        <v>0</v>
      </c>
    </row>
    <row r="73" spans="1:9" x14ac:dyDescent="0.25">
      <c r="A73" s="121">
        <v>69</v>
      </c>
      <c r="B73" s="9">
        <v>3000001216</v>
      </c>
      <c r="C73" s="12" t="s">
        <v>81</v>
      </c>
      <c r="D73" s="9" t="s">
        <v>12</v>
      </c>
      <c r="E73" s="36"/>
      <c r="F73" s="36"/>
      <c r="G73" s="36"/>
      <c r="I73" s="31">
        <v>0</v>
      </c>
    </row>
    <row r="74" spans="1:9" x14ac:dyDescent="0.25">
      <c r="A74" s="121">
        <v>70</v>
      </c>
      <c r="B74" s="9">
        <v>3000001217</v>
      </c>
      <c r="C74" s="12" t="s">
        <v>82</v>
      </c>
      <c r="D74" s="9" t="s">
        <v>12</v>
      </c>
      <c r="E74" s="36"/>
      <c r="F74" s="36"/>
      <c r="G74" s="36"/>
      <c r="I74" s="31">
        <v>0</v>
      </c>
    </row>
    <row r="75" spans="1:9" x14ac:dyDescent="0.25">
      <c r="A75" s="121">
        <v>71</v>
      </c>
      <c r="B75" s="9">
        <v>3000000009</v>
      </c>
      <c r="C75" s="12" t="s">
        <v>83</v>
      </c>
      <c r="D75" s="9" t="s">
        <v>12</v>
      </c>
      <c r="E75" s="36"/>
      <c r="F75" s="36"/>
      <c r="G75" s="36"/>
      <c r="I75" s="31">
        <v>0</v>
      </c>
    </row>
    <row r="76" spans="1:9" x14ac:dyDescent="0.25">
      <c r="A76" s="121">
        <v>72</v>
      </c>
      <c r="B76" s="9">
        <v>3000000011</v>
      </c>
      <c r="C76" s="12" t="s">
        <v>84</v>
      </c>
      <c r="D76" s="9" t="s">
        <v>12</v>
      </c>
      <c r="E76" s="36"/>
      <c r="F76" s="36"/>
      <c r="G76" s="36"/>
      <c r="I76" s="31">
        <v>0</v>
      </c>
    </row>
    <row r="77" spans="1:9" x14ac:dyDescent="0.25">
      <c r="A77" s="121">
        <v>73</v>
      </c>
      <c r="B77" s="9">
        <v>3000000707</v>
      </c>
      <c r="C77" s="12" t="s">
        <v>85</v>
      </c>
      <c r="D77" s="9" t="s">
        <v>12</v>
      </c>
      <c r="E77" s="36"/>
      <c r="F77" s="36"/>
      <c r="G77" s="36"/>
      <c r="I77" s="31">
        <v>0</v>
      </c>
    </row>
    <row r="78" spans="1:9" x14ac:dyDescent="0.25">
      <c r="A78" s="121">
        <v>74</v>
      </c>
      <c r="B78" s="9">
        <v>3000000301</v>
      </c>
      <c r="C78" s="12" t="s">
        <v>86</v>
      </c>
      <c r="D78" s="9" t="s">
        <v>12</v>
      </c>
      <c r="E78" s="36"/>
      <c r="F78" s="36"/>
      <c r="G78" s="36"/>
      <c r="I78" s="31">
        <v>0</v>
      </c>
    </row>
    <row r="79" spans="1:9" x14ac:dyDescent="0.25">
      <c r="A79" s="121">
        <v>75</v>
      </c>
      <c r="B79" s="9">
        <v>3000000302</v>
      </c>
      <c r="C79" s="12" t="s">
        <v>87</v>
      </c>
      <c r="D79" s="9" t="s">
        <v>12</v>
      </c>
      <c r="E79" s="36"/>
      <c r="F79" s="36"/>
      <c r="G79" s="36"/>
      <c r="I79" s="31">
        <v>0</v>
      </c>
    </row>
    <row r="80" spans="1:9" x14ac:dyDescent="0.25">
      <c r="A80" s="121">
        <v>76</v>
      </c>
      <c r="B80" s="9">
        <v>3000000303</v>
      </c>
      <c r="C80" s="12" t="s">
        <v>88</v>
      </c>
      <c r="D80" s="9" t="s">
        <v>12</v>
      </c>
      <c r="E80" s="36"/>
      <c r="F80" s="36"/>
      <c r="G80" s="36"/>
      <c r="I80" s="31">
        <v>0</v>
      </c>
    </row>
    <row r="81" spans="1:9" x14ac:dyDescent="0.25">
      <c r="A81" s="121">
        <v>77</v>
      </c>
      <c r="B81" s="9">
        <v>3000000304</v>
      </c>
      <c r="C81" s="12" t="s">
        <v>89</v>
      </c>
      <c r="D81" s="9" t="s">
        <v>12</v>
      </c>
      <c r="E81" s="36"/>
      <c r="F81" s="36"/>
      <c r="G81" s="36"/>
      <c r="I81" s="31">
        <v>0</v>
      </c>
    </row>
    <row r="82" spans="1:9" x14ac:dyDescent="0.25">
      <c r="A82" s="121">
        <v>78</v>
      </c>
      <c r="B82" s="9">
        <v>3000000305</v>
      </c>
      <c r="C82" s="12" t="s">
        <v>90</v>
      </c>
      <c r="D82" s="9" t="s">
        <v>12</v>
      </c>
      <c r="E82" s="36"/>
      <c r="F82" s="36"/>
      <c r="G82" s="36"/>
      <c r="I82" s="31">
        <v>0</v>
      </c>
    </row>
    <row r="83" spans="1:9" x14ac:dyDescent="0.25">
      <c r="A83" s="121">
        <v>79</v>
      </c>
      <c r="B83" s="9">
        <v>3000000306</v>
      </c>
      <c r="C83" s="12" t="s">
        <v>91</v>
      </c>
      <c r="D83" s="9" t="s">
        <v>12</v>
      </c>
      <c r="E83" s="36"/>
      <c r="F83" s="36"/>
      <c r="G83" s="36"/>
      <c r="I83" s="31">
        <v>0</v>
      </c>
    </row>
    <row r="84" spans="1:9" x14ac:dyDescent="0.25">
      <c r="A84" s="121">
        <v>80</v>
      </c>
      <c r="B84" s="9">
        <v>3000000307</v>
      </c>
      <c r="C84" s="12" t="s">
        <v>92</v>
      </c>
      <c r="D84" s="9" t="s">
        <v>12</v>
      </c>
      <c r="E84" s="36"/>
      <c r="F84" s="36"/>
      <c r="G84" s="36"/>
      <c r="I84" s="31">
        <v>0</v>
      </c>
    </row>
    <row r="85" spans="1:9" x14ac:dyDescent="0.25">
      <c r="A85" s="121">
        <v>81</v>
      </c>
      <c r="B85" s="9">
        <v>3000000308</v>
      </c>
      <c r="C85" s="12" t="s">
        <v>93</v>
      </c>
      <c r="D85" s="9" t="s">
        <v>12</v>
      </c>
      <c r="E85" s="36"/>
      <c r="F85" s="36"/>
      <c r="G85" s="36"/>
      <c r="I85" s="31">
        <v>0</v>
      </c>
    </row>
    <row r="86" spans="1:9" x14ac:dyDescent="0.25">
      <c r="A86" s="121">
        <v>82</v>
      </c>
      <c r="B86" s="9">
        <v>3000003396</v>
      </c>
      <c r="C86" s="12" t="s">
        <v>94</v>
      </c>
      <c r="D86" s="9" t="s">
        <v>12</v>
      </c>
      <c r="E86" s="36"/>
      <c r="F86" s="36"/>
      <c r="G86" s="36"/>
      <c r="I86" s="31">
        <v>0</v>
      </c>
    </row>
    <row r="87" spans="1:9" x14ac:dyDescent="0.25">
      <c r="A87" s="121">
        <v>83</v>
      </c>
      <c r="B87" s="9">
        <v>3000000309</v>
      </c>
      <c r="C87" s="12" t="s">
        <v>95</v>
      </c>
      <c r="D87" s="9" t="s">
        <v>12</v>
      </c>
      <c r="E87" s="36"/>
      <c r="F87" s="36"/>
      <c r="G87" s="36"/>
      <c r="I87" s="31">
        <v>0</v>
      </c>
    </row>
    <row r="88" spans="1:9" x14ac:dyDescent="0.25">
      <c r="A88" s="121">
        <v>84</v>
      </c>
      <c r="B88" s="9">
        <v>3000000310</v>
      </c>
      <c r="C88" s="12" t="s">
        <v>96</v>
      </c>
      <c r="D88" s="9" t="s">
        <v>12</v>
      </c>
      <c r="E88" s="36"/>
      <c r="F88" s="36"/>
      <c r="G88" s="36"/>
      <c r="I88" s="31">
        <v>0</v>
      </c>
    </row>
    <row r="89" spans="1:9" x14ac:dyDescent="0.25">
      <c r="A89" s="121">
        <v>85</v>
      </c>
      <c r="B89" s="9">
        <v>3000008517</v>
      </c>
      <c r="C89" s="12" t="s">
        <v>97</v>
      </c>
      <c r="D89" s="9" t="s">
        <v>12</v>
      </c>
      <c r="E89" s="36"/>
      <c r="F89" s="36"/>
      <c r="G89" s="36"/>
      <c r="I89" s="31">
        <v>0</v>
      </c>
    </row>
    <row r="90" spans="1:9" x14ac:dyDescent="0.25">
      <c r="A90" s="121">
        <v>86</v>
      </c>
      <c r="B90" s="9">
        <v>3000008518</v>
      </c>
      <c r="C90" s="12" t="s">
        <v>98</v>
      </c>
      <c r="D90" s="9" t="s">
        <v>12</v>
      </c>
      <c r="E90" s="36"/>
      <c r="F90" s="36"/>
      <c r="G90" s="36"/>
      <c r="I90" s="31">
        <v>0</v>
      </c>
    </row>
    <row r="91" spans="1:9" x14ac:dyDescent="0.25">
      <c r="A91" s="121">
        <v>87</v>
      </c>
      <c r="B91" s="9">
        <v>3000004960</v>
      </c>
      <c r="C91" s="12" t="s">
        <v>99</v>
      </c>
      <c r="D91" s="9" t="s">
        <v>12</v>
      </c>
      <c r="E91" s="36"/>
      <c r="F91" s="36"/>
      <c r="G91" s="36"/>
      <c r="I91" s="31">
        <v>0</v>
      </c>
    </row>
    <row r="92" spans="1:9" x14ac:dyDescent="0.25">
      <c r="A92" s="121">
        <v>88</v>
      </c>
      <c r="B92" s="9">
        <v>3000008519</v>
      </c>
      <c r="C92" s="12" t="s">
        <v>100</v>
      </c>
      <c r="D92" s="9" t="s">
        <v>12</v>
      </c>
      <c r="E92" s="36"/>
      <c r="F92" s="36"/>
      <c r="G92" s="36"/>
      <c r="I92" s="31">
        <v>0</v>
      </c>
    </row>
    <row r="93" spans="1:9" x14ac:dyDescent="0.25">
      <c r="A93" s="121">
        <v>89</v>
      </c>
      <c r="B93" s="9">
        <v>3000008514</v>
      </c>
      <c r="C93" s="12" t="s">
        <v>101</v>
      </c>
      <c r="D93" s="9" t="s">
        <v>12</v>
      </c>
      <c r="E93" s="36"/>
      <c r="F93" s="36"/>
      <c r="G93" s="36"/>
      <c r="I93" s="31">
        <v>0</v>
      </c>
    </row>
    <row r="94" spans="1:9" x14ac:dyDescent="0.25">
      <c r="A94" s="121">
        <v>90</v>
      </c>
      <c r="B94" s="9">
        <v>3000008515</v>
      </c>
      <c r="C94" s="12" t="s">
        <v>102</v>
      </c>
      <c r="D94" s="9" t="s">
        <v>12</v>
      </c>
      <c r="E94" s="36"/>
      <c r="F94" s="36"/>
      <c r="G94" s="36"/>
      <c r="I94" s="31">
        <v>0</v>
      </c>
    </row>
    <row r="95" spans="1:9" x14ac:dyDescent="0.25">
      <c r="A95" s="121">
        <v>91</v>
      </c>
      <c r="B95" s="9">
        <v>3000008521</v>
      </c>
      <c r="C95" s="12" t="s">
        <v>103</v>
      </c>
      <c r="D95" s="9" t="s">
        <v>12</v>
      </c>
      <c r="E95" s="36"/>
      <c r="F95" s="36"/>
      <c r="G95" s="36"/>
      <c r="I95" s="31">
        <v>0</v>
      </c>
    </row>
    <row r="96" spans="1:9" x14ac:dyDescent="0.25">
      <c r="A96" s="121">
        <v>92</v>
      </c>
      <c r="B96" s="9">
        <v>5000000019</v>
      </c>
      <c r="C96" s="12" t="s">
        <v>104</v>
      </c>
      <c r="D96" s="9" t="s">
        <v>12</v>
      </c>
      <c r="E96" s="36"/>
      <c r="F96" s="36"/>
      <c r="G96" s="36"/>
      <c r="I96" s="31">
        <v>0</v>
      </c>
    </row>
    <row r="97" spans="1:9" x14ac:dyDescent="0.25">
      <c r="A97" s="121">
        <v>93</v>
      </c>
      <c r="B97" s="9">
        <v>5000000018</v>
      </c>
      <c r="C97" s="12" t="s">
        <v>105</v>
      </c>
      <c r="D97" s="9" t="s">
        <v>12</v>
      </c>
      <c r="E97" s="36"/>
      <c r="F97" s="36"/>
      <c r="G97" s="36"/>
      <c r="I97" s="31">
        <v>0</v>
      </c>
    </row>
    <row r="98" spans="1:9" x14ac:dyDescent="0.25">
      <c r="A98" s="121">
        <v>94</v>
      </c>
      <c r="B98" s="9">
        <v>3000004956</v>
      </c>
      <c r="C98" s="12" t="s">
        <v>106</v>
      </c>
      <c r="D98" s="9" t="s">
        <v>12</v>
      </c>
      <c r="E98" s="36"/>
      <c r="F98" s="36"/>
      <c r="G98" s="36"/>
      <c r="I98" s="31">
        <v>0</v>
      </c>
    </row>
    <row r="99" spans="1:9" x14ac:dyDescent="0.25">
      <c r="A99" s="121">
        <v>95</v>
      </c>
      <c r="B99" s="9">
        <v>3000004954</v>
      </c>
      <c r="C99" s="12" t="s">
        <v>107</v>
      </c>
      <c r="D99" s="9" t="s">
        <v>12</v>
      </c>
      <c r="E99" s="36"/>
      <c r="F99" s="36"/>
      <c r="G99" s="36"/>
      <c r="I99" s="31">
        <v>0</v>
      </c>
    </row>
    <row r="100" spans="1:9" x14ac:dyDescent="0.25">
      <c r="A100" s="121">
        <v>96</v>
      </c>
      <c r="B100" s="9">
        <v>3000005013</v>
      </c>
      <c r="C100" s="12" t="s">
        <v>108</v>
      </c>
      <c r="D100" s="9" t="s">
        <v>12</v>
      </c>
      <c r="E100" s="36"/>
      <c r="F100" s="36"/>
      <c r="G100" s="36"/>
      <c r="I100" s="31">
        <v>0</v>
      </c>
    </row>
    <row r="101" spans="1:9" x14ac:dyDescent="0.25">
      <c r="A101" s="121">
        <v>97</v>
      </c>
      <c r="B101" s="9">
        <v>3000004953</v>
      </c>
      <c r="C101" s="12" t="s">
        <v>109</v>
      </c>
      <c r="D101" s="9" t="s">
        <v>12</v>
      </c>
      <c r="E101" s="36"/>
      <c r="F101" s="36"/>
      <c r="G101" s="36"/>
      <c r="I101" s="31">
        <v>0</v>
      </c>
    </row>
    <row r="102" spans="1:9" x14ac:dyDescent="0.25">
      <c r="A102" s="121">
        <v>98</v>
      </c>
      <c r="B102" s="9">
        <v>5000000017</v>
      </c>
      <c r="C102" s="12" t="s">
        <v>110</v>
      </c>
      <c r="D102" s="9" t="s">
        <v>12</v>
      </c>
      <c r="E102" s="36"/>
      <c r="F102" s="36"/>
      <c r="G102" s="36"/>
      <c r="I102" s="31">
        <v>0</v>
      </c>
    </row>
    <row r="103" spans="1:9" x14ac:dyDescent="0.25">
      <c r="A103" s="121">
        <v>99</v>
      </c>
      <c r="B103" s="9">
        <v>3000008526</v>
      </c>
      <c r="C103" s="12" t="s">
        <v>111</v>
      </c>
      <c r="D103" s="9" t="s">
        <v>12</v>
      </c>
      <c r="E103" s="36"/>
      <c r="F103" s="36"/>
      <c r="G103" s="36"/>
      <c r="I103" s="31">
        <v>0</v>
      </c>
    </row>
    <row r="104" spans="1:9" x14ac:dyDescent="0.25">
      <c r="A104" s="121">
        <v>100</v>
      </c>
      <c r="B104" s="9">
        <v>3000008516</v>
      </c>
      <c r="C104" s="12" t="s">
        <v>112</v>
      </c>
      <c r="D104" s="9" t="s">
        <v>12</v>
      </c>
      <c r="E104" s="36"/>
      <c r="F104" s="36"/>
      <c r="G104" s="36"/>
      <c r="I104" s="31">
        <v>0</v>
      </c>
    </row>
    <row r="105" spans="1:9" x14ac:dyDescent="0.25">
      <c r="A105" s="121">
        <v>101</v>
      </c>
      <c r="B105" s="9">
        <v>3000002333</v>
      </c>
      <c r="C105" s="12" t="s">
        <v>113</v>
      </c>
      <c r="D105" s="9" t="s">
        <v>12</v>
      </c>
      <c r="E105" s="36"/>
      <c r="F105" s="36"/>
      <c r="G105" s="36"/>
      <c r="I105" s="31">
        <v>0</v>
      </c>
    </row>
    <row r="106" spans="1:9" x14ac:dyDescent="0.25">
      <c r="A106" s="121">
        <v>102</v>
      </c>
      <c r="B106" s="9">
        <v>3000000840</v>
      </c>
      <c r="C106" s="12" t="s">
        <v>114</v>
      </c>
      <c r="D106" s="9" t="s">
        <v>12</v>
      </c>
      <c r="E106" s="36"/>
      <c r="F106" s="36"/>
      <c r="G106" s="36"/>
      <c r="I106" s="31">
        <v>0</v>
      </c>
    </row>
    <row r="107" spans="1:9" x14ac:dyDescent="0.25">
      <c r="A107" s="121">
        <v>103</v>
      </c>
      <c r="B107" s="9">
        <v>3000001222</v>
      </c>
      <c r="C107" s="12" t="s">
        <v>115</v>
      </c>
      <c r="D107" s="9" t="s">
        <v>12</v>
      </c>
      <c r="E107" s="36"/>
      <c r="F107" s="36"/>
      <c r="G107" s="36"/>
      <c r="I107" s="31">
        <v>0</v>
      </c>
    </row>
    <row r="108" spans="1:9" x14ac:dyDescent="0.25">
      <c r="A108" s="121">
        <v>104</v>
      </c>
      <c r="B108" s="9">
        <v>5000000008</v>
      </c>
      <c r="C108" s="12" t="s">
        <v>116</v>
      </c>
      <c r="D108" s="9" t="s">
        <v>12</v>
      </c>
      <c r="E108" s="36"/>
      <c r="F108" s="36"/>
      <c r="G108" s="36"/>
      <c r="I108" s="31">
        <v>0</v>
      </c>
    </row>
    <row r="109" spans="1:9" x14ac:dyDescent="0.25">
      <c r="A109" s="121">
        <v>105</v>
      </c>
      <c r="B109" s="9">
        <v>3000000849</v>
      </c>
      <c r="C109" s="12" t="s">
        <v>117</v>
      </c>
      <c r="D109" s="9" t="s">
        <v>12</v>
      </c>
      <c r="E109" s="36"/>
      <c r="F109" s="36"/>
      <c r="G109" s="36"/>
      <c r="I109" s="31">
        <v>0</v>
      </c>
    </row>
    <row r="110" spans="1:9" x14ac:dyDescent="0.25">
      <c r="A110" s="121">
        <v>106</v>
      </c>
      <c r="B110" s="9">
        <v>1000006668</v>
      </c>
      <c r="C110" s="12" t="s">
        <v>118</v>
      </c>
      <c r="D110" s="9" t="s">
        <v>12</v>
      </c>
      <c r="E110" s="36"/>
      <c r="F110" s="36"/>
      <c r="G110" s="36"/>
      <c r="I110" s="31">
        <v>0</v>
      </c>
    </row>
    <row r="111" spans="1:9" x14ac:dyDescent="0.25">
      <c r="A111" s="121">
        <v>107</v>
      </c>
      <c r="B111" s="9">
        <v>3000001196</v>
      </c>
      <c r="C111" s="12" t="s">
        <v>119</v>
      </c>
      <c r="D111" s="9" t="s">
        <v>12</v>
      </c>
      <c r="E111" s="36"/>
      <c r="F111" s="36"/>
      <c r="G111" s="36"/>
      <c r="I111" s="31">
        <v>0</v>
      </c>
    </row>
    <row r="112" spans="1:9" x14ac:dyDescent="0.25">
      <c r="A112" s="121">
        <v>108</v>
      </c>
      <c r="B112" s="9" t="s">
        <v>120</v>
      </c>
      <c r="C112" s="12" t="s">
        <v>121</v>
      </c>
      <c r="D112" s="9" t="s">
        <v>12</v>
      </c>
      <c r="E112" s="36"/>
      <c r="F112" s="36"/>
      <c r="G112" s="36"/>
      <c r="I112" s="31">
        <v>0</v>
      </c>
    </row>
    <row r="113" spans="1:9" x14ac:dyDescent="0.25">
      <c r="A113" s="121">
        <v>109</v>
      </c>
      <c r="B113" s="9">
        <v>3000000316</v>
      </c>
      <c r="C113" s="12" t="s">
        <v>122</v>
      </c>
      <c r="D113" s="9" t="s">
        <v>12</v>
      </c>
      <c r="E113" s="36"/>
      <c r="F113" s="36"/>
      <c r="G113" s="36"/>
      <c r="I113" s="31">
        <v>0</v>
      </c>
    </row>
    <row r="114" spans="1:9" x14ac:dyDescent="0.25">
      <c r="A114" s="121">
        <v>110</v>
      </c>
      <c r="B114" s="9">
        <v>3000000312</v>
      </c>
      <c r="C114" s="12" t="s">
        <v>123</v>
      </c>
      <c r="D114" s="9" t="s">
        <v>12</v>
      </c>
      <c r="E114" s="36"/>
      <c r="F114" s="36"/>
      <c r="G114" s="36"/>
      <c r="I114" s="31">
        <v>0</v>
      </c>
    </row>
    <row r="115" spans="1:9" x14ac:dyDescent="0.25">
      <c r="A115" s="121">
        <v>111</v>
      </c>
      <c r="B115" s="9">
        <v>3000000313</v>
      </c>
      <c r="C115" s="12" t="s">
        <v>124</v>
      </c>
      <c r="D115" s="9" t="s">
        <v>12</v>
      </c>
      <c r="E115" s="36"/>
      <c r="F115" s="36"/>
      <c r="G115" s="36"/>
      <c r="I115" s="31">
        <v>0</v>
      </c>
    </row>
    <row r="116" spans="1:9" x14ac:dyDescent="0.25">
      <c r="A116" s="121">
        <v>112</v>
      </c>
      <c r="B116" s="9">
        <v>3000000314</v>
      </c>
      <c r="C116" s="12" t="s">
        <v>125</v>
      </c>
      <c r="D116" s="9" t="s">
        <v>12</v>
      </c>
      <c r="E116" s="36"/>
      <c r="F116" s="36"/>
      <c r="G116" s="36"/>
      <c r="I116" s="31">
        <v>0</v>
      </c>
    </row>
    <row r="117" spans="1:9" x14ac:dyDescent="0.25">
      <c r="A117" s="121">
        <v>113</v>
      </c>
      <c r="B117" s="9">
        <v>3000000315</v>
      </c>
      <c r="C117" s="12" t="s">
        <v>126</v>
      </c>
      <c r="D117" s="9" t="s">
        <v>12</v>
      </c>
      <c r="E117" s="36"/>
      <c r="F117" s="36"/>
      <c r="G117" s="36"/>
      <c r="I117" s="31">
        <v>0</v>
      </c>
    </row>
    <row r="118" spans="1:9" x14ac:dyDescent="0.25">
      <c r="A118" s="121">
        <v>114</v>
      </c>
      <c r="B118" s="9">
        <v>3000000317</v>
      </c>
      <c r="C118" s="12" t="s">
        <v>127</v>
      </c>
      <c r="D118" s="9" t="s">
        <v>12</v>
      </c>
      <c r="E118" s="36"/>
      <c r="F118" s="36"/>
      <c r="G118" s="36"/>
      <c r="I118" s="31">
        <v>0</v>
      </c>
    </row>
    <row r="119" spans="1:9" x14ac:dyDescent="0.25">
      <c r="A119" s="121">
        <v>115</v>
      </c>
      <c r="B119" s="9">
        <v>3000000318</v>
      </c>
      <c r="C119" s="12" t="s">
        <v>128</v>
      </c>
      <c r="D119" s="9" t="s">
        <v>12</v>
      </c>
      <c r="E119" s="36"/>
      <c r="F119" s="36"/>
      <c r="G119" s="36"/>
      <c r="I119" s="31">
        <v>0</v>
      </c>
    </row>
    <row r="120" spans="1:9" x14ac:dyDescent="0.25">
      <c r="A120" s="121">
        <v>116</v>
      </c>
      <c r="B120" s="9">
        <v>5000000010</v>
      </c>
      <c r="C120" s="12" t="s">
        <v>129</v>
      </c>
      <c r="D120" s="9" t="s">
        <v>12</v>
      </c>
      <c r="E120" s="36"/>
      <c r="F120" s="36"/>
      <c r="G120" s="36"/>
      <c r="I120" s="31">
        <v>0</v>
      </c>
    </row>
    <row r="121" spans="1:9" x14ac:dyDescent="0.25">
      <c r="A121" s="121">
        <v>117</v>
      </c>
      <c r="B121" s="9">
        <v>5000000016</v>
      </c>
      <c r="C121" s="12" t="s">
        <v>130</v>
      </c>
      <c r="D121" s="9" t="s">
        <v>12</v>
      </c>
      <c r="E121" s="36"/>
      <c r="F121" s="36"/>
      <c r="G121" s="36"/>
      <c r="I121" s="31">
        <v>0</v>
      </c>
    </row>
    <row r="122" spans="1:9" x14ac:dyDescent="0.25">
      <c r="A122" s="121">
        <v>118</v>
      </c>
      <c r="B122" s="9">
        <v>5000000015</v>
      </c>
      <c r="C122" s="12" t="s">
        <v>131</v>
      </c>
      <c r="D122" s="9" t="s">
        <v>12</v>
      </c>
      <c r="E122" s="36"/>
      <c r="F122" s="36"/>
      <c r="G122" s="36"/>
      <c r="I122" s="31">
        <v>0</v>
      </c>
    </row>
    <row r="123" spans="1:9" x14ac:dyDescent="0.25">
      <c r="A123" s="121">
        <v>119</v>
      </c>
      <c r="B123" s="9">
        <v>3000002701</v>
      </c>
      <c r="C123" s="12" t="s">
        <v>132</v>
      </c>
      <c r="D123" s="9" t="s">
        <v>12</v>
      </c>
      <c r="E123" s="36"/>
      <c r="F123" s="36"/>
      <c r="G123" s="36"/>
      <c r="I123" s="31">
        <v>0</v>
      </c>
    </row>
    <row r="124" spans="1:9" x14ac:dyDescent="0.25">
      <c r="A124" s="121">
        <v>120</v>
      </c>
      <c r="B124" s="9">
        <v>3000002771</v>
      </c>
      <c r="C124" s="12" t="s">
        <v>133</v>
      </c>
      <c r="D124" s="9" t="s">
        <v>12</v>
      </c>
      <c r="E124" s="36"/>
      <c r="F124" s="36"/>
      <c r="G124" s="36"/>
      <c r="I124" s="31">
        <v>0</v>
      </c>
    </row>
    <row r="125" spans="1:9" x14ac:dyDescent="0.25">
      <c r="A125" s="121">
        <v>121</v>
      </c>
      <c r="B125" s="9">
        <v>3000002777</v>
      </c>
      <c r="C125" s="12" t="s">
        <v>134</v>
      </c>
      <c r="D125" s="9" t="s">
        <v>12</v>
      </c>
      <c r="E125" s="36"/>
      <c r="F125" s="36"/>
      <c r="G125" s="36"/>
      <c r="I125" s="31">
        <v>0</v>
      </c>
    </row>
    <row r="126" spans="1:9" x14ac:dyDescent="0.25">
      <c r="A126" s="121">
        <v>122</v>
      </c>
      <c r="B126" s="9">
        <v>3000002700</v>
      </c>
      <c r="C126" s="12" t="s">
        <v>135</v>
      </c>
      <c r="D126" s="9" t="s">
        <v>12</v>
      </c>
      <c r="E126" s="36"/>
      <c r="F126" s="36"/>
      <c r="G126" s="36"/>
      <c r="I126" s="31">
        <v>0</v>
      </c>
    </row>
    <row r="127" spans="1:9" x14ac:dyDescent="0.25">
      <c r="A127" s="121">
        <v>123</v>
      </c>
      <c r="B127" s="9">
        <v>3000002699</v>
      </c>
      <c r="C127" s="12" t="s">
        <v>136</v>
      </c>
      <c r="D127" s="9" t="s">
        <v>12</v>
      </c>
      <c r="E127" s="36"/>
      <c r="F127" s="36"/>
      <c r="G127" s="36"/>
      <c r="I127" s="31">
        <v>0</v>
      </c>
    </row>
    <row r="128" spans="1:9" x14ac:dyDescent="0.25">
      <c r="A128" s="121">
        <v>124</v>
      </c>
      <c r="B128" s="9">
        <v>3000002698</v>
      </c>
      <c r="C128" s="12" t="s">
        <v>137</v>
      </c>
      <c r="D128" s="9" t="s">
        <v>12</v>
      </c>
      <c r="E128" s="36"/>
      <c r="F128" s="36"/>
      <c r="G128" s="36"/>
      <c r="I128" s="31">
        <v>0</v>
      </c>
    </row>
    <row r="129" spans="1:9" x14ac:dyDescent="0.25">
      <c r="A129" s="121">
        <v>125</v>
      </c>
      <c r="B129" s="9">
        <v>1000006677</v>
      </c>
      <c r="C129" s="12" t="s">
        <v>138</v>
      </c>
      <c r="D129" s="9" t="s">
        <v>12</v>
      </c>
      <c r="E129" s="36"/>
      <c r="F129" s="36"/>
      <c r="G129" s="36"/>
      <c r="I129" s="31">
        <v>0</v>
      </c>
    </row>
    <row r="130" spans="1:9" x14ac:dyDescent="0.25">
      <c r="A130" s="121">
        <v>126</v>
      </c>
      <c r="B130" s="9">
        <v>3000002697</v>
      </c>
      <c r="C130" s="12" t="s">
        <v>139</v>
      </c>
      <c r="D130" s="9" t="s">
        <v>12</v>
      </c>
      <c r="E130" s="36"/>
      <c r="F130" s="36"/>
      <c r="G130" s="36"/>
      <c r="I130" s="31">
        <v>0</v>
      </c>
    </row>
    <row r="131" spans="1:9" x14ac:dyDescent="0.25">
      <c r="A131" s="121">
        <v>127</v>
      </c>
      <c r="B131" s="9">
        <v>1000006676</v>
      </c>
      <c r="C131" s="12" t="s">
        <v>140</v>
      </c>
      <c r="D131" s="9" t="s">
        <v>12</v>
      </c>
      <c r="E131" s="36"/>
      <c r="F131" s="36"/>
      <c r="G131" s="36"/>
      <c r="I131" s="31">
        <v>0</v>
      </c>
    </row>
    <row r="132" spans="1:9" x14ac:dyDescent="0.25">
      <c r="A132" s="121">
        <v>128</v>
      </c>
      <c r="B132" s="9">
        <v>3000002696</v>
      </c>
      <c r="C132" s="12" t="s">
        <v>141</v>
      </c>
      <c r="D132" s="9" t="s">
        <v>12</v>
      </c>
      <c r="E132" s="36"/>
      <c r="F132" s="36"/>
      <c r="G132" s="36"/>
      <c r="I132" s="31">
        <v>0</v>
      </c>
    </row>
    <row r="133" spans="1:9" x14ac:dyDescent="0.25">
      <c r="A133" s="121">
        <v>129</v>
      </c>
      <c r="B133" s="9">
        <v>3000002693</v>
      </c>
      <c r="C133" s="12" t="s">
        <v>142</v>
      </c>
      <c r="D133" s="9" t="s">
        <v>12</v>
      </c>
      <c r="E133" s="36"/>
      <c r="F133" s="36"/>
      <c r="G133" s="36"/>
      <c r="I133" s="31">
        <v>0</v>
      </c>
    </row>
    <row r="134" spans="1:9" x14ac:dyDescent="0.25">
      <c r="A134" s="121">
        <v>130</v>
      </c>
      <c r="B134" s="9" t="s">
        <v>143</v>
      </c>
      <c r="C134" s="12" t="s">
        <v>144</v>
      </c>
      <c r="D134" s="9" t="s">
        <v>12</v>
      </c>
      <c r="E134" s="36"/>
      <c r="F134" s="36"/>
      <c r="G134" s="36"/>
      <c r="I134" s="31">
        <v>0</v>
      </c>
    </row>
    <row r="135" spans="1:9" x14ac:dyDescent="0.25">
      <c r="A135" s="121">
        <v>131</v>
      </c>
      <c r="B135" s="9">
        <v>3000002692</v>
      </c>
      <c r="C135" s="12" t="s">
        <v>145</v>
      </c>
      <c r="D135" s="9" t="s">
        <v>12</v>
      </c>
      <c r="E135" s="36"/>
      <c r="F135" s="36"/>
      <c r="G135" s="36"/>
      <c r="I135" s="31">
        <v>0</v>
      </c>
    </row>
    <row r="136" spans="1:9" x14ac:dyDescent="0.25">
      <c r="A136" s="121">
        <v>132</v>
      </c>
      <c r="B136" s="9">
        <v>3000002334</v>
      </c>
      <c r="C136" s="12" t="s">
        <v>146</v>
      </c>
      <c r="D136" s="9" t="s">
        <v>12</v>
      </c>
      <c r="E136" s="36"/>
      <c r="F136" s="36"/>
      <c r="G136" s="36"/>
      <c r="I136" s="31">
        <v>0</v>
      </c>
    </row>
    <row r="137" spans="1:9" x14ac:dyDescent="0.25">
      <c r="A137" s="121">
        <v>133</v>
      </c>
      <c r="B137" s="9">
        <v>3000003828</v>
      </c>
      <c r="C137" s="12" t="s">
        <v>147</v>
      </c>
      <c r="D137" s="9" t="s">
        <v>12</v>
      </c>
      <c r="E137" s="36"/>
      <c r="F137" s="36"/>
      <c r="G137" s="36"/>
      <c r="I137" s="31">
        <v>0</v>
      </c>
    </row>
    <row r="138" spans="1:9" x14ac:dyDescent="0.25">
      <c r="A138" s="121">
        <v>134</v>
      </c>
      <c r="B138" s="9">
        <v>3000000358</v>
      </c>
      <c r="C138" s="12" t="s">
        <v>148</v>
      </c>
      <c r="D138" s="9" t="s">
        <v>12</v>
      </c>
      <c r="E138" s="36"/>
      <c r="F138" s="36"/>
      <c r="G138" s="36"/>
      <c r="I138" s="31">
        <v>0</v>
      </c>
    </row>
    <row r="139" spans="1:9" x14ac:dyDescent="0.25">
      <c r="A139" s="121">
        <v>135</v>
      </c>
      <c r="B139" s="9">
        <v>3000000359</v>
      </c>
      <c r="C139" s="12" t="s">
        <v>149</v>
      </c>
      <c r="D139" s="9" t="s">
        <v>12</v>
      </c>
      <c r="E139" s="36"/>
      <c r="F139" s="36"/>
      <c r="G139" s="36"/>
      <c r="I139" s="31">
        <v>0</v>
      </c>
    </row>
    <row r="140" spans="1:9" x14ac:dyDescent="0.25">
      <c r="A140" s="121">
        <v>136</v>
      </c>
      <c r="B140" s="9">
        <v>3000000361</v>
      </c>
      <c r="C140" s="12" t="s">
        <v>150</v>
      </c>
      <c r="D140" s="9" t="s">
        <v>12</v>
      </c>
      <c r="E140" s="36"/>
      <c r="F140" s="36"/>
      <c r="G140" s="36"/>
      <c r="I140" s="31">
        <v>0</v>
      </c>
    </row>
    <row r="141" spans="1:9" x14ac:dyDescent="0.25">
      <c r="A141" s="121">
        <v>137</v>
      </c>
      <c r="B141" s="9">
        <v>3000000363</v>
      </c>
      <c r="C141" s="12" t="s">
        <v>151</v>
      </c>
      <c r="D141" s="9" t="s">
        <v>12</v>
      </c>
      <c r="E141" s="36"/>
      <c r="F141" s="36"/>
      <c r="G141" s="36"/>
      <c r="I141" s="31">
        <v>0</v>
      </c>
    </row>
    <row r="142" spans="1:9" x14ac:dyDescent="0.25">
      <c r="A142" s="121">
        <v>138</v>
      </c>
      <c r="B142" s="9">
        <v>3000000364</v>
      </c>
      <c r="C142" s="12" t="s">
        <v>152</v>
      </c>
      <c r="D142" s="9" t="s">
        <v>12</v>
      </c>
      <c r="E142" s="36"/>
      <c r="F142" s="36"/>
      <c r="G142" s="36"/>
      <c r="I142" s="31">
        <v>0</v>
      </c>
    </row>
    <row r="143" spans="1:9" x14ac:dyDescent="0.25">
      <c r="A143" s="121">
        <v>139</v>
      </c>
      <c r="B143" s="9">
        <v>3000001229</v>
      </c>
      <c r="C143" s="12" t="s">
        <v>153</v>
      </c>
      <c r="D143" s="9" t="s">
        <v>12</v>
      </c>
      <c r="E143" s="36"/>
      <c r="F143" s="36"/>
      <c r="G143" s="36"/>
      <c r="I143" s="31">
        <v>0</v>
      </c>
    </row>
    <row r="144" spans="1:9" x14ac:dyDescent="0.25">
      <c r="A144" s="121">
        <v>140</v>
      </c>
      <c r="B144" s="9">
        <v>3000001060</v>
      </c>
      <c r="C144" s="12" t="s">
        <v>154</v>
      </c>
      <c r="D144" s="9" t="s">
        <v>12</v>
      </c>
      <c r="E144" s="36"/>
      <c r="F144" s="36"/>
      <c r="G144" s="36"/>
      <c r="I144" s="31">
        <v>0</v>
      </c>
    </row>
    <row r="145" spans="1:9" x14ac:dyDescent="0.25">
      <c r="A145" s="121">
        <v>141</v>
      </c>
      <c r="B145" s="9">
        <v>3000001061</v>
      </c>
      <c r="C145" s="12" t="s">
        <v>155</v>
      </c>
      <c r="D145" s="9" t="s">
        <v>12</v>
      </c>
      <c r="E145" s="36"/>
      <c r="F145" s="36"/>
      <c r="G145" s="36"/>
      <c r="I145" s="31">
        <v>0</v>
      </c>
    </row>
    <row r="146" spans="1:9" x14ac:dyDescent="0.25">
      <c r="A146" s="121">
        <v>142</v>
      </c>
      <c r="B146" s="9">
        <v>3000001062</v>
      </c>
      <c r="C146" s="12" t="s">
        <v>156</v>
      </c>
      <c r="D146" s="9" t="s">
        <v>12</v>
      </c>
      <c r="E146" s="36"/>
      <c r="F146" s="36"/>
      <c r="G146" s="36"/>
      <c r="I146" s="31">
        <v>0</v>
      </c>
    </row>
    <row r="147" spans="1:9" x14ac:dyDescent="0.25">
      <c r="A147" s="121">
        <v>143</v>
      </c>
      <c r="B147" s="9">
        <v>1000006776</v>
      </c>
      <c r="C147" s="12" t="s">
        <v>157</v>
      </c>
      <c r="D147" s="9" t="s">
        <v>12</v>
      </c>
      <c r="E147" s="36"/>
      <c r="F147" s="36"/>
      <c r="G147" s="36"/>
      <c r="I147" s="31">
        <v>0</v>
      </c>
    </row>
    <row r="148" spans="1:9" x14ac:dyDescent="0.25">
      <c r="A148" s="121">
        <v>144</v>
      </c>
      <c r="B148" s="9">
        <v>3000002634</v>
      </c>
      <c r="C148" s="12" t="s">
        <v>158</v>
      </c>
      <c r="D148" s="9" t="s">
        <v>12</v>
      </c>
      <c r="E148" s="36"/>
      <c r="F148" s="36"/>
      <c r="G148" s="36"/>
      <c r="I148" s="31">
        <v>0</v>
      </c>
    </row>
    <row r="149" spans="1:9" x14ac:dyDescent="0.25">
      <c r="A149" s="121">
        <v>145</v>
      </c>
      <c r="B149" s="9">
        <v>3000002636</v>
      </c>
      <c r="C149" s="12" t="s">
        <v>159</v>
      </c>
      <c r="D149" s="9" t="s">
        <v>12</v>
      </c>
      <c r="E149" s="36"/>
      <c r="F149" s="36"/>
      <c r="G149" s="36"/>
      <c r="I149" s="31">
        <v>0</v>
      </c>
    </row>
    <row r="150" spans="1:9" x14ac:dyDescent="0.25">
      <c r="A150" s="121">
        <v>146</v>
      </c>
      <c r="B150" s="9">
        <v>3000001063</v>
      </c>
      <c r="C150" s="12" t="s">
        <v>160</v>
      </c>
      <c r="D150" s="9" t="s">
        <v>12</v>
      </c>
      <c r="E150" s="36"/>
      <c r="F150" s="36"/>
      <c r="G150" s="36"/>
      <c r="I150" s="31">
        <v>0</v>
      </c>
    </row>
    <row r="151" spans="1:9" x14ac:dyDescent="0.25">
      <c r="A151" s="121">
        <v>147</v>
      </c>
      <c r="B151" s="9">
        <v>3000003972</v>
      </c>
      <c r="C151" s="12" t="s">
        <v>161</v>
      </c>
      <c r="D151" s="9" t="s">
        <v>12</v>
      </c>
      <c r="E151" s="36"/>
      <c r="F151" s="36"/>
      <c r="G151" s="36"/>
      <c r="I151" s="31">
        <v>0</v>
      </c>
    </row>
    <row r="152" spans="1:9" x14ac:dyDescent="0.25">
      <c r="A152" s="121">
        <v>148</v>
      </c>
      <c r="B152" s="9">
        <v>3000001064</v>
      </c>
      <c r="C152" s="12" t="s">
        <v>162</v>
      </c>
      <c r="D152" s="9" t="s">
        <v>12</v>
      </c>
      <c r="E152" s="36"/>
      <c r="F152" s="36"/>
      <c r="G152" s="36"/>
      <c r="I152" s="31">
        <v>0</v>
      </c>
    </row>
    <row r="153" spans="1:9" x14ac:dyDescent="0.25">
      <c r="A153" s="121">
        <v>149</v>
      </c>
      <c r="B153" s="9">
        <v>3000001065</v>
      </c>
      <c r="C153" s="12" t="s">
        <v>163</v>
      </c>
      <c r="D153" s="9" t="s">
        <v>12</v>
      </c>
      <c r="E153" s="36"/>
      <c r="F153" s="36"/>
      <c r="G153" s="36"/>
      <c r="I153" s="31">
        <v>0</v>
      </c>
    </row>
    <row r="154" spans="1:9" x14ac:dyDescent="0.25">
      <c r="A154" s="121">
        <v>150</v>
      </c>
      <c r="B154" s="9">
        <v>5000000009</v>
      </c>
      <c r="C154" s="12" t="s">
        <v>164</v>
      </c>
      <c r="D154" s="9" t="s">
        <v>12</v>
      </c>
      <c r="E154" s="36"/>
      <c r="F154" s="36"/>
      <c r="G154" s="36"/>
      <c r="I154" s="31">
        <v>0</v>
      </c>
    </row>
    <row r="155" spans="1:9" x14ac:dyDescent="0.25">
      <c r="A155" s="121">
        <v>151</v>
      </c>
      <c r="B155" s="9">
        <v>5000000003</v>
      </c>
      <c r="C155" s="12" t="s">
        <v>165</v>
      </c>
      <c r="D155" s="9" t="s">
        <v>12</v>
      </c>
      <c r="E155" s="36"/>
      <c r="F155" s="36"/>
      <c r="G155" s="36"/>
      <c r="I155" s="31">
        <v>0</v>
      </c>
    </row>
    <row r="156" spans="1:9" x14ac:dyDescent="0.25">
      <c r="A156" s="121">
        <v>152</v>
      </c>
      <c r="B156" s="9">
        <v>5000000002</v>
      </c>
      <c r="C156" s="12" t="s">
        <v>166</v>
      </c>
      <c r="D156" s="9" t="s">
        <v>12</v>
      </c>
      <c r="E156" s="36"/>
      <c r="F156" s="36"/>
      <c r="G156" s="36"/>
      <c r="I156" s="31">
        <v>0</v>
      </c>
    </row>
    <row r="157" spans="1:9" x14ac:dyDescent="0.25">
      <c r="A157" s="121">
        <v>153</v>
      </c>
      <c r="B157" s="9">
        <v>5000000001</v>
      </c>
      <c r="C157" s="12" t="s">
        <v>167</v>
      </c>
      <c r="D157" s="9" t="s">
        <v>12</v>
      </c>
      <c r="E157" s="36"/>
      <c r="F157" s="36"/>
      <c r="G157" s="36"/>
      <c r="I157" s="31">
        <v>0</v>
      </c>
    </row>
    <row r="158" spans="1:9" x14ac:dyDescent="0.25">
      <c r="A158" s="121">
        <v>154</v>
      </c>
      <c r="B158" s="9">
        <v>1000006666</v>
      </c>
      <c r="C158" s="12" t="s">
        <v>168</v>
      </c>
      <c r="D158" s="9" t="s">
        <v>12</v>
      </c>
      <c r="E158" s="36"/>
      <c r="F158" s="36"/>
      <c r="G158" s="36"/>
      <c r="I158" s="31">
        <v>0</v>
      </c>
    </row>
    <row r="159" spans="1:9" x14ac:dyDescent="0.25">
      <c r="A159" s="121">
        <v>155</v>
      </c>
      <c r="B159" s="9">
        <v>4000015675</v>
      </c>
      <c r="C159" s="12" t="s">
        <v>169</v>
      </c>
      <c r="D159" s="9" t="s">
        <v>12</v>
      </c>
      <c r="E159" s="36"/>
      <c r="F159" s="36"/>
      <c r="G159" s="36"/>
      <c r="I159" s="31">
        <v>0</v>
      </c>
    </row>
    <row r="160" spans="1:9" x14ac:dyDescent="0.25">
      <c r="A160" s="121">
        <v>156</v>
      </c>
      <c r="B160" s="9">
        <v>4000017082</v>
      </c>
      <c r="C160" s="12" t="s">
        <v>170</v>
      </c>
      <c r="D160" s="9" t="s">
        <v>12</v>
      </c>
      <c r="E160" s="36"/>
      <c r="F160" s="36"/>
      <c r="G160" s="36"/>
      <c r="I160" s="31">
        <v>0</v>
      </c>
    </row>
    <row r="161" spans="1:9" x14ac:dyDescent="0.25">
      <c r="A161" s="121">
        <v>157</v>
      </c>
      <c r="B161" s="9">
        <v>4000017083</v>
      </c>
      <c r="C161" s="12" t="s">
        <v>171</v>
      </c>
      <c r="D161" s="9" t="s">
        <v>12</v>
      </c>
      <c r="E161" s="36"/>
      <c r="F161" s="36"/>
      <c r="G161" s="36"/>
      <c r="I161" s="31">
        <v>0</v>
      </c>
    </row>
    <row r="162" spans="1:9" x14ac:dyDescent="0.25">
      <c r="A162" s="121">
        <v>158</v>
      </c>
      <c r="B162" s="9">
        <v>4000015873</v>
      </c>
      <c r="C162" s="12" t="s">
        <v>172</v>
      </c>
      <c r="D162" s="9" t="s">
        <v>12</v>
      </c>
      <c r="E162" s="36"/>
      <c r="F162" s="36"/>
      <c r="G162" s="36"/>
      <c r="I162" s="31">
        <v>0</v>
      </c>
    </row>
    <row r="163" spans="1:9" x14ac:dyDescent="0.25">
      <c r="A163" s="121">
        <v>159</v>
      </c>
      <c r="B163" s="9">
        <v>4000017084</v>
      </c>
      <c r="C163" s="12" t="s">
        <v>173</v>
      </c>
      <c r="D163" s="9" t="s">
        <v>12</v>
      </c>
      <c r="E163" s="36"/>
      <c r="F163" s="36"/>
      <c r="G163" s="36"/>
      <c r="I163" s="31">
        <v>0</v>
      </c>
    </row>
    <row r="164" spans="1:9" x14ac:dyDescent="0.25">
      <c r="A164" s="31">
        <v>160</v>
      </c>
      <c r="B164" s="22">
        <v>3000003029</v>
      </c>
      <c r="C164" t="s">
        <v>211</v>
      </c>
      <c r="D164" t="s">
        <v>12</v>
      </c>
      <c r="H164" s="22"/>
      <c r="I164" s="31">
        <v>0</v>
      </c>
    </row>
    <row r="165" spans="1:9" x14ac:dyDescent="0.25">
      <c r="A165" s="31">
        <v>161</v>
      </c>
      <c r="B165" s="22">
        <v>3000003029</v>
      </c>
      <c r="C165" t="s">
        <v>297</v>
      </c>
      <c r="D165" t="s">
        <v>12</v>
      </c>
      <c r="I165" s="31">
        <v>0</v>
      </c>
    </row>
    <row r="166" spans="1:9" x14ac:dyDescent="0.25">
      <c r="A166" s="31">
        <v>162</v>
      </c>
      <c r="B166" s="22">
        <v>1000006010</v>
      </c>
      <c r="C166" t="s">
        <v>298</v>
      </c>
      <c r="D166" t="s">
        <v>12</v>
      </c>
      <c r="I166" s="31">
        <v>0</v>
      </c>
    </row>
    <row r="167" spans="1:9" x14ac:dyDescent="0.25">
      <c r="A167" s="31">
        <v>163</v>
      </c>
      <c r="B167" s="22">
        <v>3000001220</v>
      </c>
      <c r="C167" t="s">
        <v>300</v>
      </c>
      <c r="D167" t="s">
        <v>12</v>
      </c>
      <c r="I167" s="31">
        <v>0</v>
      </c>
    </row>
    <row r="168" spans="1:9" x14ac:dyDescent="0.25">
      <c r="A168" s="31">
        <v>164</v>
      </c>
      <c r="B168" s="22">
        <v>3000001221</v>
      </c>
      <c r="C168" t="s">
        <v>302</v>
      </c>
      <c r="D168" t="s">
        <v>12</v>
      </c>
      <c r="I168" s="31">
        <v>0</v>
      </c>
    </row>
    <row r="169" spans="1:9" x14ac:dyDescent="0.25">
      <c r="A169" s="31">
        <v>165</v>
      </c>
      <c r="B169" s="22">
        <v>3000001223</v>
      </c>
      <c r="C169" t="s">
        <v>304</v>
      </c>
      <c r="D169" t="s">
        <v>12</v>
      </c>
      <c r="I169" s="31">
        <v>0</v>
      </c>
    </row>
    <row r="170" spans="1:9" x14ac:dyDescent="0.25">
      <c r="A170" s="31">
        <v>166</v>
      </c>
      <c r="B170" s="22">
        <v>3000001224</v>
      </c>
      <c r="C170" t="s">
        <v>306</v>
      </c>
      <c r="D170" t="s">
        <v>12</v>
      </c>
      <c r="I170" s="31">
        <v>0</v>
      </c>
    </row>
    <row r="171" spans="1:9" x14ac:dyDescent="0.25">
      <c r="A171" s="31">
        <v>167</v>
      </c>
      <c r="B171" s="22" t="s">
        <v>35</v>
      </c>
      <c r="C171" t="s">
        <v>446</v>
      </c>
      <c r="D171" t="s">
        <v>12</v>
      </c>
      <c r="I171" s="31">
        <v>0</v>
      </c>
    </row>
    <row r="172" spans="1:9" x14ac:dyDescent="0.25">
      <c r="A172" s="31">
        <v>168</v>
      </c>
      <c r="B172" s="22">
        <v>3000001802</v>
      </c>
      <c r="C172" t="s">
        <v>448</v>
      </c>
      <c r="D172" t="s">
        <v>12</v>
      </c>
      <c r="I172" s="31">
        <v>0</v>
      </c>
    </row>
    <row r="173" spans="1:9" x14ac:dyDescent="0.25">
      <c r="A173" s="31">
        <v>169</v>
      </c>
      <c r="B173" s="22" t="s">
        <v>35</v>
      </c>
      <c r="C173" t="s">
        <v>449</v>
      </c>
      <c r="D173" t="s">
        <v>12</v>
      </c>
      <c r="I173" s="31">
        <v>0</v>
      </c>
    </row>
    <row r="174" spans="1:9" x14ac:dyDescent="0.25">
      <c r="A174" s="31">
        <v>170</v>
      </c>
      <c r="B174" s="22" t="s">
        <v>35</v>
      </c>
      <c r="C174" t="s">
        <v>450</v>
      </c>
      <c r="D174" t="s">
        <v>12</v>
      </c>
      <c r="I174" s="31">
        <v>0</v>
      </c>
    </row>
    <row r="175" spans="1:9" x14ac:dyDescent="0.25">
      <c r="A175" s="31">
        <v>171</v>
      </c>
      <c r="B175" s="22" t="s">
        <v>35</v>
      </c>
      <c r="C175" t="s">
        <v>510</v>
      </c>
      <c r="D175" t="s">
        <v>12</v>
      </c>
      <c r="I175" s="31">
        <v>0</v>
      </c>
    </row>
    <row r="176" spans="1:9" x14ac:dyDescent="0.25">
      <c r="A176" s="31">
        <v>172</v>
      </c>
      <c r="B176" s="22" t="s">
        <v>35</v>
      </c>
      <c r="C176" t="s">
        <v>516</v>
      </c>
      <c r="D176" t="s">
        <v>12</v>
      </c>
      <c r="I176" s="31">
        <v>0</v>
      </c>
    </row>
    <row r="177" spans="1:9" x14ac:dyDescent="0.25">
      <c r="A177" s="31">
        <v>173</v>
      </c>
      <c r="B177" s="22" t="s">
        <v>35</v>
      </c>
      <c r="C177" t="s">
        <v>600</v>
      </c>
      <c r="D177" t="s">
        <v>12</v>
      </c>
      <c r="I177" s="31">
        <v>0</v>
      </c>
    </row>
    <row r="178" spans="1:9" x14ac:dyDescent="0.25">
      <c r="A178" s="31">
        <v>174</v>
      </c>
      <c r="B178" s="22" t="s">
        <v>35</v>
      </c>
      <c r="C178" t="s">
        <v>601</v>
      </c>
      <c r="D178" t="s">
        <v>12</v>
      </c>
      <c r="I178" s="31">
        <v>0</v>
      </c>
    </row>
    <row r="179" spans="1:9" x14ac:dyDescent="0.25">
      <c r="A179" s="31">
        <v>175</v>
      </c>
      <c r="B179" s="22" t="s">
        <v>35</v>
      </c>
      <c r="C179" t="s">
        <v>1383</v>
      </c>
      <c r="D179" t="s">
        <v>12</v>
      </c>
      <c r="I179" s="31">
        <v>0</v>
      </c>
    </row>
  </sheetData>
  <mergeCells count="3">
    <mergeCell ref="A1:A2"/>
    <mergeCell ref="B1:B2"/>
    <mergeCell ref="C1:C2"/>
  </mergeCells>
  <conditionalFormatting sqref="A195:XFD195">
    <cfRule type="expression" dxfId="355" priority="1" stopIfTrue="1">
      <formula>AND(ROW()&gt;=195,ROW()&lt;=195)</formula>
    </cfRule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S1048576"/>
  <sheetViews>
    <sheetView workbookViewId="0">
      <pane xSplit="5" ySplit="4" topLeftCell="H18" activePane="bottomRight" state="frozen"/>
      <selection pane="topRight" activeCell="F1" sqref="F1"/>
      <selection pane="bottomLeft" activeCell="A5" sqref="A5"/>
      <selection pane="bottomRight" activeCell="P31" sqref="P31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8.140625" customWidth="1"/>
    <col min="6" max="7" width="11.140625" style="22" customWidth="1"/>
    <col min="8" max="8" width="12.5703125" customWidth="1"/>
    <col min="9" max="12" width="12.5703125" style="22" customWidth="1"/>
    <col min="13" max="13" width="11.140625" style="22" customWidth="1"/>
    <col min="14" max="14" width="11.28515625" style="22" bestFit="1" customWidth="1"/>
    <col min="15" max="15" width="11.28515625" style="22" customWidth="1"/>
    <col min="16" max="16" width="9.85546875" style="22" customWidth="1"/>
    <col min="17" max="17" width="11.28515625" style="22" customWidth="1"/>
    <col min="18" max="18" width="9.140625" customWidth="1"/>
    <col min="19" max="19" width="9.140625" style="31"/>
  </cols>
  <sheetData>
    <row r="1" spans="1:19" ht="27" thickBot="1" x14ac:dyDescent="0.3">
      <c r="A1" s="149" t="s">
        <v>1</v>
      </c>
      <c r="B1" s="149" t="s">
        <v>174</v>
      </c>
      <c r="C1" s="149" t="s">
        <v>175</v>
      </c>
      <c r="D1" s="80">
        <f>COUNTA(F1:XFD1)-1</f>
        <v>12</v>
      </c>
      <c r="E1" s="27" t="s">
        <v>188</v>
      </c>
      <c r="F1" s="26" t="s">
        <v>518</v>
      </c>
      <c r="G1" s="26" t="s">
        <v>518</v>
      </c>
      <c r="H1" s="26" t="s">
        <v>518</v>
      </c>
      <c r="I1" s="26" t="s">
        <v>518</v>
      </c>
      <c r="J1" s="26" t="s">
        <v>518</v>
      </c>
      <c r="K1" s="26" t="s">
        <v>518</v>
      </c>
      <c r="L1" s="26" t="s">
        <v>518</v>
      </c>
      <c r="M1" s="26" t="s">
        <v>518</v>
      </c>
      <c r="N1" s="26" t="s">
        <v>518</v>
      </c>
      <c r="O1" s="26" t="s">
        <v>518</v>
      </c>
      <c r="P1" s="26" t="s">
        <v>518</v>
      </c>
      <c r="Q1" s="26" t="s">
        <v>518</v>
      </c>
      <c r="R1" s="26"/>
      <c r="S1" s="29" t="s">
        <v>177</v>
      </c>
    </row>
    <row r="2" spans="1:19" ht="29.25" customHeight="1" thickBot="1" x14ac:dyDescent="0.3">
      <c r="A2" s="150"/>
      <c r="B2" s="150"/>
      <c r="C2" s="150"/>
      <c r="D2" s="4" t="s">
        <v>176</v>
      </c>
      <c r="E2" s="4" t="s">
        <v>186</v>
      </c>
      <c r="F2" s="25" t="s">
        <v>514</v>
      </c>
      <c r="G2" s="25" t="s">
        <v>515</v>
      </c>
      <c r="H2" s="25" t="s">
        <v>532</v>
      </c>
      <c r="I2" s="25" t="s">
        <v>533</v>
      </c>
      <c r="J2" s="25" t="s">
        <v>542</v>
      </c>
      <c r="K2" s="25" t="s">
        <v>543</v>
      </c>
      <c r="L2" s="25" t="s">
        <v>544</v>
      </c>
      <c r="M2" s="25" t="s">
        <v>1384</v>
      </c>
      <c r="N2" s="25" t="s">
        <v>1425</v>
      </c>
      <c r="O2" s="25" t="s">
        <v>1682</v>
      </c>
      <c r="P2" s="25" t="s">
        <v>1679</v>
      </c>
      <c r="Q2" s="25" t="s">
        <v>1680</v>
      </c>
      <c r="R2" s="25"/>
      <c r="S2" s="29"/>
    </row>
    <row r="3" spans="1:19" s="28" customFormat="1" ht="12" customHeight="1" x14ac:dyDescent="0.2">
      <c r="A3" s="26"/>
      <c r="B3" s="26"/>
      <c r="C3" s="26" t="s">
        <v>10</v>
      </c>
      <c r="D3" s="26"/>
      <c r="E3" s="38" t="s">
        <v>187</v>
      </c>
      <c r="F3" s="34">
        <v>45908</v>
      </c>
      <c r="G3" s="34">
        <v>45908</v>
      </c>
      <c r="H3" s="34">
        <v>45910</v>
      </c>
      <c r="I3" s="34">
        <v>45910</v>
      </c>
      <c r="J3" s="34">
        <v>45911</v>
      </c>
      <c r="K3" s="34">
        <v>45911</v>
      </c>
      <c r="L3" s="34">
        <v>45911</v>
      </c>
      <c r="M3" s="34">
        <v>45981</v>
      </c>
      <c r="N3" s="34">
        <v>45989</v>
      </c>
      <c r="O3" s="34">
        <v>46040</v>
      </c>
      <c r="P3" s="27">
        <v>46041</v>
      </c>
      <c r="Q3" s="34">
        <v>46042</v>
      </c>
      <c r="R3" s="27"/>
      <c r="S3" s="30"/>
    </row>
    <row r="4" spans="1:19" ht="12" customHeight="1" x14ac:dyDescent="0.25">
      <c r="A4" s="23"/>
      <c r="B4" s="23"/>
      <c r="C4" s="24"/>
      <c r="D4" s="23"/>
      <c r="E4" s="23"/>
      <c r="F4" s="32"/>
      <c r="G4" s="32"/>
      <c r="H4" s="23"/>
      <c r="I4" s="32"/>
      <c r="J4" s="32"/>
      <c r="K4" s="32"/>
      <c r="L4" s="32"/>
      <c r="M4" s="32" t="s">
        <v>1388</v>
      </c>
      <c r="N4" s="32" t="s">
        <v>1426</v>
      </c>
      <c r="O4" s="32"/>
      <c r="P4" s="39"/>
      <c r="Q4" s="32"/>
      <c r="R4" s="32"/>
      <c r="S4" s="33"/>
    </row>
    <row r="5" spans="1:19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H5" s="35"/>
      <c r="S5" s="31">
        <v>0</v>
      </c>
    </row>
    <row r="6" spans="1:19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H6" s="35"/>
      <c r="P6" s="22">
        <v>1</v>
      </c>
      <c r="S6" s="31">
        <v>1</v>
      </c>
    </row>
    <row r="7" spans="1:19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H7" s="35"/>
      <c r="S7" s="31">
        <v>0</v>
      </c>
    </row>
    <row r="8" spans="1:19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H8" s="35"/>
      <c r="P8" s="22">
        <v>2</v>
      </c>
      <c r="S8" s="31">
        <v>2</v>
      </c>
    </row>
    <row r="9" spans="1:19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G9" s="22">
        <v>2</v>
      </c>
      <c r="H9" s="35"/>
      <c r="P9" s="22">
        <v>2</v>
      </c>
      <c r="S9" s="31">
        <v>4</v>
      </c>
    </row>
    <row r="10" spans="1:19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H10" s="36"/>
      <c r="S10" s="31">
        <v>0</v>
      </c>
    </row>
    <row r="11" spans="1:19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G11" s="22">
        <v>2</v>
      </c>
      <c r="H11" s="36"/>
      <c r="S11" s="31">
        <v>2</v>
      </c>
    </row>
    <row r="12" spans="1:19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H12" s="36"/>
      <c r="S12" s="31">
        <v>0</v>
      </c>
    </row>
    <row r="13" spans="1:19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H13" s="36"/>
      <c r="S13" s="31">
        <v>0</v>
      </c>
    </row>
    <row r="14" spans="1:19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H14" s="36"/>
      <c r="S14" s="31">
        <v>0</v>
      </c>
    </row>
    <row r="15" spans="1:19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H15" s="36"/>
      <c r="S15" s="31">
        <v>0</v>
      </c>
    </row>
    <row r="16" spans="1:19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H16" s="36"/>
      <c r="S16" s="31">
        <v>0</v>
      </c>
    </row>
    <row r="17" spans="1:19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H17" s="36"/>
      <c r="S17" s="31">
        <v>0</v>
      </c>
    </row>
    <row r="18" spans="1:19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H18" s="36"/>
      <c r="S18" s="31">
        <v>0</v>
      </c>
    </row>
    <row r="19" spans="1:19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G19" s="22">
        <v>10</v>
      </c>
      <c r="H19" s="36">
        <v>30</v>
      </c>
      <c r="L19" s="22">
        <v>50</v>
      </c>
      <c r="O19" s="22">
        <v>10</v>
      </c>
      <c r="S19" s="31">
        <v>100</v>
      </c>
    </row>
    <row r="20" spans="1:19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F20" s="22">
        <v>50</v>
      </c>
      <c r="H20" s="36"/>
      <c r="M20" s="22">
        <v>100</v>
      </c>
      <c r="P20" s="22">
        <v>75</v>
      </c>
      <c r="S20" s="31">
        <v>225</v>
      </c>
    </row>
    <row r="21" spans="1:19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H21" s="36"/>
      <c r="I21" s="22">
        <v>4</v>
      </c>
      <c r="S21" s="31">
        <v>4</v>
      </c>
    </row>
    <row r="22" spans="1:19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H22" s="36"/>
      <c r="S22" s="31">
        <v>0</v>
      </c>
    </row>
    <row r="23" spans="1:19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H23" s="36"/>
      <c r="S23" s="31">
        <v>0</v>
      </c>
    </row>
    <row r="24" spans="1:19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H24" s="36"/>
      <c r="M24" s="22">
        <v>6</v>
      </c>
      <c r="S24" s="31">
        <v>6</v>
      </c>
    </row>
    <row r="25" spans="1:19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H25" s="36"/>
      <c r="M25" s="22">
        <v>8</v>
      </c>
      <c r="S25" s="31">
        <v>8</v>
      </c>
    </row>
    <row r="26" spans="1:19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H26" s="36"/>
      <c r="S26" s="31">
        <v>0</v>
      </c>
    </row>
    <row r="27" spans="1:19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G27" s="22">
        <v>100</v>
      </c>
      <c r="H27" s="36">
        <v>200</v>
      </c>
      <c r="K27" s="22">
        <v>200</v>
      </c>
      <c r="M27" s="22">
        <v>324</v>
      </c>
      <c r="O27" s="22">
        <v>24</v>
      </c>
      <c r="P27" s="22">
        <v>250</v>
      </c>
      <c r="Q27" s="22">
        <v>275</v>
      </c>
      <c r="S27" s="31">
        <v>1373</v>
      </c>
    </row>
    <row r="28" spans="1:19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H28" s="36"/>
      <c r="S28" s="31">
        <v>0</v>
      </c>
    </row>
    <row r="29" spans="1:19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H29" s="36"/>
      <c r="S29" s="31">
        <v>0</v>
      </c>
    </row>
    <row r="30" spans="1:19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H30" s="36"/>
      <c r="S30" s="31">
        <v>0</v>
      </c>
    </row>
    <row r="31" spans="1:19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H31" s="36"/>
      <c r="S31" s="31">
        <v>0</v>
      </c>
    </row>
    <row r="32" spans="1:19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G32" s="22">
        <v>4</v>
      </c>
      <c r="H32" s="36"/>
      <c r="I32" s="22">
        <v>4</v>
      </c>
      <c r="S32" s="31">
        <v>8</v>
      </c>
    </row>
    <row r="33" spans="1:19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H33" s="36"/>
      <c r="S33" s="31">
        <v>0</v>
      </c>
    </row>
    <row r="34" spans="1:19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H34" s="36"/>
      <c r="S34" s="31">
        <v>0</v>
      </c>
    </row>
    <row r="35" spans="1:19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H35" s="36"/>
      <c r="S35" s="31">
        <v>0</v>
      </c>
    </row>
    <row r="36" spans="1:19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H36" s="36"/>
      <c r="S36" s="31">
        <v>0</v>
      </c>
    </row>
    <row r="37" spans="1:19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H37" s="36"/>
      <c r="S37" s="31">
        <v>0</v>
      </c>
    </row>
    <row r="38" spans="1:19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H38" s="36"/>
      <c r="S38" s="31">
        <v>0</v>
      </c>
    </row>
    <row r="39" spans="1:19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H39" s="36"/>
      <c r="S39" s="31">
        <v>0</v>
      </c>
    </row>
    <row r="40" spans="1:19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H40" s="36"/>
      <c r="S40" s="31">
        <v>0</v>
      </c>
    </row>
    <row r="41" spans="1:19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H41" s="36"/>
      <c r="S41" s="31">
        <v>0</v>
      </c>
    </row>
    <row r="42" spans="1:19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H42" s="36"/>
      <c r="S42" s="31">
        <v>0</v>
      </c>
    </row>
    <row r="43" spans="1:19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H43" s="36"/>
      <c r="S43" s="31">
        <v>0</v>
      </c>
    </row>
    <row r="44" spans="1:19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H44" s="36"/>
      <c r="S44" s="31">
        <v>0</v>
      </c>
    </row>
    <row r="45" spans="1:19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H45" s="36"/>
      <c r="S45" s="31">
        <v>0</v>
      </c>
    </row>
    <row r="46" spans="1:19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H46" s="36"/>
      <c r="S46" s="31">
        <v>0</v>
      </c>
    </row>
    <row r="47" spans="1:19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H47" s="36"/>
      <c r="S47" s="31">
        <v>0</v>
      </c>
    </row>
    <row r="48" spans="1:19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H48" s="36"/>
      <c r="S48" s="31">
        <v>0</v>
      </c>
    </row>
    <row r="49" spans="1:19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H49" s="36"/>
      <c r="S49" s="31">
        <v>0</v>
      </c>
    </row>
    <row r="50" spans="1:19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H50" s="36"/>
      <c r="S50" s="31">
        <v>0</v>
      </c>
    </row>
    <row r="51" spans="1:19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H51" s="36"/>
      <c r="S51" s="31">
        <v>0</v>
      </c>
    </row>
    <row r="52" spans="1:19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H52" s="36"/>
      <c r="S52" s="31">
        <v>0</v>
      </c>
    </row>
    <row r="53" spans="1:19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H53" s="36"/>
      <c r="S53" s="31">
        <v>0</v>
      </c>
    </row>
    <row r="54" spans="1:19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F54" s="22">
        <v>50</v>
      </c>
      <c r="H54" s="36">
        <v>50</v>
      </c>
      <c r="K54" s="22">
        <v>50</v>
      </c>
      <c r="M54" s="22">
        <v>100</v>
      </c>
      <c r="P54" s="22">
        <v>150</v>
      </c>
      <c r="S54" s="31">
        <v>400</v>
      </c>
    </row>
    <row r="55" spans="1:19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H55" s="36"/>
      <c r="S55" s="31">
        <v>0</v>
      </c>
    </row>
    <row r="56" spans="1:19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H56" s="36"/>
      <c r="S56" s="31">
        <v>0</v>
      </c>
    </row>
    <row r="57" spans="1:19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H57" s="36"/>
      <c r="S57" s="31">
        <v>0</v>
      </c>
    </row>
    <row r="58" spans="1:19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H58" s="36"/>
      <c r="S58" s="31">
        <v>0</v>
      </c>
    </row>
    <row r="59" spans="1:19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H59" s="36"/>
      <c r="S59" s="31">
        <v>0</v>
      </c>
    </row>
    <row r="60" spans="1:19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H60" s="36"/>
      <c r="S60" s="31">
        <v>0</v>
      </c>
    </row>
    <row r="61" spans="1:19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H61" s="36"/>
      <c r="S61" s="31">
        <v>0</v>
      </c>
    </row>
    <row r="62" spans="1:19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H62" s="36"/>
      <c r="S62" s="31">
        <v>0</v>
      </c>
    </row>
    <row r="63" spans="1:19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H63" s="36"/>
      <c r="S63" s="31">
        <v>0</v>
      </c>
    </row>
    <row r="64" spans="1:19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H64" s="36"/>
      <c r="S64" s="31">
        <v>0</v>
      </c>
    </row>
    <row r="65" spans="1:19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H65" s="36"/>
      <c r="S65" s="31">
        <v>0</v>
      </c>
    </row>
    <row r="66" spans="1:19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H66" s="36"/>
      <c r="S66" s="31">
        <v>0</v>
      </c>
    </row>
    <row r="67" spans="1:19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F67" s="22">
        <v>10</v>
      </c>
      <c r="H67" s="36">
        <v>15</v>
      </c>
      <c r="K67" s="22">
        <v>15</v>
      </c>
      <c r="M67" s="22">
        <v>20</v>
      </c>
      <c r="P67" s="22">
        <v>50</v>
      </c>
      <c r="S67" s="31">
        <v>110</v>
      </c>
    </row>
    <row r="68" spans="1:19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H68" s="36"/>
      <c r="M68" s="22">
        <v>8</v>
      </c>
      <c r="O68" s="22">
        <v>6</v>
      </c>
      <c r="S68" s="31">
        <v>14</v>
      </c>
    </row>
    <row r="69" spans="1:19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F69" s="22">
        <v>10</v>
      </c>
      <c r="H69" s="36"/>
      <c r="M69" s="22">
        <v>23</v>
      </c>
      <c r="O69" s="22">
        <v>13</v>
      </c>
      <c r="P69" s="22">
        <v>25</v>
      </c>
      <c r="Q69" s="22">
        <v>19</v>
      </c>
      <c r="S69" s="31">
        <v>90</v>
      </c>
    </row>
    <row r="70" spans="1:19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F70" s="22">
        <v>20</v>
      </c>
      <c r="H70" s="36">
        <v>25</v>
      </c>
      <c r="K70" s="22">
        <v>25</v>
      </c>
      <c r="M70" s="22">
        <v>40</v>
      </c>
      <c r="P70" s="22">
        <v>50</v>
      </c>
      <c r="S70" s="31">
        <v>160</v>
      </c>
    </row>
    <row r="71" spans="1:19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H71" s="36">
        <v>25</v>
      </c>
      <c r="K71" s="22">
        <v>25</v>
      </c>
      <c r="N71" s="22">
        <v>100</v>
      </c>
      <c r="S71" s="31">
        <v>150</v>
      </c>
    </row>
    <row r="72" spans="1:19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F72" s="22">
        <v>75</v>
      </c>
      <c r="H72" s="36"/>
      <c r="K72" s="22">
        <v>75</v>
      </c>
      <c r="M72" s="22">
        <v>50</v>
      </c>
      <c r="P72" s="22">
        <v>100</v>
      </c>
      <c r="Q72" s="22">
        <v>1</v>
      </c>
      <c r="S72" s="31">
        <v>301</v>
      </c>
    </row>
    <row r="73" spans="1:19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H73" s="36"/>
      <c r="S73" s="31">
        <v>0</v>
      </c>
    </row>
    <row r="74" spans="1:19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H74" s="36"/>
      <c r="S74" s="31">
        <v>0</v>
      </c>
    </row>
    <row r="75" spans="1:19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H75" s="36"/>
      <c r="S75" s="31">
        <v>0</v>
      </c>
    </row>
    <row r="76" spans="1:19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H76" s="36"/>
      <c r="S76" s="31">
        <v>0</v>
      </c>
    </row>
    <row r="77" spans="1:19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H77" s="36"/>
      <c r="S77" s="31">
        <v>0</v>
      </c>
    </row>
    <row r="78" spans="1:19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H78" s="36"/>
      <c r="S78" s="31">
        <v>0</v>
      </c>
    </row>
    <row r="79" spans="1:19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H79" s="36"/>
      <c r="I79" s="22">
        <v>20</v>
      </c>
      <c r="L79" s="22">
        <v>20</v>
      </c>
      <c r="S79" s="31">
        <v>40</v>
      </c>
    </row>
    <row r="80" spans="1:19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H80" s="36"/>
      <c r="S80" s="31">
        <v>0</v>
      </c>
    </row>
    <row r="81" spans="1:19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H81" s="36"/>
      <c r="S81" s="31">
        <v>0</v>
      </c>
    </row>
    <row r="82" spans="1:19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H82" s="36"/>
      <c r="I82" s="22">
        <v>100</v>
      </c>
      <c r="L82" s="22">
        <v>150</v>
      </c>
      <c r="S82" s="31">
        <v>250</v>
      </c>
    </row>
    <row r="83" spans="1:19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H83" s="36"/>
      <c r="S83" s="31">
        <v>0</v>
      </c>
    </row>
    <row r="84" spans="1:19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H84" s="36"/>
      <c r="S84" s="31">
        <v>0</v>
      </c>
    </row>
    <row r="85" spans="1:19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H85" s="36"/>
      <c r="I85" s="22">
        <v>100</v>
      </c>
      <c r="L85" s="22">
        <v>250</v>
      </c>
      <c r="S85" s="31">
        <v>350</v>
      </c>
    </row>
    <row r="86" spans="1:19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H86" s="36"/>
      <c r="S86" s="31">
        <v>0</v>
      </c>
    </row>
    <row r="87" spans="1:19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H87" s="36"/>
      <c r="S87" s="31">
        <v>0</v>
      </c>
    </row>
    <row r="88" spans="1:19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H88" s="36"/>
      <c r="S88" s="31">
        <v>0</v>
      </c>
    </row>
    <row r="89" spans="1:19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H89" s="36"/>
      <c r="S89" s="31">
        <v>0</v>
      </c>
    </row>
    <row r="90" spans="1:19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H90" s="36"/>
      <c r="S90" s="31">
        <v>0</v>
      </c>
    </row>
    <row r="91" spans="1:19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H91" s="36"/>
      <c r="S91" s="31">
        <v>0</v>
      </c>
    </row>
    <row r="92" spans="1:19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H92" s="36"/>
      <c r="S92" s="31">
        <v>0</v>
      </c>
    </row>
    <row r="93" spans="1:19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H93" s="36"/>
      <c r="S93" s="31">
        <v>0</v>
      </c>
    </row>
    <row r="94" spans="1:19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H94" s="36"/>
      <c r="S94" s="31">
        <v>0</v>
      </c>
    </row>
    <row r="95" spans="1:19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H95" s="36"/>
      <c r="S95" s="31">
        <v>0</v>
      </c>
    </row>
    <row r="96" spans="1:19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H96" s="36"/>
      <c r="S96" s="31">
        <v>0</v>
      </c>
    </row>
    <row r="97" spans="1:19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H97" s="36"/>
      <c r="S97" s="31">
        <v>0</v>
      </c>
    </row>
    <row r="98" spans="1:19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H98" s="36"/>
      <c r="S98" s="31">
        <v>0</v>
      </c>
    </row>
    <row r="99" spans="1:19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H99" s="36"/>
      <c r="S99" s="31">
        <v>0</v>
      </c>
    </row>
    <row r="100" spans="1:19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H100" s="36"/>
      <c r="S100" s="31">
        <v>0</v>
      </c>
    </row>
    <row r="101" spans="1:19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H101" s="36"/>
      <c r="S101" s="31">
        <v>0</v>
      </c>
    </row>
    <row r="102" spans="1:19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H102" s="36"/>
      <c r="S102" s="31">
        <v>0</v>
      </c>
    </row>
    <row r="103" spans="1:19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H103" s="36"/>
      <c r="S103" s="31">
        <v>0</v>
      </c>
    </row>
    <row r="104" spans="1:19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H104" s="36"/>
      <c r="S104" s="31">
        <v>0</v>
      </c>
    </row>
    <row r="105" spans="1:19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H105" s="36"/>
      <c r="S105" s="31">
        <v>0</v>
      </c>
    </row>
    <row r="106" spans="1:19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F106" s="22">
        <v>250</v>
      </c>
      <c r="H106" s="36">
        <v>300</v>
      </c>
      <c r="K106" s="22">
        <v>300</v>
      </c>
      <c r="M106" s="22">
        <v>300</v>
      </c>
      <c r="P106" s="22">
        <v>800</v>
      </c>
      <c r="Q106" s="22">
        <v>500</v>
      </c>
      <c r="S106" s="31">
        <v>2450</v>
      </c>
    </row>
    <row r="107" spans="1:19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H107" s="36"/>
      <c r="S107" s="31">
        <v>0</v>
      </c>
    </row>
    <row r="108" spans="1:19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H108" s="36"/>
      <c r="S108" s="31">
        <v>0</v>
      </c>
    </row>
    <row r="109" spans="1:19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F109" s="22">
        <v>500</v>
      </c>
      <c r="H109" s="36">
        <v>500</v>
      </c>
      <c r="K109" s="22">
        <v>112</v>
      </c>
      <c r="M109" s="22">
        <v>500</v>
      </c>
      <c r="N109" s="22">
        <v>36</v>
      </c>
      <c r="O109" s="22">
        <v>1852</v>
      </c>
      <c r="Q109" s="22">
        <v>1828</v>
      </c>
      <c r="S109" s="31">
        <v>5328</v>
      </c>
    </row>
    <row r="110" spans="1:19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H110" s="36"/>
      <c r="S110" s="31">
        <v>0</v>
      </c>
    </row>
    <row r="111" spans="1:19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H111" s="36"/>
      <c r="I111" s="22">
        <v>100</v>
      </c>
      <c r="S111" s="31">
        <v>100</v>
      </c>
    </row>
    <row r="112" spans="1:19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H112" s="36"/>
      <c r="I112" s="22">
        <v>100</v>
      </c>
      <c r="S112" s="31">
        <v>100</v>
      </c>
    </row>
    <row r="113" spans="1:19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H113" s="36"/>
      <c r="S113" s="31">
        <v>0</v>
      </c>
    </row>
    <row r="114" spans="1:19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H114" s="36"/>
      <c r="I114" s="22">
        <v>15</v>
      </c>
      <c r="L114" s="22">
        <v>15</v>
      </c>
      <c r="S114" s="31">
        <v>30</v>
      </c>
    </row>
    <row r="115" spans="1:19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H115" s="36"/>
      <c r="S115" s="31">
        <v>0</v>
      </c>
    </row>
    <row r="116" spans="1:19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H116" s="36"/>
      <c r="I116" s="22">
        <v>5</v>
      </c>
      <c r="L116" s="22">
        <v>50</v>
      </c>
      <c r="S116" s="31">
        <v>55</v>
      </c>
    </row>
    <row r="117" spans="1:19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H117" s="36"/>
      <c r="S117" s="31">
        <v>0</v>
      </c>
    </row>
    <row r="118" spans="1:19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H118" s="36"/>
      <c r="S118" s="31">
        <v>0</v>
      </c>
    </row>
    <row r="119" spans="1:19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H119" s="36"/>
      <c r="I119" s="22">
        <v>48</v>
      </c>
      <c r="L119" s="22">
        <v>200</v>
      </c>
      <c r="S119" s="31">
        <v>248</v>
      </c>
    </row>
    <row r="120" spans="1:19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H120" s="36"/>
      <c r="S120" s="31">
        <v>0</v>
      </c>
    </row>
    <row r="121" spans="1:19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H121" s="36"/>
      <c r="S121" s="31">
        <v>0</v>
      </c>
    </row>
    <row r="122" spans="1:19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H122" s="36"/>
      <c r="S122" s="31">
        <v>0</v>
      </c>
    </row>
    <row r="123" spans="1:19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H123" s="36"/>
      <c r="Q123" s="22">
        <v>25</v>
      </c>
      <c r="S123" s="31">
        <v>25</v>
      </c>
    </row>
    <row r="124" spans="1:19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F124" s="22">
        <v>10</v>
      </c>
      <c r="H124" s="36">
        <v>10</v>
      </c>
      <c r="K124" s="22">
        <v>20</v>
      </c>
      <c r="M124" s="22">
        <v>25</v>
      </c>
      <c r="N124" s="22">
        <v>100</v>
      </c>
      <c r="O124" s="22">
        <v>50</v>
      </c>
      <c r="S124" s="31">
        <v>215</v>
      </c>
    </row>
    <row r="125" spans="1:19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F125" s="22">
        <v>10</v>
      </c>
      <c r="H125" s="36">
        <v>10</v>
      </c>
      <c r="K125" s="22">
        <v>20</v>
      </c>
      <c r="M125" s="22">
        <v>25</v>
      </c>
      <c r="N125" s="22">
        <v>100</v>
      </c>
      <c r="O125" s="22">
        <v>50</v>
      </c>
      <c r="Q125" s="22">
        <v>25</v>
      </c>
      <c r="S125" s="31">
        <v>240</v>
      </c>
    </row>
    <row r="126" spans="1:19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F126" s="22">
        <v>20</v>
      </c>
      <c r="H126" s="36">
        <v>10</v>
      </c>
      <c r="K126" s="22">
        <v>40</v>
      </c>
      <c r="M126" s="22">
        <v>70</v>
      </c>
      <c r="N126" s="22">
        <v>28</v>
      </c>
      <c r="O126" s="22">
        <v>182</v>
      </c>
      <c r="Q126" s="22">
        <v>100</v>
      </c>
      <c r="S126" s="31">
        <v>450</v>
      </c>
    </row>
    <row r="127" spans="1:19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F127" s="22">
        <v>30</v>
      </c>
      <c r="H127" s="36">
        <v>10</v>
      </c>
      <c r="K127" s="22">
        <v>30</v>
      </c>
      <c r="M127" s="22">
        <v>56</v>
      </c>
      <c r="N127" s="22">
        <v>300</v>
      </c>
      <c r="O127" s="22">
        <v>108</v>
      </c>
      <c r="Q127" s="22">
        <v>206</v>
      </c>
      <c r="S127" s="31">
        <v>740</v>
      </c>
    </row>
    <row r="128" spans="1:19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F128" s="22">
        <v>30</v>
      </c>
      <c r="H128" s="36">
        <v>20</v>
      </c>
      <c r="K128" s="22">
        <v>30</v>
      </c>
      <c r="M128" s="22">
        <v>50</v>
      </c>
      <c r="N128" s="22">
        <v>300</v>
      </c>
      <c r="O128" s="22">
        <v>100</v>
      </c>
      <c r="P128" s="22">
        <v>200</v>
      </c>
      <c r="Q128" s="22">
        <v>298</v>
      </c>
      <c r="S128" s="31">
        <v>1028</v>
      </c>
    </row>
    <row r="129" spans="1:19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H129" s="36">
        <v>30</v>
      </c>
      <c r="K129" s="22">
        <v>40</v>
      </c>
      <c r="M129" s="22">
        <v>50</v>
      </c>
      <c r="O129" s="22">
        <v>50</v>
      </c>
      <c r="S129" s="31">
        <v>170</v>
      </c>
    </row>
    <row r="130" spans="1:19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F130" s="22">
        <v>30</v>
      </c>
      <c r="H130" s="36">
        <v>30</v>
      </c>
      <c r="K130" s="22">
        <v>40</v>
      </c>
      <c r="M130" s="22">
        <v>100</v>
      </c>
      <c r="O130" s="22">
        <v>150</v>
      </c>
      <c r="Q130" s="22">
        <v>200</v>
      </c>
      <c r="S130" s="31">
        <v>550</v>
      </c>
    </row>
    <row r="131" spans="1:19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H131" s="36"/>
      <c r="S131" s="31">
        <v>0</v>
      </c>
    </row>
    <row r="132" spans="1:19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F132" s="22">
        <v>15</v>
      </c>
      <c r="H132" s="36">
        <v>20</v>
      </c>
      <c r="K132" s="22">
        <v>40</v>
      </c>
      <c r="M132" s="22">
        <v>50</v>
      </c>
      <c r="O132" s="22">
        <v>150</v>
      </c>
      <c r="S132" s="31">
        <v>275</v>
      </c>
    </row>
    <row r="133" spans="1:19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H133" s="36"/>
      <c r="S133" s="31">
        <v>0</v>
      </c>
    </row>
    <row r="134" spans="1:19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H134" s="36"/>
      <c r="S134" s="31">
        <v>0</v>
      </c>
    </row>
    <row r="135" spans="1:19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F135" s="22">
        <v>60</v>
      </c>
      <c r="H135" s="36">
        <v>20</v>
      </c>
      <c r="K135" s="22">
        <v>50</v>
      </c>
      <c r="M135" s="22">
        <v>80</v>
      </c>
      <c r="S135" s="31">
        <v>210</v>
      </c>
    </row>
    <row r="136" spans="1:19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H136" s="36"/>
      <c r="S136" s="31">
        <v>0</v>
      </c>
    </row>
    <row r="137" spans="1:19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H137" s="36"/>
      <c r="S137" s="31">
        <v>0</v>
      </c>
    </row>
    <row r="138" spans="1:19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H138" s="36"/>
      <c r="S138" s="31">
        <v>0</v>
      </c>
    </row>
    <row r="139" spans="1:19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H139" s="36"/>
      <c r="S139" s="31">
        <v>0</v>
      </c>
    </row>
    <row r="140" spans="1:19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H140" s="36"/>
      <c r="S140" s="31">
        <v>0</v>
      </c>
    </row>
    <row r="141" spans="1:19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H141" s="36"/>
      <c r="S141" s="31">
        <v>0</v>
      </c>
    </row>
    <row r="142" spans="1:19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H142" s="36"/>
      <c r="S142" s="31">
        <v>0</v>
      </c>
    </row>
    <row r="143" spans="1:19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G143" s="22">
        <v>50</v>
      </c>
      <c r="H143" s="36"/>
      <c r="J143" s="22">
        <v>200</v>
      </c>
      <c r="M143" s="22">
        <v>150</v>
      </c>
      <c r="P143" s="22">
        <v>500</v>
      </c>
      <c r="Q143" s="22">
        <v>300</v>
      </c>
      <c r="S143" s="31">
        <v>1200</v>
      </c>
    </row>
    <row r="144" spans="1:19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H144" s="36"/>
      <c r="I144" s="22">
        <v>10</v>
      </c>
      <c r="L144" s="22">
        <v>10</v>
      </c>
      <c r="S144" s="31">
        <v>20</v>
      </c>
    </row>
    <row r="145" spans="1:19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H145" s="36"/>
      <c r="S145" s="31">
        <v>0</v>
      </c>
    </row>
    <row r="146" spans="1:19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H146" s="36"/>
      <c r="S146" s="31">
        <v>0</v>
      </c>
    </row>
    <row r="147" spans="1:19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H147" s="36"/>
      <c r="I147" s="22">
        <v>20</v>
      </c>
      <c r="L147" s="22">
        <v>10</v>
      </c>
      <c r="S147" s="31">
        <v>30</v>
      </c>
    </row>
    <row r="148" spans="1:19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H148" s="36"/>
      <c r="S148" s="31">
        <v>0</v>
      </c>
    </row>
    <row r="149" spans="1:19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H149" s="36"/>
      <c r="S149" s="31">
        <v>0</v>
      </c>
    </row>
    <row r="150" spans="1:19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H150" s="36"/>
      <c r="I150" s="22">
        <v>30</v>
      </c>
      <c r="L150" s="22">
        <v>50</v>
      </c>
      <c r="S150" s="31">
        <v>80</v>
      </c>
    </row>
    <row r="151" spans="1:19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H151" s="36"/>
      <c r="S151" s="31">
        <v>0</v>
      </c>
    </row>
    <row r="152" spans="1:19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H152" s="36"/>
      <c r="S152" s="31">
        <v>0</v>
      </c>
    </row>
    <row r="153" spans="1:19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H153" s="36"/>
      <c r="S153" s="31">
        <v>0</v>
      </c>
    </row>
    <row r="154" spans="1:19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H154" s="36"/>
      <c r="S154" s="31">
        <v>0</v>
      </c>
    </row>
    <row r="155" spans="1:19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H155" s="36"/>
      <c r="S155" s="31">
        <v>0</v>
      </c>
    </row>
    <row r="156" spans="1:19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H156" s="36"/>
      <c r="S156" s="31">
        <v>0</v>
      </c>
    </row>
    <row r="157" spans="1:19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H157" s="36"/>
      <c r="S157" s="31">
        <v>0</v>
      </c>
    </row>
    <row r="158" spans="1:19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H158" s="36"/>
      <c r="S158" s="31">
        <v>0</v>
      </c>
    </row>
    <row r="159" spans="1:19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H159" s="36"/>
      <c r="P159" s="22">
        <v>20</v>
      </c>
      <c r="S159" s="31">
        <v>20</v>
      </c>
    </row>
    <row r="160" spans="1:19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H160" s="36"/>
      <c r="S160" s="31">
        <v>0</v>
      </c>
    </row>
    <row r="161" spans="1:19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H161" s="36"/>
      <c r="S161" s="31">
        <v>0</v>
      </c>
    </row>
    <row r="162" spans="1:19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H162" s="36"/>
      <c r="S162" s="31">
        <v>0</v>
      </c>
    </row>
    <row r="163" spans="1:19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H163" s="36"/>
      <c r="M163" s="22">
        <v>30</v>
      </c>
      <c r="S163" s="31">
        <v>30</v>
      </c>
    </row>
    <row r="164" spans="1:19" x14ac:dyDescent="0.25">
      <c r="A164" s="22">
        <v>160</v>
      </c>
      <c r="B164" s="22">
        <v>3000003029</v>
      </c>
      <c r="C164" t="s">
        <v>211</v>
      </c>
      <c r="D164" s="22" t="s">
        <v>12</v>
      </c>
      <c r="R164" s="22"/>
      <c r="S164" s="31">
        <v>0</v>
      </c>
    </row>
    <row r="165" spans="1:19" x14ac:dyDescent="0.25">
      <c r="A165" s="22">
        <v>161</v>
      </c>
      <c r="B165" s="22">
        <v>3000003029</v>
      </c>
      <c r="C165" t="s">
        <v>297</v>
      </c>
      <c r="D165" s="22" t="s">
        <v>12</v>
      </c>
      <c r="S165" s="31">
        <v>0</v>
      </c>
    </row>
    <row r="166" spans="1:19" x14ac:dyDescent="0.25">
      <c r="A166" s="22">
        <v>162</v>
      </c>
      <c r="B166" s="22">
        <v>1000006010</v>
      </c>
      <c r="C166" t="s">
        <v>298</v>
      </c>
      <c r="D166" s="22" t="s">
        <v>12</v>
      </c>
      <c r="S166" s="31">
        <v>0</v>
      </c>
    </row>
    <row r="167" spans="1:19" x14ac:dyDescent="0.25">
      <c r="A167" s="22">
        <v>163</v>
      </c>
      <c r="B167" s="22">
        <v>3000001220</v>
      </c>
      <c r="C167" t="s">
        <v>300</v>
      </c>
      <c r="D167" s="22" t="s">
        <v>12</v>
      </c>
      <c r="S167" s="31">
        <v>0</v>
      </c>
    </row>
    <row r="168" spans="1:19" x14ac:dyDescent="0.25">
      <c r="A168" s="22">
        <v>164</v>
      </c>
      <c r="B168" s="22">
        <v>3000001221</v>
      </c>
      <c r="C168" t="s">
        <v>302</v>
      </c>
      <c r="D168" s="22" t="s">
        <v>12</v>
      </c>
      <c r="S168" s="31">
        <v>0</v>
      </c>
    </row>
    <row r="169" spans="1:19" x14ac:dyDescent="0.25">
      <c r="A169" s="22">
        <v>165</v>
      </c>
      <c r="B169" s="22">
        <v>3000001223</v>
      </c>
      <c r="C169" t="s">
        <v>304</v>
      </c>
      <c r="D169" s="22" t="s">
        <v>12</v>
      </c>
      <c r="S169" s="31">
        <v>0</v>
      </c>
    </row>
    <row r="170" spans="1:19" x14ac:dyDescent="0.25">
      <c r="A170" s="22">
        <v>166</v>
      </c>
      <c r="B170" s="22">
        <v>3000001224</v>
      </c>
      <c r="C170" t="s">
        <v>306</v>
      </c>
      <c r="D170" s="22" t="s">
        <v>12</v>
      </c>
      <c r="S170" s="31">
        <v>0</v>
      </c>
    </row>
    <row r="171" spans="1:19" x14ac:dyDescent="0.25">
      <c r="A171" s="22">
        <v>167</v>
      </c>
      <c r="B171" s="22" t="s">
        <v>35</v>
      </c>
      <c r="C171" t="s">
        <v>446</v>
      </c>
      <c r="D171" s="22" t="s">
        <v>12</v>
      </c>
      <c r="S171" s="31">
        <v>0</v>
      </c>
    </row>
    <row r="172" spans="1:19" x14ac:dyDescent="0.25">
      <c r="A172" s="22">
        <v>168</v>
      </c>
      <c r="B172" s="22">
        <v>3000001802</v>
      </c>
      <c r="C172" t="s">
        <v>448</v>
      </c>
      <c r="D172" s="22" t="s">
        <v>12</v>
      </c>
      <c r="S172" s="31">
        <v>0</v>
      </c>
    </row>
    <row r="173" spans="1:19" x14ac:dyDescent="0.25">
      <c r="A173" s="22">
        <v>169</v>
      </c>
      <c r="B173" s="22" t="s">
        <v>35</v>
      </c>
      <c r="C173" t="s">
        <v>449</v>
      </c>
      <c r="D173" s="22" t="s">
        <v>12</v>
      </c>
      <c r="S173" s="31">
        <v>0</v>
      </c>
    </row>
    <row r="174" spans="1:19" x14ac:dyDescent="0.25">
      <c r="A174" s="22">
        <v>170</v>
      </c>
      <c r="B174" s="22" t="s">
        <v>35</v>
      </c>
      <c r="C174" t="s">
        <v>450</v>
      </c>
      <c r="D174" s="22" t="s">
        <v>12</v>
      </c>
      <c r="S174" s="31">
        <v>0</v>
      </c>
    </row>
    <row r="175" spans="1:19" x14ac:dyDescent="0.25">
      <c r="A175" s="22">
        <v>171</v>
      </c>
      <c r="B175" s="22" t="s">
        <v>35</v>
      </c>
      <c r="C175" t="s">
        <v>510</v>
      </c>
      <c r="D175" s="22" t="s">
        <v>12</v>
      </c>
      <c r="S175" s="31">
        <v>0</v>
      </c>
    </row>
    <row r="176" spans="1:19" x14ac:dyDescent="0.25">
      <c r="A176" s="22">
        <v>172</v>
      </c>
      <c r="B176" s="22" t="s">
        <v>35</v>
      </c>
      <c r="C176" t="s">
        <v>516</v>
      </c>
      <c r="D176" s="22" t="s">
        <v>12</v>
      </c>
      <c r="F176" s="22">
        <v>30</v>
      </c>
      <c r="P176" s="22">
        <v>20</v>
      </c>
      <c r="S176" s="31">
        <v>50</v>
      </c>
    </row>
    <row r="177" spans="1:19" x14ac:dyDescent="0.25">
      <c r="A177" s="22">
        <v>173</v>
      </c>
      <c r="B177" s="22" t="s">
        <v>35</v>
      </c>
      <c r="C177" t="s">
        <v>600</v>
      </c>
      <c r="D177" s="22" t="s">
        <v>12</v>
      </c>
      <c r="S177" s="31">
        <v>0</v>
      </c>
    </row>
    <row r="178" spans="1:19" x14ac:dyDescent="0.25">
      <c r="A178" s="22">
        <v>174</v>
      </c>
      <c r="B178" s="22" t="s">
        <v>35</v>
      </c>
      <c r="C178" t="s">
        <v>601</v>
      </c>
      <c r="D178" s="22" t="s">
        <v>12</v>
      </c>
      <c r="S178" s="31">
        <v>0</v>
      </c>
    </row>
    <row r="179" spans="1:19" x14ac:dyDescent="0.25">
      <c r="A179" s="22">
        <v>175</v>
      </c>
      <c r="B179" s="22" t="s">
        <v>35</v>
      </c>
      <c r="C179" t="s">
        <v>1383</v>
      </c>
      <c r="D179" s="22" t="s">
        <v>12</v>
      </c>
      <c r="S179" s="31">
        <v>0</v>
      </c>
    </row>
    <row r="1048576" spans="8:8" x14ac:dyDescent="0.25">
      <c r="H1048576" s="22"/>
    </row>
  </sheetData>
  <autoFilter ref="A4:S179"/>
  <mergeCells count="3">
    <mergeCell ref="A1:A2"/>
    <mergeCell ref="B1:B2"/>
    <mergeCell ref="C1:C2"/>
  </mergeCells>
  <conditionalFormatting sqref="A31:XFD31">
    <cfRule type="expression" dxfId="354" priority="1" stopIfTrue="1">
      <formula>AND(ROW()&gt;=31,ROW()&lt;=31)</formula>
    </cfRule>
  </conditionalFormatting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QA187"/>
  <sheetViews>
    <sheetView zoomScaleNormal="100" workbookViewId="0">
      <pane xSplit="4" ySplit="4" topLeftCell="PD108" activePane="bottomRight" state="frozen"/>
      <selection pane="topRight" activeCell="E1" sqref="E1"/>
      <selection pane="bottomLeft" activeCell="A5" sqref="A5"/>
      <selection pane="bottomRight" activeCell="PP114" sqref="PP114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" style="22" customWidth="1"/>
    <col min="5" max="5" width="9.140625" customWidth="1"/>
    <col min="6" max="26" width="9.140625" style="22" customWidth="1"/>
    <col min="27" max="27" width="11" style="22" customWidth="1"/>
    <col min="28" max="184" width="9.140625" style="22" customWidth="1"/>
    <col min="185" max="186" width="9.42578125" style="22" customWidth="1"/>
    <col min="187" max="324" width="9.140625" style="22" customWidth="1"/>
    <col min="325" max="377" width="10.85546875" style="22" customWidth="1"/>
    <col min="378" max="407" width="9.85546875" style="22" customWidth="1"/>
    <col min="408" max="412" width="11" style="22" customWidth="1"/>
    <col min="413" max="438" width="9.85546875" style="22" customWidth="1"/>
    <col min="439" max="440" width="10.85546875" style="22" customWidth="1"/>
  </cols>
  <sheetData>
    <row r="1" spans="1:441" ht="38.25" thickBot="1" x14ac:dyDescent="0.3">
      <c r="A1" s="149" t="s">
        <v>990</v>
      </c>
      <c r="B1" s="149" t="s">
        <v>174</v>
      </c>
      <c r="C1" s="149" t="s">
        <v>183</v>
      </c>
      <c r="D1" s="26" t="s">
        <v>176</v>
      </c>
      <c r="E1" s="27" t="s">
        <v>188</v>
      </c>
      <c r="F1" s="26" t="s">
        <v>987</v>
      </c>
      <c r="G1" s="26" t="s">
        <v>987</v>
      </c>
      <c r="H1" s="26" t="s">
        <v>987</v>
      </c>
      <c r="I1" s="26" t="s">
        <v>987</v>
      </c>
      <c r="J1" s="26" t="s">
        <v>987</v>
      </c>
      <c r="K1" s="26" t="s">
        <v>987</v>
      </c>
      <c r="L1" s="26" t="s">
        <v>987</v>
      </c>
      <c r="M1" s="26" t="s">
        <v>987</v>
      </c>
      <c r="N1" s="26" t="s">
        <v>987</v>
      </c>
      <c r="O1" s="26" t="s">
        <v>987</v>
      </c>
      <c r="P1" s="26" t="s">
        <v>987</v>
      </c>
      <c r="Q1" s="26" t="s">
        <v>987</v>
      </c>
      <c r="R1" s="26" t="s">
        <v>987</v>
      </c>
      <c r="S1" s="26" t="s">
        <v>987</v>
      </c>
      <c r="T1" s="26" t="s">
        <v>987</v>
      </c>
      <c r="U1" s="26" t="s">
        <v>987</v>
      </c>
      <c r="V1" s="26" t="s">
        <v>987</v>
      </c>
      <c r="W1" s="26" t="s">
        <v>987</v>
      </c>
      <c r="X1" s="26" t="s">
        <v>987</v>
      </c>
      <c r="Y1" s="26" t="s">
        <v>987</v>
      </c>
      <c r="Z1" s="26" t="s">
        <v>987</v>
      </c>
      <c r="AA1" s="26" t="s">
        <v>987</v>
      </c>
      <c r="AB1" s="26" t="s">
        <v>987</v>
      </c>
      <c r="AC1" s="26" t="s">
        <v>987</v>
      </c>
      <c r="AD1" s="26" t="s">
        <v>987</v>
      </c>
      <c r="AE1" s="26" t="s">
        <v>987</v>
      </c>
      <c r="AF1" s="26" t="s">
        <v>987</v>
      </c>
      <c r="AG1" s="26" t="s">
        <v>987</v>
      </c>
      <c r="AH1" s="26" t="s">
        <v>987</v>
      </c>
      <c r="AI1" s="26" t="s">
        <v>987</v>
      </c>
      <c r="AJ1" s="26" t="s">
        <v>987</v>
      </c>
      <c r="AK1" s="26" t="s">
        <v>987</v>
      </c>
      <c r="AL1" s="26" t="s">
        <v>987</v>
      </c>
      <c r="AM1" s="26" t="s">
        <v>987</v>
      </c>
      <c r="AN1" s="26" t="s">
        <v>987</v>
      </c>
      <c r="AO1" s="26" t="s">
        <v>987</v>
      </c>
      <c r="AP1" s="26" t="s">
        <v>987</v>
      </c>
      <c r="AQ1" s="26" t="s">
        <v>987</v>
      </c>
      <c r="AR1" s="26" t="s">
        <v>987</v>
      </c>
      <c r="AS1" s="26" t="s">
        <v>987</v>
      </c>
      <c r="AT1" s="26" t="s">
        <v>987</v>
      </c>
      <c r="AU1" s="26" t="s">
        <v>987</v>
      </c>
      <c r="AV1" s="26" t="s">
        <v>987</v>
      </c>
      <c r="AW1" s="26" t="s">
        <v>987</v>
      </c>
      <c r="AX1" s="26" t="s">
        <v>987</v>
      </c>
      <c r="AY1" s="26" t="s">
        <v>987</v>
      </c>
      <c r="AZ1" s="26" t="s">
        <v>987</v>
      </c>
      <c r="BA1" s="26" t="s">
        <v>987</v>
      </c>
      <c r="BB1" s="26" t="s">
        <v>987</v>
      </c>
      <c r="BC1" s="26" t="s">
        <v>987</v>
      </c>
      <c r="BD1" s="26" t="s">
        <v>987</v>
      </c>
      <c r="BE1" s="26" t="s">
        <v>987</v>
      </c>
      <c r="BF1" s="26" t="s">
        <v>987</v>
      </c>
      <c r="BG1" s="26" t="s">
        <v>987</v>
      </c>
      <c r="BH1" s="26" t="s">
        <v>987</v>
      </c>
      <c r="BI1" s="26" t="s">
        <v>987</v>
      </c>
      <c r="BJ1" s="26" t="s">
        <v>987</v>
      </c>
      <c r="BK1" s="26" t="s">
        <v>987</v>
      </c>
      <c r="BL1" s="26" t="s">
        <v>987</v>
      </c>
      <c r="BM1" s="26" t="s">
        <v>987</v>
      </c>
      <c r="BN1" s="26" t="s">
        <v>987</v>
      </c>
      <c r="BO1" s="26" t="s">
        <v>987</v>
      </c>
      <c r="BP1" s="26" t="s">
        <v>987</v>
      </c>
      <c r="BQ1" s="26" t="s">
        <v>987</v>
      </c>
      <c r="BR1" s="26" t="s">
        <v>987</v>
      </c>
      <c r="BS1" s="26" t="s">
        <v>987</v>
      </c>
      <c r="BT1" s="26" t="s">
        <v>987</v>
      </c>
      <c r="BU1" s="26" t="s">
        <v>987</v>
      </c>
      <c r="BV1" s="26" t="s">
        <v>987</v>
      </c>
      <c r="BW1" s="26" t="s">
        <v>987</v>
      </c>
      <c r="BX1" s="26" t="s">
        <v>987</v>
      </c>
      <c r="BY1" s="26" t="s">
        <v>987</v>
      </c>
      <c r="BZ1" s="26" t="s">
        <v>987</v>
      </c>
      <c r="CA1" s="26" t="s">
        <v>987</v>
      </c>
      <c r="CB1" s="26" t="s">
        <v>987</v>
      </c>
      <c r="CC1" s="26" t="s">
        <v>987</v>
      </c>
      <c r="CD1" s="26" t="s">
        <v>987</v>
      </c>
      <c r="CE1" s="26" t="s">
        <v>987</v>
      </c>
      <c r="CF1" s="26" t="s">
        <v>987</v>
      </c>
      <c r="CG1" s="26" t="s">
        <v>987</v>
      </c>
      <c r="CH1" s="26" t="s">
        <v>987</v>
      </c>
      <c r="CI1" s="26" t="s">
        <v>987</v>
      </c>
      <c r="CJ1" s="26" t="s">
        <v>987</v>
      </c>
      <c r="CK1" s="26" t="s">
        <v>987</v>
      </c>
      <c r="CL1" s="26" t="s">
        <v>987</v>
      </c>
      <c r="CM1" s="26" t="s">
        <v>987</v>
      </c>
      <c r="CN1" s="26" t="s">
        <v>987</v>
      </c>
      <c r="CO1" s="26" t="s">
        <v>987</v>
      </c>
      <c r="CP1" s="26" t="s">
        <v>987</v>
      </c>
      <c r="CQ1" s="26" t="s">
        <v>987</v>
      </c>
      <c r="CR1" s="26" t="s">
        <v>987</v>
      </c>
      <c r="CS1" s="26" t="s">
        <v>987</v>
      </c>
      <c r="CT1" s="26" t="s">
        <v>987</v>
      </c>
      <c r="CU1" s="26" t="s">
        <v>987</v>
      </c>
      <c r="CV1" s="26" t="s">
        <v>987</v>
      </c>
      <c r="CW1" s="26" t="s">
        <v>987</v>
      </c>
      <c r="CX1" s="26" t="s">
        <v>987</v>
      </c>
      <c r="CY1" s="26" t="s">
        <v>987</v>
      </c>
      <c r="CZ1" s="26" t="s">
        <v>987</v>
      </c>
      <c r="DA1" s="26" t="s">
        <v>987</v>
      </c>
      <c r="DB1" s="26" t="s">
        <v>987</v>
      </c>
      <c r="DC1" s="26" t="s">
        <v>987</v>
      </c>
      <c r="DD1" s="26" t="s">
        <v>987</v>
      </c>
      <c r="DE1" s="26" t="s">
        <v>987</v>
      </c>
      <c r="DF1" s="26" t="s">
        <v>987</v>
      </c>
      <c r="DG1" s="26" t="s">
        <v>987</v>
      </c>
      <c r="DH1" s="26" t="s">
        <v>987</v>
      </c>
      <c r="DI1" s="26" t="s">
        <v>987</v>
      </c>
      <c r="DJ1" s="26" t="s">
        <v>987</v>
      </c>
      <c r="DK1" s="26" t="s">
        <v>987</v>
      </c>
      <c r="DL1" s="26" t="s">
        <v>987</v>
      </c>
      <c r="DM1" s="26" t="s">
        <v>987</v>
      </c>
      <c r="DN1" s="26" t="s">
        <v>987</v>
      </c>
      <c r="DO1" s="26" t="s">
        <v>987</v>
      </c>
      <c r="DP1" s="26" t="s">
        <v>987</v>
      </c>
      <c r="DQ1" s="26" t="s">
        <v>987</v>
      </c>
      <c r="DR1" s="26" t="s">
        <v>987</v>
      </c>
      <c r="DS1" s="26" t="s">
        <v>987</v>
      </c>
      <c r="DT1" s="26" t="s">
        <v>987</v>
      </c>
      <c r="DU1" s="26" t="s">
        <v>987</v>
      </c>
      <c r="DV1" s="26" t="s">
        <v>987</v>
      </c>
      <c r="DW1" s="26" t="s">
        <v>987</v>
      </c>
      <c r="DX1" s="26" t="s">
        <v>987</v>
      </c>
      <c r="DY1" s="26" t="s">
        <v>987</v>
      </c>
      <c r="DZ1" s="26" t="s">
        <v>987</v>
      </c>
      <c r="EA1" s="26" t="s">
        <v>987</v>
      </c>
      <c r="EB1" s="26" t="s">
        <v>987</v>
      </c>
      <c r="EC1" s="26" t="s">
        <v>987</v>
      </c>
      <c r="ED1" s="26" t="s">
        <v>987</v>
      </c>
      <c r="EE1" s="26" t="s">
        <v>987</v>
      </c>
      <c r="EF1" s="26" t="s">
        <v>987</v>
      </c>
      <c r="EG1" s="26" t="s">
        <v>987</v>
      </c>
      <c r="EH1" s="26" t="s">
        <v>987</v>
      </c>
      <c r="EI1" s="26" t="s">
        <v>987</v>
      </c>
      <c r="EJ1" s="26" t="s">
        <v>987</v>
      </c>
      <c r="EK1" s="26" t="s">
        <v>987</v>
      </c>
      <c r="EL1" s="26" t="s">
        <v>987</v>
      </c>
      <c r="EM1" s="26" t="s">
        <v>987</v>
      </c>
      <c r="EN1" s="26" t="s">
        <v>987</v>
      </c>
      <c r="EO1" s="26" t="s">
        <v>987</v>
      </c>
      <c r="EP1" s="26" t="s">
        <v>987</v>
      </c>
      <c r="EQ1" s="26" t="s">
        <v>987</v>
      </c>
      <c r="ER1" s="26" t="s">
        <v>987</v>
      </c>
      <c r="ES1" s="26" t="s">
        <v>987</v>
      </c>
      <c r="ET1" s="26" t="s">
        <v>987</v>
      </c>
      <c r="EU1" s="26" t="s">
        <v>987</v>
      </c>
      <c r="EV1" s="26" t="s">
        <v>987</v>
      </c>
      <c r="EW1" s="26" t="s">
        <v>987</v>
      </c>
      <c r="EX1" s="26" t="s">
        <v>987</v>
      </c>
      <c r="EY1" s="26" t="s">
        <v>987</v>
      </c>
      <c r="EZ1" s="26" t="s">
        <v>987</v>
      </c>
      <c r="FA1" s="26" t="s">
        <v>987</v>
      </c>
      <c r="FB1" s="26" t="s">
        <v>987</v>
      </c>
      <c r="FC1" s="26" t="s">
        <v>987</v>
      </c>
      <c r="FD1" s="26" t="s">
        <v>987</v>
      </c>
      <c r="FE1" s="26" t="s">
        <v>987</v>
      </c>
      <c r="FF1" s="26" t="s">
        <v>987</v>
      </c>
      <c r="FG1" s="26" t="s">
        <v>987</v>
      </c>
      <c r="FH1" s="26" t="s">
        <v>987</v>
      </c>
      <c r="FI1" s="26" t="s">
        <v>987</v>
      </c>
      <c r="FJ1" s="26" t="s">
        <v>987</v>
      </c>
      <c r="FK1" s="26" t="s">
        <v>987</v>
      </c>
      <c r="FL1" s="26" t="s">
        <v>987</v>
      </c>
      <c r="FM1" s="26" t="s">
        <v>987</v>
      </c>
      <c r="FN1" s="26" t="s">
        <v>987</v>
      </c>
      <c r="FO1" s="26" t="s">
        <v>987</v>
      </c>
      <c r="FP1" s="26" t="s">
        <v>987</v>
      </c>
      <c r="FQ1" s="26" t="s">
        <v>987</v>
      </c>
      <c r="FR1" s="26" t="s">
        <v>987</v>
      </c>
      <c r="FS1" s="26" t="s">
        <v>987</v>
      </c>
      <c r="FT1" s="26" t="s">
        <v>987</v>
      </c>
      <c r="FU1" s="26" t="s">
        <v>987</v>
      </c>
      <c r="FV1" s="26" t="s">
        <v>987</v>
      </c>
      <c r="FW1" s="26" t="s">
        <v>987</v>
      </c>
      <c r="FX1" s="26" t="s">
        <v>987</v>
      </c>
      <c r="FY1" s="26" t="s">
        <v>987</v>
      </c>
      <c r="FZ1" s="26" t="s">
        <v>987</v>
      </c>
      <c r="GA1" s="26" t="s">
        <v>987</v>
      </c>
      <c r="GB1" s="26" t="s">
        <v>987</v>
      </c>
      <c r="GC1" s="26" t="s">
        <v>987</v>
      </c>
      <c r="GD1" s="26" t="s">
        <v>987</v>
      </c>
      <c r="GE1" s="26" t="s">
        <v>987</v>
      </c>
      <c r="GF1" s="26" t="s">
        <v>987</v>
      </c>
      <c r="GG1" s="26" t="s">
        <v>987</v>
      </c>
      <c r="GH1" s="26" t="s">
        <v>987</v>
      </c>
      <c r="GI1" s="26" t="s">
        <v>987</v>
      </c>
      <c r="GJ1" s="26" t="s">
        <v>987</v>
      </c>
      <c r="GK1" s="26" t="s">
        <v>987</v>
      </c>
      <c r="GL1" s="26" t="s">
        <v>987</v>
      </c>
      <c r="GM1" s="26" t="s">
        <v>987</v>
      </c>
      <c r="GN1" s="26" t="s">
        <v>987</v>
      </c>
      <c r="GO1" s="26" t="s">
        <v>987</v>
      </c>
      <c r="GP1" s="26" t="s">
        <v>987</v>
      </c>
      <c r="GQ1" s="26" t="s">
        <v>987</v>
      </c>
      <c r="GR1" s="26" t="s">
        <v>987</v>
      </c>
      <c r="GS1" s="26" t="s">
        <v>987</v>
      </c>
      <c r="GT1" s="26" t="s">
        <v>987</v>
      </c>
      <c r="GU1" s="26" t="s">
        <v>987</v>
      </c>
      <c r="GV1" s="26" t="s">
        <v>987</v>
      </c>
      <c r="GW1" s="26" t="s">
        <v>987</v>
      </c>
      <c r="GX1" s="26" t="s">
        <v>987</v>
      </c>
      <c r="GY1" s="26" t="s">
        <v>987</v>
      </c>
      <c r="GZ1" s="26" t="s">
        <v>987</v>
      </c>
      <c r="HA1" s="26" t="s">
        <v>987</v>
      </c>
      <c r="HB1" s="26" t="s">
        <v>987</v>
      </c>
      <c r="HC1" s="26" t="s">
        <v>987</v>
      </c>
      <c r="HD1" s="26" t="s">
        <v>987</v>
      </c>
      <c r="HE1" s="26" t="s">
        <v>987</v>
      </c>
      <c r="HF1" s="26" t="s">
        <v>987</v>
      </c>
      <c r="HG1" s="26" t="s">
        <v>987</v>
      </c>
      <c r="HH1" s="26" t="s">
        <v>987</v>
      </c>
      <c r="HI1" s="26" t="s">
        <v>987</v>
      </c>
      <c r="HJ1" s="26" t="s">
        <v>987</v>
      </c>
      <c r="HK1" s="26" t="s">
        <v>987</v>
      </c>
      <c r="HL1" s="26" t="s">
        <v>987</v>
      </c>
      <c r="HM1" s="26" t="s">
        <v>987</v>
      </c>
      <c r="HN1" s="26" t="s">
        <v>987</v>
      </c>
      <c r="HO1" s="26" t="s">
        <v>987</v>
      </c>
      <c r="HP1" s="26" t="s">
        <v>987</v>
      </c>
      <c r="HQ1" s="38" t="s">
        <v>988</v>
      </c>
      <c r="HR1" s="38" t="s">
        <v>988</v>
      </c>
      <c r="HS1" s="38" t="s">
        <v>988</v>
      </c>
      <c r="HT1" s="38" t="s">
        <v>988</v>
      </c>
      <c r="HU1" s="38" t="s">
        <v>988</v>
      </c>
      <c r="HV1" s="38" t="s">
        <v>988</v>
      </c>
      <c r="HW1" s="38" t="s">
        <v>988</v>
      </c>
      <c r="HX1" s="38" t="s">
        <v>988</v>
      </c>
      <c r="HY1" s="38" t="s">
        <v>988</v>
      </c>
      <c r="HZ1" s="26" t="s">
        <v>310</v>
      </c>
      <c r="IA1" s="26" t="s">
        <v>310</v>
      </c>
      <c r="IB1" s="26" t="s">
        <v>310</v>
      </c>
      <c r="IC1" s="26" t="s">
        <v>310</v>
      </c>
      <c r="ID1" s="26" t="s">
        <v>310</v>
      </c>
      <c r="IE1" s="26" t="s">
        <v>310</v>
      </c>
      <c r="IF1" s="26" t="s">
        <v>310</v>
      </c>
      <c r="IG1" s="26" t="s">
        <v>310</v>
      </c>
      <c r="IH1" s="26" t="s">
        <v>310</v>
      </c>
      <c r="II1" s="26" t="s">
        <v>310</v>
      </c>
      <c r="IJ1" s="26" t="s">
        <v>310</v>
      </c>
      <c r="IK1" s="26" t="s">
        <v>310</v>
      </c>
      <c r="IL1" s="26" t="s">
        <v>310</v>
      </c>
      <c r="IM1" s="26" t="s">
        <v>310</v>
      </c>
      <c r="IN1" s="26" t="s">
        <v>310</v>
      </c>
      <c r="IO1" s="26" t="s">
        <v>310</v>
      </c>
      <c r="IP1" s="26" t="s">
        <v>310</v>
      </c>
      <c r="IQ1" s="26" t="s">
        <v>310</v>
      </c>
      <c r="IR1" s="26" t="s">
        <v>310</v>
      </c>
      <c r="IS1" s="26" t="s">
        <v>310</v>
      </c>
      <c r="IT1" s="26" t="s">
        <v>310</v>
      </c>
      <c r="IU1" s="26" t="s">
        <v>310</v>
      </c>
      <c r="IV1" s="26" t="s">
        <v>310</v>
      </c>
      <c r="IW1" s="26" t="s">
        <v>310</v>
      </c>
      <c r="IX1" s="26" t="s">
        <v>310</v>
      </c>
      <c r="IY1" s="26" t="s">
        <v>310</v>
      </c>
      <c r="IZ1" s="26" t="s">
        <v>310</v>
      </c>
      <c r="JA1" s="26" t="s">
        <v>310</v>
      </c>
      <c r="JB1" s="26" t="s">
        <v>310</v>
      </c>
      <c r="JC1" s="26" t="s">
        <v>310</v>
      </c>
      <c r="JD1" s="26" t="s">
        <v>310</v>
      </c>
      <c r="JE1" s="26" t="s">
        <v>310</v>
      </c>
      <c r="JF1" s="26" t="s">
        <v>310</v>
      </c>
      <c r="JG1" s="26" t="s">
        <v>310</v>
      </c>
      <c r="JH1" s="26" t="s">
        <v>310</v>
      </c>
      <c r="JI1" s="26" t="s">
        <v>310</v>
      </c>
      <c r="JJ1" s="26" t="s">
        <v>310</v>
      </c>
      <c r="JK1" s="26" t="s">
        <v>310</v>
      </c>
      <c r="JL1" s="26" t="s">
        <v>310</v>
      </c>
      <c r="JM1" s="26" t="s">
        <v>310</v>
      </c>
      <c r="JN1" s="38" t="s">
        <v>989</v>
      </c>
      <c r="JO1" s="38" t="s">
        <v>989</v>
      </c>
      <c r="JP1" s="38" t="s">
        <v>989</v>
      </c>
      <c r="JQ1" s="38" t="s">
        <v>988</v>
      </c>
      <c r="JR1" s="38" t="s">
        <v>989</v>
      </c>
      <c r="JS1" s="38" t="s">
        <v>988</v>
      </c>
      <c r="JT1" s="38" t="s">
        <v>989</v>
      </c>
      <c r="JU1" s="38" t="s">
        <v>989</v>
      </c>
      <c r="JV1" s="38" t="s">
        <v>989</v>
      </c>
      <c r="JW1" s="26" t="s">
        <v>310</v>
      </c>
      <c r="JX1" s="26" t="s">
        <v>310</v>
      </c>
      <c r="JY1" s="26" t="s">
        <v>310</v>
      </c>
      <c r="JZ1" s="26" t="s">
        <v>310</v>
      </c>
      <c r="KA1" s="38" t="s">
        <v>989</v>
      </c>
      <c r="KB1" s="38" t="s">
        <v>989</v>
      </c>
      <c r="KC1" s="38" t="s">
        <v>989</v>
      </c>
      <c r="KD1" s="38" t="s">
        <v>989</v>
      </c>
      <c r="KE1" s="38" t="s">
        <v>989</v>
      </c>
      <c r="KF1" s="38" t="s">
        <v>989</v>
      </c>
      <c r="KG1" s="38" t="s">
        <v>989</v>
      </c>
      <c r="KH1" s="38" t="s">
        <v>989</v>
      </c>
      <c r="KI1" s="38" t="s">
        <v>989</v>
      </c>
      <c r="KJ1" s="38" t="s">
        <v>989</v>
      </c>
      <c r="KK1" s="38" t="s">
        <v>989</v>
      </c>
      <c r="KL1" s="38" t="s">
        <v>989</v>
      </c>
      <c r="KM1" s="38" t="s">
        <v>989</v>
      </c>
      <c r="KN1" s="38" t="s">
        <v>989</v>
      </c>
      <c r="KO1" s="38" t="s">
        <v>989</v>
      </c>
      <c r="KP1" s="38" t="s">
        <v>989</v>
      </c>
      <c r="KQ1" s="38" t="s">
        <v>989</v>
      </c>
      <c r="KR1" s="26" t="s">
        <v>310</v>
      </c>
      <c r="KS1" s="38" t="s">
        <v>989</v>
      </c>
      <c r="KT1" s="26" t="s">
        <v>310</v>
      </c>
      <c r="KU1" s="38" t="s">
        <v>989</v>
      </c>
      <c r="KV1" s="38" t="s">
        <v>989</v>
      </c>
      <c r="KW1" s="38" t="s">
        <v>989</v>
      </c>
      <c r="KX1" s="38" t="s">
        <v>989</v>
      </c>
      <c r="KY1" s="38" t="s">
        <v>989</v>
      </c>
      <c r="KZ1" s="38" t="s">
        <v>989</v>
      </c>
      <c r="LA1" s="38" t="s">
        <v>989</v>
      </c>
      <c r="LB1" s="38" t="s">
        <v>989</v>
      </c>
      <c r="LC1" s="38" t="s">
        <v>989</v>
      </c>
      <c r="LD1" s="38" t="s">
        <v>989</v>
      </c>
      <c r="LE1" s="38" t="s">
        <v>989</v>
      </c>
      <c r="LF1" s="38" t="s">
        <v>988</v>
      </c>
      <c r="LG1" s="38" t="s">
        <v>988</v>
      </c>
      <c r="LH1" s="38" t="s">
        <v>988</v>
      </c>
      <c r="LI1" s="38" t="s">
        <v>988</v>
      </c>
      <c r="LJ1" s="38" t="s">
        <v>988</v>
      </c>
      <c r="LK1" s="38" t="s">
        <v>988</v>
      </c>
      <c r="LL1" s="26" t="s">
        <v>207</v>
      </c>
      <c r="LM1" s="26" t="s">
        <v>207</v>
      </c>
      <c r="LN1" s="26" t="s">
        <v>207</v>
      </c>
      <c r="LO1" s="26" t="s">
        <v>207</v>
      </c>
      <c r="LP1" s="26" t="s">
        <v>207</v>
      </c>
      <c r="LQ1" s="26" t="s">
        <v>207</v>
      </c>
      <c r="LR1" s="26" t="s">
        <v>207</v>
      </c>
      <c r="LS1" s="26" t="s">
        <v>207</v>
      </c>
      <c r="LT1" s="26" t="s">
        <v>207</v>
      </c>
      <c r="LU1" s="26" t="s">
        <v>207</v>
      </c>
      <c r="LV1" s="26" t="s">
        <v>207</v>
      </c>
      <c r="LW1" s="26" t="s">
        <v>207</v>
      </c>
      <c r="LX1" s="26" t="s">
        <v>207</v>
      </c>
      <c r="LY1" s="26" t="s">
        <v>184</v>
      </c>
      <c r="LZ1" s="26" t="s">
        <v>184</v>
      </c>
      <c r="MA1" s="26" t="s">
        <v>184</v>
      </c>
      <c r="MB1" s="26" t="s">
        <v>184</v>
      </c>
      <c r="MC1" s="26" t="s">
        <v>184</v>
      </c>
      <c r="MD1" s="26" t="s">
        <v>184</v>
      </c>
      <c r="ME1" s="26" t="s">
        <v>184</v>
      </c>
      <c r="MF1" s="26" t="s">
        <v>184</v>
      </c>
      <c r="MG1" s="26" t="s">
        <v>184</v>
      </c>
      <c r="MH1" s="26" t="s">
        <v>184</v>
      </c>
      <c r="MI1" s="26" t="s">
        <v>184</v>
      </c>
      <c r="MJ1" s="26" t="s">
        <v>184</v>
      </c>
      <c r="MK1" s="26" t="s">
        <v>184</v>
      </c>
      <c r="ML1" s="26" t="s">
        <v>184</v>
      </c>
      <c r="MM1" s="26" t="s">
        <v>184</v>
      </c>
      <c r="MN1" s="26" t="s">
        <v>184</v>
      </c>
      <c r="MO1" s="26" t="s">
        <v>184</v>
      </c>
      <c r="MP1" s="26" t="s">
        <v>184</v>
      </c>
      <c r="MQ1" s="26" t="s">
        <v>184</v>
      </c>
      <c r="MR1" s="26" t="s">
        <v>184</v>
      </c>
      <c r="MS1" s="26" t="s">
        <v>207</v>
      </c>
      <c r="MT1" s="26" t="s">
        <v>184</v>
      </c>
      <c r="MU1" s="26" t="s">
        <v>207</v>
      </c>
      <c r="MV1" s="26" t="s">
        <v>207</v>
      </c>
      <c r="MW1" s="26" t="s">
        <v>184</v>
      </c>
      <c r="MX1" s="26" t="s">
        <v>184</v>
      </c>
      <c r="MY1" s="26" t="s">
        <v>184</v>
      </c>
      <c r="MZ1" s="26" t="s">
        <v>207</v>
      </c>
      <c r="NA1" s="26" t="s">
        <v>184</v>
      </c>
      <c r="NB1" s="26" t="s">
        <v>184</v>
      </c>
      <c r="NC1" s="26" t="s">
        <v>184</v>
      </c>
      <c r="ND1" s="26" t="s">
        <v>184</v>
      </c>
      <c r="NE1" s="26" t="s">
        <v>184</v>
      </c>
      <c r="NF1" s="26" t="s">
        <v>184</v>
      </c>
      <c r="NG1" s="26" t="s">
        <v>184</v>
      </c>
      <c r="NH1" s="26" t="s">
        <v>184</v>
      </c>
      <c r="NI1" s="26" t="s">
        <v>184</v>
      </c>
      <c r="NJ1" s="26" t="s">
        <v>184</v>
      </c>
      <c r="NK1" s="26" t="s">
        <v>184</v>
      </c>
      <c r="NL1" s="26" t="s">
        <v>184</v>
      </c>
      <c r="NM1" s="26" t="s">
        <v>184</v>
      </c>
      <c r="NN1" s="26" t="s">
        <v>184</v>
      </c>
      <c r="NO1" s="26" t="s">
        <v>184</v>
      </c>
      <c r="NP1" s="26" t="s">
        <v>184</v>
      </c>
      <c r="NQ1" s="26" t="s">
        <v>184</v>
      </c>
      <c r="NR1" s="26" t="s">
        <v>184</v>
      </c>
      <c r="NS1" s="26" t="s">
        <v>184</v>
      </c>
      <c r="NT1" s="26" t="s">
        <v>184</v>
      </c>
      <c r="NU1" s="26" t="s">
        <v>184</v>
      </c>
      <c r="NV1" s="26" t="s">
        <v>184</v>
      </c>
      <c r="NW1" s="26" t="s">
        <v>184</v>
      </c>
      <c r="NX1" s="26" t="s">
        <v>184</v>
      </c>
      <c r="NY1" s="26" t="s">
        <v>184</v>
      </c>
      <c r="NZ1" s="26" t="s">
        <v>184</v>
      </c>
      <c r="OA1" s="26" t="s">
        <v>184</v>
      </c>
      <c r="OB1" s="26" t="s">
        <v>184</v>
      </c>
      <c r="OC1" s="26" t="s">
        <v>184</v>
      </c>
      <c r="OD1" s="26" t="s">
        <v>184</v>
      </c>
      <c r="OE1" s="26" t="s">
        <v>184</v>
      </c>
      <c r="OF1" s="26" t="s">
        <v>184</v>
      </c>
      <c r="OG1" s="26" t="s">
        <v>184</v>
      </c>
      <c r="OH1" s="26" t="s">
        <v>207</v>
      </c>
      <c r="OI1" s="26" t="s">
        <v>207</v>
      </c>
      <c r="OJ1" s="26" t="s">
        <v>207</v>
      </c>
      <c r="OK1" s="26" t="s">
        <v>207</v>
      </c>
      <c r="OL1" s="26" t="s">
        <v>207</v>
      </c>
      <c r="OM1" s="26" t="s">
        <v>207</v>
      </c>
      <c r="ON1" s="26" t="s">
        <v>207</v>
      </c>
      <c r="OO1" s="26" t="s">
        <v>207</v>
      </c>
      <c r="OP1" s="26" t="s">
        <v>207</v>
      </c>
      <c r="OQ1" s="26" t="s">
        <v>207</v>
      </c>
      <c r="OR1" s="26" t="s">
        <v>184</v>
      </c>
      <c r="OS1" s="26" t="s">
        <v>184</v>
      </c>
      <c r="OT1" s="26" t="s">
        <v>184</v>
      </c>
      <c r="OU1" s="26" t="s">
        <v>184</v>
      </c>
      <c r="OV1" s="26" t="s">
        <v>184</v>
      </c>
      <c r="OW1" s="26" t="s">
        <v>184</v>
      </c>
      <c r="OX1" s="26" t="s">
        <v>184</v>
      </c>
      <c r="OY1" s="26" t="s">
        <v>184</v>
      </c>
      <c r="OZ1" s="26" t="s">
        <v>184</v>
      </c>
      <c r="PA1" s="26" t="s">
        <v>184</v>
      </c>
      <c r="PB1" s="26" t="s">
        <v>184</v>
      </c>
      <c r="PC1" s="26" t="s">
        <v>184</v>
      </c>
      <c r="PD1" s="26" t="s">
        <v>184</v>
      </c>
      <c r="PE1" s="26" t="s">
        <v>184</v>
      </c>
      <c r="PF1" s="26" t="s">
        <v>184</v>
      </c>
      <c r="PG1" s="26" t="s">
        <v>184</v>
      </c>
      <c r="PH1" s="26" t="s">
        <v>207</v>
      </c>
      <c r="PI1" s="26" t="s">
        <v>207</v>
      </c>
      <c r="PJ1" s="26" t="s">
        <v>207</v>
      </c>
      <c r="PK1" s="26" t="s">
        <v>184</v>
      </c>
      <c r="PL1" s="26" t="s">
        <v>184</v>
      </c>
      <c r="PM1" s="26" t="s">
        <v>184</v>
      </c>
      <c r="PN1" s="26" t="s">
        <v>184</v>
      </c>
      <c r="PO1" s="26" t="s">
        <v>184</v>
      </c>
      <c r="PP1" s="26" t="s">
        <v>184</v>
      </c>
      <c r="PQ1" s="26" t="s">
        <v>184</v>
      </c>
      <c r="PR1" s="26" t="s">
        <v>184</v>
      </c>
      <c r="PS1" s="26" t="s">
        <v>184</v>
      </c>
      <c r="PT1" s="26"/>
      <c r="PU1" s="26"/>
      <c r="PV1" s="26"/>
      <c r="PW1" s="26"/>
      <c r="PX1" s="26"/>
      <c r="PY1" s="25" t="s">
        <v>177</v>
      </c>
    </row>
    <row r="2" spans="1:441" ht="29.25" customHeight="1" thickBot="1" x14ac:dyDescent="0.3">
      <c r="A2" s="150"/>
      <c r="B2" s="150"/>
      <c r="C2" s="150"/>
      <c r="D2" s="4"/>
      <c r="E2" s="4" t="s">
        <v>186</v>
      </c>
      <c r="F2" s="25" t="s">
        <v>987</v>
      </c>
      <c r="G2" s="25" t="s">
        <v>987</v>
      </c>
      <c r="H2" s="25" t="s">
        <v>987</v>
      </c>
      <c r="I2" s="25" t="s">
        <v>986</v>
      </c>
      <c r="J2" s="25" t="s">
        <v>985</v>
      </c>
      <c r="K2" s="25" t="s">
        <v>984</v>
      </c>
      <c r="L2" s="25" t="s">
        <v>983</v>
      </c>
      <c r="M2" s="25" t="s">
        <v>982</v>
      </c>
      <c r="N2" s="25" t="s">
        <v>981</v>
      </c>
      <c r="O2" s="25" t="s">
        <v>980</v>
      </c>
      <c r="P2" s="25" t="s">
        <v>979</v>
      </c>
      <c r="Q2" s="25" t="s">
        <v>978</v>
      </c>
      <c r="R2" s="25" t="s">
        <v>977</v>
      </c>
      <c r="S2" s="25" t="s">
        <v>976</v>
      </c>
      <c r="T2" s="25" t="s">
        <v>975</v>
      </c>
      <c r="U2" s="25" t="s">
        <v>974</v>
      </c>
      <c r="V2" s="25" t="s">
        <v>973</v>
      </c>
      <c r="W2" s="25" t="s">
        <v>972</v>
      </c>
      <c r="X2" s="25" t="s">
        <v>971</v>
      </c>
      <c r="Y2" s="25" t="s">
        <v>970</v>
      </c>
      <c r="Z2" s="25" t="s">
        <v>969</v>
      </c>
      <c r="AA2" s="25" t="s">
        <v>968</v>
      </c>
      <c r="AB2" s="25" t="s">
        <v>967</v>
      </c>
      <c r="AC2" s="25" t="s">
        <v>966</v>
      </c>
      <c r="AD2" s="25" t="s">
        <v>965</v>
      </c>
      <c r="AE2" s="25" t="s">
        <v>964</v>
      </c>
      <c r="AF2" s="25" t="s">
        <v>963</v>
      </c>
      <c r="AG2" s="25" t="s">
        <v>962</v>
      </c>
      <c r="AH2" s="25" t="s">
        <v>961</v>
      </c>
      <c r="AI2" s="25" t="s">
        <v>960</v>
      </c>
      <c r="AJ2" s="25" t="s">
        <v>959</v>
      </c>
      <c r="AK2" s="25" t="s">
        <v>958</v>
      </c>
      <c r="AL2" s="25" t="s">
        <v>957</v>
      </c>
      <c r="AM2" s="25" t="s">
        <v>956</v>
      </c>
      <c r="AN2" s="25" t="s">
        <v>955</v>
      </c>
      <c r="AO2" s="25" t="s">
        <v>954</v>
      </c>
      <c r="AP2" s="25" t="s">
        <v>953</v>
      </c>
      <c r="AQ2" s="25" t="s">
        <v>952</v>
      </c>
      <c r="AR2" s="25" t="s">
        <v>951</v>
      </c>
      <c r="AS2" s="25" t="s">
        <v>950</v>
      </c>
      <c r="AT2" s="25" t="s">
        <v>949</v>
      </c>
      <c r="AU2" s="25" t="s">
        <v>948</v>
      </c>
      <c r="AV2" s="25" t="s">
        <v>947</v>
      </c>
      <c r="AW2" s="25" t="s">
        <v>946</v>
      </c>
      <c r="AX2" s="25" t="s">
        <v>945</v>
      </c>
      <c r="AY2" s="25" t="s">
        <v>944</v>
      </c>
      <c r="AZ2" s="25" t="s">
        <v>943</v>
      </c>
      <c r="BA2" s="25" t="s">
        <v>942</v>
      </c>
      <c r="BB2" s="25" t="s">
        <v>941</v>
      </c>
      <c r="BC2" s="25" t="s">
        <v>940</v>
      </c>
      <c r="BD2" s="25" t="s">
        <v>939</v>
      </c>
      <c r="BE2" s="25" t="s">
        <v>938</v>
      </c>
      <c r="BF2" s="25" t="s">
        <v>937</v>
      </c>
      <c r="BG2" s="25" t="s">
        <v>936</v>
      </c>
      <c r="BH2" s="25" t="s">
        <v>935</v>
      </c>
      <c r="BI2" s="25" t="s">
        <v>934</v>
      </c>
      <c r="BJ2" s="25" t="s">
        <v>933</v>
      </c>
      <c r="BK2" s="25" t="s">
        <v>932</v>
      </c>
      <c r="BL2" s="25" t="s">
        <v>931</v>
      </c>
      <c r="BM2" s="25" t="s">
        <v>930</v>
      </c>
      <c r="BN2" s="25" t="s">
        <v>929</v>
      </c>
      <c r="BO2" s="25" t="s">
        <v>928</v>
      </c>
      <c r="BP2" s="25" t="s">
        <v>927</v>
      </c>
      <c r="BQ2" s="25" t="s">
        <v>926</v>
      </c>
      <c r="BR2" s="25" t="s">
        <v>925</v>
      </c>
      <c r="BS2" s="25" t="s">
        <v>924</v>
      </c>
      <c r="BT2" s="25" t="s">
        <v>923</v>
      </c>
      <c r="BU2" s="25" t="s">
        <v>922</v>
      </c>
      <c r="BV2" s="25" t="s">
        <v>921</v>
      </c>
      <c r="BW2" s="25" t="s">
        <v>920</v>
      </c>
      <c r="BX2" s="25" t="s">
        <v>919</v>
      </c>
      <c r="BY2" s="25" t="s">
        <v>918</v>
      </c>
      <c r="BZ2" s="25" t="s">
        <v>917</v>
      </c>
      <c r="CA2" s="25" t="s">
        <v>916</v>
      </c>
      <c r="CB2" s="25" t="s">
        <v>915</v>
      </c>
      <c r="CC2" s="25" t="s">
        <v>914</v>
      </c>
      <c r="CD2" s="25" t="s">
        <v>913</v>
      </c>
      <c r="CE2" s="25" t="s">
        <v>912</v>
      </c>
      <c r="CF2" s="25" t="s">
        <v>911</v>
      </c>
      <c r="CG2" s="25" t="s">
        <v>910</v>
      </c>
      <c r="CH2" s="25" t="s">
        <v>909</v>
      </c>
      <c r="CI2" s="25" t="s">
        <v>908</v>
      </c>
      <c r="CJ2" s="25" t="s">
        <v>907</v>
      </c>
      <c r="CK2" s="25" t="s">
        <v>906</v>
      </c>
      <c r="CL2" s="25" t="s">
        <v>905</v>
      </c>
      <c r="CM2" s="25" t="s">
        <v>904</v>
      </c>
      <c r="CN2" s="25" t="s">
        <v>903</v>
      </c>
      <c r="CO2" s="25" t="s">
        <v>902</v>
      </c>
      <c r="CP2" s="25" t="s">
        <v>901</v>
      </c>
      <c r="CQ2" s="25" t="s">
        <v>900</v>
      </c>
      <c r="CR2" s="25" t="s">
        <v>899</v>
      </c>
      <c r="CS2" s="25" t="s">
        <v>898</v>
      </c>
      <c r="CT2" s="25" t="s">
        <v>897</v>
      </c>
      <c r="CU2" s="25" t="s">
        <v>896</v>
      </c>
      <c r="CV2" s="25" t="s">
        <v>895</v>
      </c>
      <c r="CW2" s="25" t="s">
        <v>894</v>
      </c>
      <c r="CX2" s="25" t="s">
        <v>893</v>
      </c>
      <c r="CY2" s="25" t="s">
        <v>892</v>
      </c>
      <c r="CZ2" s="25" t="s">
        <v>891</v>
      </c>
      <c r="DA2" s="25" t="s">
        <v>890</v>
      </c>
      <c r="DB2" s="25" t="s">
        <v>889</v>
      </c>
      <c r="DC2" s="25" t="s">
        <v>888</v>
      </c>
      <c r="DD2" s="25" t="s">
        <v>887</v>
      </c>
      <c r="DE2" s="25" t="s">
        <v>886</v>
      </c>
      <c r="DF2" s="25" t="s">
        <v>885</v>
      </c>
      <c r="DG2" s="25" t="s">
        <v>884</v>
      </c>
      <c r="DH2" s="25" t="s">
        <v>883</v>
      </c>
      <c r="DI2" s="25" t="s">
        <v>882</v>
      </c>
      <c r="DJ2" s="25" t="s">
        <v>881</v>
      </c>
      <c r="DK2" s="25" t="s">
        <v>880</v>
      </c>
      <c r="DL2" s="25" t="s">
        <v>879</v>
      </c>
      <c r="DM2" s="25" t="s">
        <v>878</v>
      </c>
      <c r="DN2" s="25" t="s">
        <v>877</v>
      </c>
      <c r="DO2" s="25" t="s">
        <v>876</v>
      </c>
      <c r="DP2" s="25" t="s">
        <v>875</v>
      </c>
      <c r="DQ2" s="25" t="s">
        <v>874</v>
      </c>
      <c r="DR2" s="25" t="s">
        <v>873</v>
      </c>
      <c r="DS2" s="25" t="s">
        <v>872</v>
      </c>
      <c r="DT2" s="25" t="s">
        <v>871</v>
      </c>
      <c r="DU2" s="25" t="s">
        <v>870</v>
      </c>
      <c r="DV2" s="25" t="s">
        <v>869</v>
      </c>
      <c r="DW2" s="25" t="s">
        <v>868</v>
      </c>
      <c r="DX2" s="25" t="s">
        <v>867</v>
      </c>
      <c r="DY2" s="25" t="s">
        <v>866</v>
      </c>
      <c r="DZ2" s="25" t="s">
        <v>865</v>
      </c>
      <c r="EA2" s="25" t="s">
        <v>864</v>
      </c>
      <c r="EB2" s="25" t="s">
        <v>863</v>
      </c>
      <c r="EC2" s="25" t="s">
        <v>862</v>
      </c>
      <c r="ED2" s="25" t="s">
        <v>861</v>
      </c>
      <c r="EE2" s="25" t="s">
        <v>860</v>
      </c>
      <c r="EF2" s="25" t="s">
        <v>859</v>
      </c>
      <c r="EG2" s="25" t="s">
        <v>858</v>
      </c>
      <c r="EH2" s="25" t="s">
        <v>857</v>
      </c>
      <c r="EI2" s="25" t="s">
        <v>856</v>
      </c>
      <c r="EJ2" s="25" t="s">
        <v>855</v>
      </c>
      <c r="EK2" s="25" t="s">
        <v>854</v>
      </c>
      <c r="EL2" s="25" t="s">
        <v>853</v>
      </c>
      <c r="EM2" s="25" t="s">
        <v>852</v>
      </c>
      <c r="EN2" s="25" t="s">
        <v>851</v>
      </c>
      <c r="EO2" s="25" t="s">
        <v>850</v>
      </c>
      <c r="EP2" s="25" t="s">
        <v>849</v>
      </c>
      <c r="EQ2" s="25" t="s">
        <v>848</v>
      </c>
      <c r="ER2" s="25" t="s">
        <v>847</v>
      </c>
      <c r="ES2" s="25" t="s">
        <v>846</v>
      </c>
      <c r="ET2" s="25" t="s">
        <v>845</v>
      </c>
      <c r="EU2" s="25" t="s">
        <v>844</v>
      </c>
      <c r="EV2" s="25" t="s">
        <v>843</v>
      </c>
      <c r="EW2" s="25" t="s">
        <v>842</v>
      </c>
      <c r="EX2" s="25" t="s">
        <v>841</v>
      </c>
      <c r="EY2" s="25" t="s">
        <v>840</v>
      </c>
      <c r="EZ2" s="25" t="s">
        <v>839</v>
      </c>
      <c r="FA2" s="25" t="s">
        <v>838</v>
      </c>
      <c r="FB2" s="25" t="s">
        <v>837</v>
      </c>
      <c r="FC2" s="25" t="s">
        <v>836</v>
      </c>
      <c r="FD2" s="25" t="s">
        <v>835</v>
      </c>
      <c r="FE2" s="25" t="s">
        <v>834</v>
      </c>
      <c r="FF2" s="25" t="s">
        <v>833</v>
      </c>
      <c r="FG2" s="25" t="s">
        <v>832</v>
      </c>
      <c r="FH2" s="25" t="s">
        <v>831</v>
      </c>
      <c r="FI2" s="25" t="s">
        <v>830</v>
      </c>
      <c r="FJ2" s="25" t="s">
        <v>829</v>
      </c>
      <c r="FK2" s="25" t="s">
        <v>828</v>
      </c>
      <c r="FL2" s="25" t="s">
        <v>827</v>
      </c>
      <c r="FM2" s="25" t="s">
        <v>826</v>
      </c>
      <c r="FN2" s="25" t="s">
        <v>825</v>
      </c>
      <c r="FO2" s="25" t="s">
        <v>824</v>
      </c>
      <c r="FP2" s="25" t="s">
        <v>823</v>
      </c>
      <c r="FQ2" s="25" t="s">
        <v>822</v>
      </c>
      <c r="FR2" s="25" t="s">
        <v>821</v>
      </c>
      <c r="FS2" s="25" t="s">
        <v>820</v>
      </c>
      <c r="FT2" s="25" t="s">
        <v>819</v>
      </c>
      <c r="FU2" s="25" t="s">
        <v>818</v>
      </c>
      <c r="FV2" s="25" t="s">
        <v>817</v>
      </c>
      <c r="FW2" s="25" t="s">
        <v>816</v>
      </c>
      <c r="FX2" s="25" t="s">
        <v>815</v>
      </c>
      <c r="FY2" s="25" t="s">
        <v>814</v>
      </c>
      <c r="FZ2" s="25" t="s">
        <v>813</v>
      </c>
      <c r="GA2" s="25" t="s">
        <v>812</v>
      </c>
      <c r="GB2" s="25" t="s">
        <v>811</v>
      </c>
      <c r="GC2" s="25" t="s">
        <v>810</v>
      </c>
      <c r="GD2" s="25" t="s">
        <v>809</v>
      </c>
      <c r="GE2" s="25" t="s">
        <v>808</v>
      </c>
      <c r="GF2" s="25" t="s">
        <v>807</v>
      </c>
      <c r="GG2" s="25" t="s">
        <v>806</v>
      </c>
      <c r="GH2" s="25" t="s">
        <v>805</v>
      </c>
      <c r="GI2" s="25" t="s">
        <v>804</v>
      </c>
      <c r="GJ2" s="25" t="s">
        <v>803</v>
      </c>
      <c r="GK2" s="25" t="s">
        <v>802</v>
      </c>
      <c r="GL2" s="25" t="s">
        <v>801</v>
      </c>
      <c r="GM2" s="25" t="s">
        <v>800</v>
      </c>
      <c r="GN2" s="25" t="s">
        <v>799</v>
      </c>
      <c r="GO2" s="25" t="s">
        <v>798</v>
      </c>
      <c r="GP2" s="25">
        <v>10795</v>
      </c>
      <c r="GQ2" s="25" t="s">
        <v>797</v>
      </c>
      <c r="GR2" s="25" t="s">
        <v>796</v>
      </c>
      <c r="GS2" s="25" t="s">
        <v>795</v>
      </c>
      <c r="GT2" s="25" t="s">
        <v>794</v>
      </c>
      <c r="GU2" s="25" t="s">
        <v>793</v>
      </c>
      <c r="GV2" s="25" t="s">
        <v>792</v>
      </c>
      <c r="GW2" s="25" t="s">
        <v>791</v>
      </c>
      <c r="GX2" s="25" t="s">
        <v>790</v>
      </c>
      <c r="GY2" s="25" t="s">
        <v>789</v>
      </c>
      <c r="GZ2" s="25" t="s">
        <v>788</v>
      </c>
      <c r="HA2" s="25" t="s">
        <v>787</v>
      </c>
      <c r="HB2" s="25" t="s">
        <v>786</v>
      </c>
      <c r="HC2" s="25" t="s">
        <v>785</v>
      </c>
      <c r="HD2" s="25" t="s">
        <v>784</v>
      </c>
      <c r="HE2" s="25" t="s">
        <v>783</v>
      </c>
      <c r="HF2" s="25" t="s">
        <v>782</v>
      </c>
      <c r="HG2" s="25" t="s">
        <v>781</v>
      </c>
      <c r="HH2" s="25" t="s">
        <v>780</v>
      </c>
      <c r="HI2" s="25" t="s">
        <v>779</v>
      </c>
      <c r="HJ2" s="25" t="s">
        <v>778</v>
      </c>
      <c r="HK2" s="25" t="s">
        <v>777</v>
      </c>
      <c r="HL2" s="25" t="s">
        <v>776</v>
      </c>
      <c r="HM2" s="25" t="s">
        <v>775</v>
      </c>
      <c r="HN2" s="25" t="s">
        <v>774</v>
      </c>
      <c r="HO2" s="25" t="s">
        <v>773</v>
      </c>
      <c r="HP2" s="25" t="s">
        <v>772</v>
      </c>
      <c r="HQ2" s="25" t="s">
        <v>771</v>
      </c>
      <c r="HR2" s="25" t="s">
        <v>770</v>
      </c>
      <c r="HS2" s="25" t="s">
        <v>769</v>
      </c>
      <c r="HT2" s="25" t="s">
        <v>768</v>
      </c>
      <c r="HU2" s="25" t="s">
        <v>767</v>
      </c>
      <c r="HV2" s="25" t="s">
        <v>766</v>
      </c>
      <c r="HW2" s="25" t="s">
        <v>765</v>
      </c>
      <c r="HX2" s="25" t="s">
        <v>764</v>
      </c>
      <c r="HY2" s="25" t="s">
        <v>763</v>
      </c>
      <c r="HZ2" s="25" t="s">
        <v>762</v>
      </c>
      <c r="IA2" s="25" t="s">
        <v>761</v>
      </c>
      <c r="IB2" s="25" t="s">
        <v>760</v>
      </c>
      <c r="IC2" s="25" t="s">
        <v>759</v>
      </c>
      <c r="ID2" s="25" t="s">
        <v>758</v>
      </c>
      <c r="IE2" s="25" t="s">
        <v>757</v>
      </c>
      <c r="IF2" s="25" t="s">
        <v>756</v>
      </c>
      <c r="IG2" s="25" t="s">
        <v>755</v>
      </c>
      <c r="IH2" s="25" t="s">
        <v>754</v>
      </c>
      <c r="II2" s="25" t="s">
        <v>753</v>
      </c>
      <c r="IJ2" s="25" t="s">
        <v>752</v>
      </c>
      <c r="IK2" s="25" t="s">
        <v>751</v>
      </c>
      <c r="IL2" s="25" t="s">
        <v>750</v>
      </c>
      <c r="IM2" s="25" t="s">
        <v>749</v>
      </c>
      <c r="IN2" s="25" t="s">
        <v>748</v>
      </c>
      <c r="IO2" s="25" t="s">
        <v>747</v>
      </c>
      <c r="IP2" s="25" t="s">
        <v>746</v>
      </c>
      <c r="IQ2" s="25" t="s">
        <v>745</v>
      </c>
      <c r="IR2" s="25" t="s">
        <v>744</v>
      </c>
      <c r="IS2" s="25" t="s">
        <v>743</v>
      </c>
      <c r="IT2" s="25" t="s">
        <v>742</v>
      </c>
      <c r="IU2" s="25" t="s">
        <v>741</v>
      </c>
      <c r="IV2" s="25" t="s">
        <v>740</v>
      </c>
      <c r="IW2" s="25" t="s">
        <v>739</v>
      </c>
      <c r="IX2" s="25" t="s">
        <v>738</v>
      </c>
      <c r="IY2" s="25" t="s">
        <v>737</v>
      </c>
      <c r="IZ2" s="25" t="s">
        <v>736</v>
      </c>
      <c r="JA2" s="25" t="s">
        <v>735</v>
      </c>
      <c r="JB2" s="25" t="s">
        <v>734</v>
      </c>
      <c r="JC2" s="25" t="s">
        <v>733</v>
      </c>
      <c r="JD2" s="25" t="s">
        <v>732</v>
      </c>
      <c r="JE2" s="25" t="s">
        <v>731</v>
      </c>
      <c r="JF2" s="25" t="s">
        <v>730</v>
      </c>
      <c r="JG2" s="25" t="s">
        <v>729</v>
      </c>
      <c r="JH2" s="25" t="s">
        <v>728</v>
      </c>
      <c r="JI2" s="25" t="s">
        <v>727</v>
      </c>
      <c r="JJ2" s="25" t="s">
        <v>726</v>
      </c>
      <c r="JK2" s="25" t="s">
        <v>725</v>
      </c>
      <c r="JL2" s="25" t="s">
        <v>724</v>
      </c>
      <c r="JM2" s="25" t="s">
        <v>723</v>
      </c>
      <c r="JN2" s="25" t="s">
        <v>722</v>
      </c>
      <c r="JO2" s="25" t="s">
        <v>721</v>
      </c>
      <c r="JP2" s="25" t="s">
        <v>720</v>
      </c>
      <c r="JQ2" s="25" t="s">
        <v>719</v>
      </c>
      <c r="JR2" s="25" t="s">
        <v>718</v>
      </c>
      <c r="JS2" s="25" t="s">
        <v>717</v>
      </c>
      <c r="JT2" s="25" t="s">
        <v>716</v>
      </c>
      <c r="JU2" s="25" t="s">
        <v>715</v>
      </c>
      <c r="JV2" s="25" t="s">
        <v>714</v>
      </c>
      <c r="JW2" s="25" t="s">
        <v>713</v>
      </c>
      <c r="JX2" s="25" t="s">
        <v>712</v>
      </c>
      <c r="JY2" s="25" t="s">
        <v>711</v>
      </c>
      <c r="JZ2" s="25" t="s">
        <v>710</v>
      </c>
      <c r="KA2" s="25" t="s">
        <v>709</v>
      </c>
      <c r="KB2" s="25" t="s">
        <v>708</v>
      </c>
      <c r="KC2" s="25" t="s">
        <v>707</v>
      </c>
      <c r="KD2" s="25" t="s">
        <v>706</v>
      </c>
      <c r="KE2" s="25" t="s">
        <v>705</v>
      </c>
      <c r="KF2" s="25" t="s">
        <v>704</v>
      </c>
      <c r="KG2" s="25" t="s">
        <v>703</v>
      </c>
      <c r="KH2" s="25" t="s">
        <v>702</v>
      </c>
      <c r="KI2" s="25" t="s">
        <v>701</v>
      </c>
      <c r="KJ2" s="25" t="s">
        <v>700</v>
      </c>
      <c r="KK2" s="25" t="s">
        <v>699</v>
      </c>
      <c r="KL2" s="25" t="s">
        <v>698</v>
      </c>
      <c r="KM2" s="25" t="s">
        <v>697</v>
      </c>
      <c r="KN2" s="25" t="s">
        <v>696</v>
      </c>
      <c r="KO2" s="25" t="s">
        <v>695</v>
      </c>
      <c r="KP2" s="25" t="s">
        <v>694</v>
      </c>
      <c r="KQ2" s="25" t="s">
        <v>693</v>
      </c>
      <c r="KR2" s="25" t="s">
        <v>692</v>
      </c>
      <c r="KS2" s="25" t="s">
        <v>691</v>
      </c>
      <c r="KT2" s="25" t="s">
        <v>690</v>
      </c>
      <c r="KU2" s="25" t="s">
        <v>689</v>
      </c>
      <c r="KV2" s="25" t="s">
        <v>688</v>
      </c>
      <c r="KW2" s="25" t="s">
        <v>687</v>
      </c>
      <c r="KX2" s="25" t="s">
        <v>686</v>
      </c>
      <c r="KY2" s="25" t="s">
        <v>595</v>
      </c>
      <c r="KZ2" s="25" t="s">
        <v>596</v>
      </c>
      <c r="LA2" s="25" t="s">
        <v>597</v>
      </c>
      <c r="LB2" s="25" t="s">
        <v>626</v>
      </c>
      <c r="LC2" s="25" t="s">
        <v>651</v>
      </c>
      <c r="LD2" s="25" t="s">
        <v>652</v>
      </c>
      <c r="LE2" s="25" t="s">
        <v>685</v>
      </c>
      <c r="LF2" s="25" t="s">
        <v>1293</v>
      </c>
      <c r="LG2" s="25" t="s">
        <v>1294</v>
      </c>
      <c r="LH2" s="25" t="s">
        <v>1295</v>
      </c>
      <c r="LI2" s="25" t="s">
        <v>1297</v>
      </c>
      <c r="LJ2" s="25" t="s">
        <v>1299</v>
      </c>
      <c r="LK2" s="25" t="s">
        <v>1490</v>
      </c>
      <c r="LL2" s="25" t="s">
        <v>1300</v>
      </c>
      <c r="LM2" s="25" t="s">
        <v>1307</v>
      </c>
      <c r="LN2" s="25" t="s">
        <v>1318</v>
      </c>
      <c r="LO2" s="25" t="s">
        <v>1331</v>
      </c>
      <c r="LP2" s="25" t="s">
        <v>1352</v>
      </c>
      <c r="LQ2" s="25" t="s">
        <v>1353</v>
      </c>
      <c r="LR2" s="25" t="s">
        <v>1358</v>
      </c>
      <c r="LS2" s="25" t="s">
        <v>1360</v>
      </c>
      <c r="LT2" s="25" t="s">
        <v>1361</v>
      </c>
      <c r="LU2" s="25" t="s">
        <v>1368</v>
      </c>
      <c r="LV2" s="25" t="s">
        <v>1375</v>
      </c>
      <c r="LW2" s="25" t="s">
        <v>1373</v>
      </c>
      <c r="LX2" s="25" t="s">
        <v>1374</v>
      </c>
      <c r="LY2" s="25" t="s">
        <v>1379</v>
      </c>
      <c r="LZ2" s="25" t="s">
        <v>1380</v>
      </c>
      <c r="MA2" s="25" t="s">
        <v>1381</v>
      </c>
      <c r="MB2" s="25" t="s">
        <v>1392</v>
      </c>
      <c r="MC2" s="25" t="s">
        <v>1393</v>
      </c>
      <c r="MD2" s="25" t="s">
        <v>1389</v>
      </c>
      <c r="ME2" s="25" t="s">
        <v>1395</v>
      </c>
      <c r="MF2" s="25" t="s">
        <v>1396</v>
      </c>
      <c r="MG2" s="25" t="s">
        <v>1398</v>
      </c>
      <c r="MH2" s="25" t="s">
        <v>1399</v>
      </c>
      <c r="MI2" s="25" t="s">
        <v>1400</v>
      </c>
      <c r="MJ2" s="25" t="s">
        <v>1409</v>
      </c>
      <c r="MK2" s="25" t="s">
        <v>1401</v>
      </c>
      <c r="ML2" s="25" t="s">
        <v>1408</v>
      </c>
      <c r="MM2" s="25" t="s">
        <v>1412</v>
      </c>
      <c r="MN2" s="25" t="s">
        <v>1413</v>
      </c>
      <c r="MO2" s="25" t="s">
        <v>1414</v>
      </c>
      <c r="MP2" s="25" t="s">
        <v>1418</v>
      </c>
      <c r="MQ2" s="25" t="s">
        <v>1465</v>
      </c>
      <c r="MR2" s="25" t="s">
        <v>1466</v>
      </c>
      <c r="MS2" s="25" t="s">
        <v>1469</v>
      </c>
      <c r="MT2" s="25" t="s">
        <v>1475</v>
      </c>
      <c r="MU2" s="25" t="s">
        <v>1478</v>
      </c>
      <c r="MV2" s="25" t="s">
        <v>1479</v>
      </c>
      <c r="MW2" s="25" t="s">
        <v>1480</v>
      </c>
      <c r="MX2" s="25" t="s">
        <v>1481</v>
      </c>
      <c r="MY2" s="25" t="s">
        <v>1483</v>
      </c>
      <c r="MZ2" s="25" t="s">
        <v>1484</v>
      </c>
      <c r="NA2" s="25" t="s">
        <v>1485</v>
      </c>
      <c r="NB2" s="25" t="s">
        <v>1486</v>
      </c>
      <c r="NC2" s="25" t="s">
        <v>1487</v>
      </c>
      <c r="ND2" s="25" t="s">
        <v>1488</v>
      </c>
      <c r="NE2" s="25" t="s">
        <v>1567</v>
      </c>
      <c r="NF2" s="25" t="s">
        <v>1568</v>
      </c>
      <c r="NG2" s="25" t="s">
        <v>1569</v>
      </c>
      <c r="NH2" s="25" t="s">
        <v>1607</v>
      </c>
      <c r="NI2" s="25" t="s">
        <v>1608</v>
      </c>
      <c r="NJ2" s="25" t="s">
        <v>1609</v>
      </c>
      <c r="NK2" s="25" t="s">
        <v>1611</v>
      </c>
      <c r="NL2" s="25" t="s">
        <v>1610</v>
      </c>
      <c r="NM2" s="25" t="s">
        <v>1612</v>
      </c>
      <c r="NN2" s="25" t="s">
        <v>1640</v>
      </c>
      <c r="NO2" s="25" t="s">
        <v>1639</v>
      </c>
      <c r="NP2" s="25" t="s">
        <v>1641</v>
      </c>
      <c r="NQ2" s="25" t="s">
        <v>1642</v>
      </c>
      <c r="NR2" s="25" t="s">
        <v>1649</v>
      </c>
      <c r="NS2" s="25" t="s">
        <v>1650</v>
      </c>
      <c r="NT2" s="25" t="s">
        <v>1651</v>
      </c>
      <c r="NU2" s="25" t="s">
        <v>1656</v>
      </c>
      <c r="NV2" s="25" t="s">
        <v>1657</v>
      </c>
      <c r="NW2" s="25" t="s">
        <v>1664</v>
      </c>
      <c r="NX2" s="25" t="s">
        <v>1665</v>
      </c>
      <c r="NY2" s="25" t="s">
        <v>1666</v>
      </c>
      <c r="NZ2" s="25" t="s">
        <v>1667</v>
      </c>
      <c r="OA2" s="25" t="s">
        <v>1668</v>
      </c>
      <c r="OB2" s="25" t="s">
        <v>1669</v>
      </c>
      <c r="OC2" s="25" t="s">
        <v>1670</v>
      </c>
      <c r="OD2" s="25" t="s">
        <v>1683</v>
      </c>
      <c r="OE2" s="25" t="s">
        <v>1684</v>
      </c>
      <c r="OF2" s="25" t="s">
        <v>1685</v>
      </c>
      <c r="OG2" s="25" t="s">
        <v>1686</v>
      </c>
      <c r="OH2" s="25" t="s">
        <v>1687</v>
      </c>
      <c r="OI2" s="25" t="s">
        <v>1688</v>
      </c>
      <c r="OJ2" s="25" t="s">
        <v>1689</v>
      </c>
      <c r="OK2" s="25" t="s">
        <v>1690</v>
      </c>
      <c r="OL2" s="25" t="s">
        <v>1691</v>
      </c>
      <c r="OM2" s="25" t="s">
        <v>1812</v>
      </c>
      <c r="ON2" s="25" t="s">
        <v>1813</v>
      </c>
      <c r="OO2" s="25" t="s">
        <v>1814</v>
      </c>
      <c r="OP2" s="25" t="s">
        <v>1815</v>
      </c>
      <c r="OQ2" s="25" t="s">
        <v>1816</v>
      </c>
      <c r="OR2" s="25" t="s">
        <v>1806</v>
      </c>
      <c r="OS2" s="25" t="s">
        <v>1807</v>
      </c>
      <c r="OT2" s="25" t="s">
        <v>1808</v>
      </c>
      <c r="OU2" s="25" t="s">
        <v>1809</v>
      </c>
      <c r="OV2" s="25" t="s">
        <v>1810</v>
      </c>
      <c r="OW2" s="25" t="s">
        <v>1811</v>
      </c>
      <c r="OX2" s="25" t="s">
        <v>1820</v>
      </c>
      <c r="OY2" s="25" t="s">
        <v>1821</v>
      </c>
      <c r="OZ2" s="25" t="s">
        <v>1824</v>
      </c>
      <c r="PA2" s="25" t="s">
        <v>1823</v>
      </c>
      <c r="PB2" s="25" t="s">
        <v>1825</v>
      </c>
      <c r="PC2" s="25" t="s">
        <v>1826</v>
      </c>
      <c r="PD2" s="25" t="s">
        <v>1827</v>
      </c>
      <c r="PE2" s="25" t="s">
        <v>1831</v>
      </c>
      <c r="PF2" s="25" t="s">
        <v>1832</v>
      </c>
      <c r="PG2" s="25" t="s">
        <v>1833</v>
      </c>
      <c r="PH2" s="25" t="s">
        <v>1834</v>
      </c>
      <c r="PI2" s="25" t="s">
        <v>1835</v>
      </c>
      <c r="PJ2" s="25" t="s">
        <v>1836</v>
      </c>
      <c r="PK2" s="25" t="s">
        <v>1840</v>
      </c>
      <c r="PL2" s="25" t="s">
        <v>1841</v>
      </c>
      <c r="PM2" s="25" t="s">
        <v>1842</v>
      </c>
      <c r="PN2" s="25" t="s">
        <v>1843</v>
      </c>
      <c r="PO2" s="25" t="s">
        <v>1844</v>
      </c>
      <c r="PP2" s="25" t="s">
        <v>1878</v>
      </c>
      <c r="PQ2" s="25" t="s">
        <v>1879</v>
      </c>
      <c r="PR2" s="25" t="s">
        <v>1880</v>
      </c>
      <c r="PS2" s="25" t="s">
        <v>1881</v>
      </c>
      <c r="PT2" s="25"/>
      <c r="PU2" s="25"/>
      <c r="PV2" s="25"/>
      <c r="PW2" s="25"/>
      <c r="PX2" s="25"/>
      <c r="PY2" s="25"/>
    </row>
    <row r="3" spans="1:441" s="28" customFormat="1" ht="12" customHeight="1" x14ac:dyDescent="0.25">
      <c r="A3" s="26"/>
      <c r="B3" s="26"/>
      <c r="C3" s="26"/>
      <c r="D3" s="26"/>
      <c r="E3" s="38" t="s">
        <v>187</v>
      </c>
      <c r="F3" s="27" t="s">
        <v>684</v>
      </c>
      <c r="G3" s="27">
        <v>45609</v>
      </c>
      <c r="H3" s="27">
        <v>45617</v>
      </c>
      <c r="I3" s="27">
        <v>45633</v>
      </c>
      <c r="J3" s="27">
        <v>45634</v>
      </c>
      <c r="K3" s="27">
        <v>45635</v>
      </c>
      <c r="L3" s="27">
        <v>45635</v>
      </c>
      <c r="M3" s="27">
        <v>45636</v>
      </c>
      <c r="N3" s="27">
        <v>45637</v>
      </c>
      <c r="O3" s="27">
        <v>45640</v>
      </c>
      <c r="P3" s="27">
        <v>45641</v>
      </c>
      <c r="Q3" s="27">
        <v>45642</v>
      </c>
      <c r="R3" s="27">
        <v>45643</v>
      </c>
      <c r="S3" s="34">
        <v>45644</v>
      </c>
      <c r="T3" s="34">
        <v>45647</v>
      </c>
      <c r="U3" s="34">
        <v>45648</v>
      </c>
      <c r="V3" s="34">
        <v>45649</v>
      </c>
      <c r="W3" s="34">
        <v>45650</v>
      </c>
      <c r="X3" s="34">
        <v>45651</v>
      </c>
      <c r="Y3" s="34">
        <v>45652</v>
      </c>
      <c r="Z3" s="34">
        <v>45653</v>
      </c>
      <c r="AA3" s="34">
        <v>45654</v>
      </c>
      <c r="AB3" s="34">
        <v>46019</v>
      </c>
      <c r="AC3" s="34">
        <v>46022</v>
      </c>
      <c r="AD3" s="34">
        <v>46022</v>
      </c>
      <c r="AE3" s="34">
        <v>45658</v>
      </c>
      <c r="AF3" s="34">
        <v>45659</v>
      </c>
      <c r="AG3" s="34">
        <v>45661</v>
      </c>
      <c r="AH3" s="34">
        <v>45662</v>
      </c>
      <c r="AI3" s="34">
        <v>45665</v>
      </c>
      <c r="AJ3" s="34">
        <v>45666</v>
      </c>
      <c r="AK3" s="34">
        <v>45668</v>
      </c>
      <c r="AL3" s="34">
        <v>45671</v>
      </c>
      <c r="AM3" s="34">
        <v>45675</v>
      </c>
      <c r="AN3" s="34">
        <v>45677</v>
      </c>
      <c r="AO3" s="34">
        <v>45678</v>
      </c>
      <c r="AP3" s="34">
        <v>45680</v>
      </c>
      <c r="AQ3" s="34">
        <v>45682</v>
      </c>
      <c r="AR3" s="34">
        <v>45683</v>
      </c>
      <c r="AS3" s="34">
        <v>45685</v>
      </c>
      <c r="AT3" s="34" t="s">
        <v>683</v>
      </c>
      <c r="AU3" s="27">
        <v>45687</v>
      </c>
      <c r="AV3" s="27">
        <v>45691</v>
      </c>
      <c r="AW3" s="27">
        <v>45692</v>
      </c>
      <c r="AX3" s="27">
        <v>45696</v>
      </c>
      <c r="AY3" s="27">
        <v>45697</v>
      </c>
      <c r="AZ3" s="27">
        <v>45700</v>
      </c>
      <c r="BA3" s="27">
        <v>45705</v>
      </c>
      <c r="BB3" s="27">
        <v>45706</v>
      </c>
      <c r="BC3" s="27">
        <v>45706</v>
      </c>
      <c r="BD3" s="27">
        <v>45708</v>
      </c>
      <c r="BE3" s="27">
        <v>45708</v>
      </c>
      <c r="BF3" s="27">
        <v>45711</v>
      </c>
      <c r="BG3" s="27">
        <v>45711</v>
      </c>
      <c r="BH3" s="27">
        <v>45713</v>
      </c>
      <c r="BI3" s="27">
        <v>45714</v>
      </c>
      <c r="BJ3" s="27">
        <v>45715</v>
      </c>
      <c r="BK3" s="27">
        <v>45717</v>
      </c>
      <c r="BL3" s="27">
        <v>45718</v>
      </c>
      <c r="BM3" s="27">
        <v>45719</v>
      </c>
      <c r="BN3" s="27">
        <v>45720</v>
      </c>
      <c r="BO3" s="27">
        <v>45721</v>
      </c>
      <c r="BP3" s="27">
        <v>45721</v>
      </c>
      <c r="BQ3" s="27">
        <v>45722</v>
      </c>
      <c r="BR3" s="27">
        <v>45725</v>
      </c>
      <c r="BS3" s="27">
        <v>45726</v>
      </c>
      <c r="BT3" s="27">
        <v>45728</v>
      </c>
      <c r="BU3" s="27">
        <v>45729</v>
      </c>
      <c r="BV3" s="27">
        <v>45729</v>
      </c>
      <c r="BW3" s="27">
        <v>45730</v>
      </c>
      <c r="BX3" s="27">
        <v>45730</v>
      </c>
      <c r="BY3" s="27">
        <v>45732</v>
      </c>
      <c r="BZ3" s="27">
        <v>45733</v>
      </c>
      <c r="CA3" s="27">
        <v>45733</v>
      </c>
      <c r="CB3" s="27">
        <v>45733</v>
      </c>
      <c r="CC3" s="27">
        <v>45734</v>
      </c>
      <c r="CD3" s="27">
        <v>45734</v>
      </c>
      <c r="CE3" s="27">
        <v>45734</v>
      </c>
      <c r="CF3" s="27">
        <v>45734</v>
      </c>
      <c r="CG3" s="27">
        <v>45736</v>
      </c>
      <c r="CH3" s="27">
        <v>45736</v>
      </c>
      <c r="CI3" s="27">
        <v>45736</v>
      </c>
      <c r="CJ3" s="27">
        <v>45739</v>
      </c>
      <c r="CK3" s="27">
        <v>45739</v>
      </c>
      <c r="CL3" s="27">
        <v>45739</v>
      </c>
      <c r="CM3" s="27">
        <v>45739</v>
      </c>
      <c r="CN3" s="27">
        <v>45740</v>
      </c>
      <c r="CO3" s="27">
        <v>45741</v>
      </c>
      <c r="CP3" s="27">
        <v>45742</v>
      </c>
      <c r="CQ3" s="27">
        <v>45743</v>
      </c>
      <c r="CR3" s="27">
        <v>45743</v>
      </c>
      <c r="CS3" s="27">
        <v>45743</v>
      </c>
      <c r="CT3" s="27">
        <v>45745</v>
      </c>
      <c r="CU3" s="27">
        <v>45745</v>
      </c>
      <c r="CV3" s="27">
        <v>45745</v>
      </c>
      <c r="CW3" s="27">
        <v>45747</v>
      </c>
      <c r="CX3" s="27">
        <v>45747</v>
      </c>
      <c r="CY3" s="27">
        <v>45749</v>
      </c>
      <c r="CZ3" s="27">
        <v>45749</v>
      </c>
      <c r="DA3" s="27">
        <v>45750</v>
      </c>
      <c r="DB3" s="27">
        <v>45750</v>
      </c>
      <c r="DC3" s="27">
        <v>45750</v>
      </c>
      <c r="DD3" s="27">
        <v>45752</v>
      </c>
      <c r="DE3" s="27">
        <v>45752</v>
      </c>
      <c r="DF3" s="27">
        <v>45754</v>
      </c>
      <c r="DG3" s="27">
        <v>45754</v>
      </c>
      <c r="DH3" s="27">
        <v>45755</v>
      </c>
      <c r="DI3" s="27">
        <v>45755</v>
      </c>
      <c r="DJ3" s="27">
        <v>45756</v>
      </c>
      <c r="DK3" s="27">
        <v>45756</v>
      </c>
      <c r="DL3" s="27">
        <v>45757</v>
      </c>
      <c r="DM3" s="27">
        <v>45757</v>
      </c>
      <c r="DN3" s="27">
        <v>45757</v>
      </c>
      <c r="DO3" s="27">
        <v>45759</v>
      </c>
      <c r="DP3" s="27">
        <v>45759</v>
      </c>
      <c r="DQ3" s="27">
        <v>45759</v>
      </c>
      <c r="DR3" s="27">
        <v>45760</v>
      </c>
      <c r="DS3" s="27">
        <v>45760</v>
      </c>
      <c r="DT3" s="27">
        <v>45760</v>
      </c>
      <c r="DU3" s="27">
        <v>45761</v>
      </c>
      <c r="DV3" s="27">
        <v>45761</v>
      </c>
      <c r="DW3" s="27">
        <v>45762</v>
      </c>
      <c r="DX3" s="27">
        <v>45762</v>
      </c>
      <c r="DY3" s="27">
        <v>45762</v>
      </c>
      <c r="DZ3" s="27">
        <v>45763</v>
      </c>
      <c r="EA3" s="27">
        <v>45764</v>
      </c>
      <c r="EB3" s="27">
        <v>45764</v>
      </c>
      <c r="EC3" s="27">
        <v>45766</v>
      </c>
      <c r="ED3" s="27">
        <v>45766</v>
      </c>
      <c r="EE3" s="27">
        <v>45766</v>
      </c>
      <c r="EF3" s="27">
        <v>45767</v>
      </c>
      <c r="EG3" s="27">
        <v>45767</v>
      </c>
      <c r="EH3" s="27">
        <v>45767</v>
      </c>
      <c r="EI3" s="27">
        <v>45768</v>
      </c>
      <c r="EJ3" s="27">
        <v>45768</v>
      </c>
      <c r="EK3" s="27">
        <v>45769</v>
      </c>
      <c r="EL3" s="27">
        <v>45769</v>
      </c>
      <c r="EM3" s="27">
        <v>45770</v>
      </c>
      <c r="EN3" s="27">
        <v>45770</v>
      </c>
      <c r="EO3" s="27">
        <v>45770</v>
      </c>
      <c r="EP3" s="27">
        <v>45771</v>
      </c>
      <c r="EQ3" s="27">
        <v>45771</v>
      </c>
      <c r="ER3" s="27">
        <v>45773</v>
      </c>
      <c r="ES3" s="27">
        <v>45773</v>
      </c>
      <c r="ET3" s="27">
        <v>45773</v>
      </c>
      <c r="EU3" s="27">
        <v>45774</v>
      </c>
      <c r="EV3" s="27">
        <v>45774</v>
      </c>
      <c r="EW3" s="27">
        <v>45774</v>
      </c>
      <c r="EX3" s="27">
        <v>45775</v>
      </c>
      <c r="EY3" s="27">
        <v>45776</v>
      </c>
      <c r="EZ3" s="27">
        <v>45776</v>
      </c>
      <c r="FA3" s="27">
        <v>45776</v>
      </c>
      <c r="FB3" s="27">
        <v>45777</v>
      </c>
      <c r="FC3" s="27">
        <v>45777</v>
      </c>
      <c r="FD3" s="27">
        <v>45777</v>
      </c>
      <c r="FE3" s="27">
        <v>45778</v>
      </c>
      <c r="FF3" s="27">
        <v>45778</v>
      </c>
      <c r="FG3" s="27">
        <v>45778</v>
      </c>
      <c r="FH3" s="27">
        <v>45780</v>
      </c>
      <c r="FI3" s="27">
        <v>45780</v>
      </c>
      <c r="FJ3" s="27">
        <v>45780</v>
      </c>
      <c r="FK3" s="27">
        <v>45781</v>
      </c>
      <c r="FL3" s="27">
        <v>45781</v>
      </c>
      <c r="FM3" s="27">
        <v>45782</v>
      </c>
      <c r="FN3" s="27">
        <v>45782</v>
      </c>
      <c r="FO3" s="27">
        <v>45783</v>
      </c>
      <c r="FP3" s="27">
        <v>45783</v>
      </c>
      <c r="FQ3" s="27">
        <v>45784</v>
      </c>
      <c r="FR3" s="27">
        <v>45784</v>
      </c>
      <c r="FS3" s="27">
        <v>45784</v>
      </c>
      <c r="FT3" s="27">
        <v>45785</v>
      </c>
      <c r="FU3" s="27">
        <v>45785</v>
      </c>
      <c r="FV3" s="27">
        <v>45785</v>
      </c>
      <c r="FW3" s="27">
        <v>45787</v>
      </c>
      <c r="FX3" s="27">
        <v>45787</v>
      </c>
      <c r="FY3" s="27">
        <v>45787</v>
      </c>
      <c r="FZ3" s="27">
        <v>45788</v>
      </c>
      <c r="GA3" s="27">
        <v>45788</v>
      </c>
      <c r="GB3" s="27">
        <v>45789</v>
      </c>
      <c r="GC3" s="27">
        <v>45790</v>
      </c>
      <c r="GD3" s="27">
        <v>45791</v>
      </c>
      <c r="GE3" s="27">
        <v>45794</v>
      </c>
      <c r="GF3" s="27">
        <v>45794</v>
      </c>
      <c r="GG3" s="27">
        <v>45795</v>
      </c>
      <c r="GH3" s="27">
        <v>45796</v>
      </c>
      <c r="GI3" s="27">
        <v>45796</v>
      </c>
      <c r="GJ3" s="27">
        <v>45797</v>
      </c>
      <c r="GK3" s="27">
        <v>45797</v>
      </c>
      <c r="GL3" s="27">
        <v>45798</v>
      </c>
      <c r="GM3" s="27">
        <v>45799</v>
      </c>
      <c r="GN3" s="27">
        <v>45799</v>
      </c>
      <c r="GO3" s="27">
        <v>45801</v>
      </c>
      <c r="GP3" s="27">
        <v>45801</v>
      </c>
      <c r="GQ3" s="27">
        <v>45802</v>
      </c>
      <c r="GR3" s="27">
        <v>45802</v>
      </c>
      <c r="GS3" s="27">
        <v>45803</v>
      </c>
      <c r="GT3" s="27">
        <v>45803</v>
      </c>
      <c r="GU3" s="27">
        <v>45804</v>
      </c>
      <c r="GV3" s="27">
        <v>45804</v>
      </c>
      <c r="GW3" s="27">
        <v>45805</v>
      </c>
      <c r="GX3" s="27">
        <v>45805</v>
      </c>
      <c r="GY3" s="27">
        <v>45806</v>
      </c>
      <c r="GZ3" s="27">
        <v>45806</v>
      </c>
      <c r="HA3" s="27">
        <v>45806</v>
      </c>
      <c r="HB3" s="27">
        <v>45808</v>
      </c>
      <c r="HC3" s="27">
        <v>45808</v>
      </c>
      <c r="HD3" s="27">
        <v>45809</v>
      </c>
      <c r="HE3" s="27">
        <v>45809</v>
      </c>
      <c r="HF3" s="27">
        <v>45810</v>
      </c>
      <c r="HG3" s="27">
        <v>45810</v>
      </c>
      <c r="HH3" s="27">
        <v>45811</v>
      </c>
      <c r="HI3" s="27">
        <v>45813</v>
      </c>
      <c r="HJ3" s="27">
        <v>45819</v>
      </c>
      <c r="HK3" s="27">
        <v>45820</v>
      </c>
      <c r="HL3" s="27">
        <v>45820</v>
      </c>
      <c r="HM3" s="27">
        <v>45822</v>
      </c>
      <c r="HN3" s="27">
        <v>45822</v>
      </c>
      <c r="HO3" s="27">
        <v>45823</v>
      </c>
      <c r="HP3" s="27">
        <v>45825</v>
      </c>
      <c r="HQ3" s="27">
        <v>45826</v>
      </c>
      <c r="HR3" s="27">
        <v>45829</v>
      </c>
      <c r="HS3" s="27">
        <v>45830</v>
      </c>
      <c r="HT3" s="27">
        <v>45832</v>
      </c>
      <c r="HU3" s="27">
        <v>45833</v>
      </c>
      <c r="HV3" s="27">
        <v>45833</v>
      </c>
      <c r="HW3" s="27">
        <v>45836</v>
      </c>
      <c r="HX3" s="27">
        <v>45838</v>
      </c>
      <c r="HY3" s="27">
        <v>45839</v>
      </c>
      <c r="HZ3" s="27">
        <v>45842</v>
      </c>
      <c r="IA3" s="27">
        <v>45843</v>
      </c>
      <c r="IB3" s="27">
        <v>45844</v>
      </c>
      <c r="IC3" s="27">
        <v>45844</v>
      </c>
      <c r="ID3" s="27">
        <v>45845</v>
      </c>
      <c r="IE3" s="27">
        <v>45846</v>
      </c>
      <c r="IF3" s="27">
        <v>45846</v>
      </c>
      <c r="IG3" s="27">
        <v>45847</v>
      </c>
      <c r="IH3" s="27">
        <v>45851</v>
      </c>
      <c r="II3" s="27">
        <v>45852</v>
      </c>
      <c r="IJ3" s="27">
        <v>45853</v>
      </c>
      <c r="IK3" s="27">
        <v>45854</v>
      </c>
      <c r="IL3" s="27">
        <v>45857</v>
      </c>
      <c r="IM3" s="27">
        <v>45857</v>
      </c>
      <c r="IN3" s="27">
        <v>45858</v>
      </c>
      <c r="IO3" s="27">
        <v>45859</v>
      </c>
      <c r="IP3" s="27">
        <v>45859</v>
      </c>
      <c r="IQ3" s="27">
        <v>45861</v>
      </c>
      <c r="IR3" s="27">
        <v>45861</v>
      </c>
      <c r="IS3" s="27">
        <v>45862</v>
      </c>
      <c r="IT3" s="27">
        <v>45864</v>
      </c>
      <c r="IU3" s="27">
        <v>45864</v>
      </c>
      <c r="IV3" s="27">
        <v>45865</v>
      </c>
      <c r="IW3" s="27">
        <v>45865</v>
      </c>
      <c r="IX3" s="27">
        <v>45866</v>
      </c>
      <c r="IY3" s="27">
        <v>45867</v>
      </c>
      <c r="IZ3" s="27">
        <v>45867</v>
      </c>
      <c r="JA3" s="27">
        <v>45868</v>
      </c>
      <c r="JB3" s="27">
        <v>45869</v>
      </c>
      <c r="JC3" s="27">
        <v>45869</v>
      </c>
      <c r="JD3" s="27">
        <v>45871</v>
      </c>
      <c r="JE3" s="27">
        <v>45871</v>
      </c>
      <c r="JF3" s="27">
        <v>45871</v>
      </c>
      <c r="JG3" s="27">
        <v>45872</v>
      </c>
      <c r="JH3" s="27">
        <v>45873</v>
      </c>
      <c r="JI3" s="27">
        <v>45873</v>
      </c>
      <c r="JJ3" s="27">
        <v>45873</v>
      </c>
      <c r="JK3" s="27">
        <v>45873</v>
      </c>
      <c r="JL3" s="27">
        <v>45874</v>
      </c>
      <c r="JM3" s="27">
        <v>45874</v>
      </c>
      <c r="JN3" s="27">
        <v>45875</v>
      </c>
      <c r="JO3" s="27">
        <v>45875</v>
      </c>
      <c r="JP3" s="27">
        <v>45876</v>
      </c>
      <c r="JQ3" s="27">
        <v>45878</v>
      </c>
      <c r="JR3" s="27">
        <v>45878</v>
      </c>
      <c r="JS3" s="27">
        <v>45879</v>
      </c>
      <c r="JT3" s="27">
        <v>45879</v>
      </c>
      <c r="JU3" s="27">
        <v>45879</v>
      </c>
      <c r="JV3" s="27">
        <v>45881</v>
      </c>
      <c r="JW3" s="27">
        <v>45882</v>
      </c>
      <c r="JX3" s="27">
        <v>45882</v>
      </c>
      <c r="JY3" s="27">
        <v>45883</v>
      </c>
      <c r="JZ3" s="27">
        <v>45883</v>
      </c>
      <c r="KA3" s="27">
        <v>45885</v>
      </c>
      <c r="KB3" s="27">
        <v>45887</v>
      </c>
      <c r="KC3" s="27">
        <v>45888</v>
      </c>
      <c r="KD3" s="27">
        <v>45888</v>
      </c>
      <c r="KE3" s="27">
        <v>45888</v>
      </c>
      <c r="KF3" s="27">
        <v>45889</v>
      </c>
      <c r="KG3" s="27">
        <v>45889</v>
      </c>
      <c r="KH3" s="27">
        <v>45890</v>
      </c>
      <c r="KI3" s="27">
        <v>45890</v>
      </c>
      <c r="KJ3" s="27">
        <v>45892</v>
      </c>
      <c r="KK3" s="27">
        <v>45892</v>
      </c>
      <c r="KL3" s="27">
        <v>45893</v>
      </c>
      <c r="KM3" s="27">
        <v>45893</v>
      </c>
      <c r="KN3" s="27">
        <v>45894</v>
      </c>
      <c r="KO3" s="27">
        <v>45894</v>
      </c>
      <c r="KP3" s="27">
        <v>45895</v>
      </c>
      <c r="KQ3" s="27">
        <v>45897</v>
      </c>
      <c r="KR3" s="27">
        <v>45896</v>
      </c>
      <c r="KS3" s="27">
        <v>45899</v>
      </c>
      <c r="KT3" s="27">
        <v>45899</v>
      </c>
      <c r="KU3" s="27">
        <v>45900</v>
      </c>
      <c r="KV3" s="27">
        <v>45901</v>
      </c>
      <c r="KW3" s="27">
        <v>45904</v>
      </c>
      <c r="KX3" s="27">
        <v>45906</v>
      </c>
      <c r="KY3" s="27">
        <v>45924</v>
      </c>
      <c r="KZ3" s="27">
        <v>45924</v>
      </c>
      <c r="LA3" s="27">
        <v>45924</v>
      </c>
      <c r="LB3" s="27">
        <v>45934</v>
      </c>
      <c r="LC3" s="27">
        <v>45941</v>
      </c>
      <c r="LD3" s="27">
        <v>45951</v>
      </c>
      <c r="LE3" s="27">
        <v>45955</v>
      </c>
      <c r="LF3" s="27">
        <v>45956</v>
      </c>
      <c r="LG3" s="27">
        <v>45957</v>
      </c>
      <c r="LH3" s="27">
        <v>45960</v>
      </c>
      <c r="LI3" s="27">
        <v>45964</v>
      </c>
      <c r="LJ3" s="27">
        <v>45966</v>
      </c>
      <c r="LK3" s="27" t="s">
        <v>35</v>
      </c>
      <c r="LL3" s="27">
        <v>45967</v>
      </c>
      <c r="LM3" s="27">
        <v>45969</v>
      </c>
      <c r="LN3" s="27">
        <v>45971</v>
      </c>
      <c r="LO3" s="27">
        <v>45972</v>
      </c>
      <c r="LP3" s="27">
        <v>45974</v>
      </c>
      <c r="LQ3" s="27">
        <v>45976</v>
      </c>
      <c r="LR3" s="27">
        <v>45977</v>
      </c>
      <c r="LS3" s="27">
        <v>45978</v>
      </c>
      <c r="LT3" s="27">
        <v>45978</v>
      </c>
      <c r="LU3" s="27">
        <v>45979</v>
      </c>
      <c r="LV3" s="27">
        <v>45981</v>
      </c>
      <c r="LW3" s="27">
        <v>45981</v>
      </c>
      <c r="LX3" s="27">
        <v>45981</v>
      </c>
      <c r="LY3" s="27">
        <v>45983</v>
      </c>
      <c r="LZ3" s="27">
        <v>45983</v>
      </c>
      <c r="MA3" s="27">
        <v>45983</v>
      </c>
      <c r="MB3" s="27">
        <v>45985</v>
      </c>
      <c r="MC3" s="27">
        <v>45985</v>
      </c>
      <c r="MD3" s="27">
        <v>45984</v>
      </c>
      <c r="ME3" s="27">
        <v>45986</v>
      </c>
      <c r="MF3" s="27">
        <v>45986</v>
      </c>
      <c r="MG3" s="27">
        <v>45987</v>
      </c>
      <c r="MH3" s="27">
        <v>45988</v>
      </c>
      <c r="MI3" s="27">
        <v>45988</v>
      </c>
      <c r="MJ3" s="27">
        <v>45990</v>
      </c>
      <c r="MK3" s="27">
        <v>45990</v>
      </c>
      <c r="ML3" s="27">
        <v>45990</v>
      </c>
      <c r="MM3" s="27">
        <v>45992</v>
      </c>
      <c r="MN3" s="27">
        <v>45993</v>
      </c>
      <c r="MO3" s="27">
        <v>45993</v>
      </c>
      <c r="MP3" s="27">
        <v>45994</v>
      </c>
      <c r="MQ3" s="27">
        <v>46005</v>
      </c>
      <c r="MR3" s="27">
        <v>46005</v>
      </c>
      <c r="MS3" s="27">
        <v>46008</v>
      </c>
      <c r="MT3" s="27">
        <v>46007</v>
      </c>
      <c r="MU3" s="27">
        <v>46011</v>
      </c>
      <c r="MV3" s="27">
        <v>46012</v>
      </c>
      <c r="MW3" s="27">
        <v>46012</v>
      </c>
      <c r="MX3" s="27">
        <v>46012</v>
      </c>
      <c r="MY3" s="27">
        <v>46014</v>
      </c>
      <c r="MZ3" s="27">
        <v>46015</v>
      </c>
      <c r="NA3" s="27">
        <v>46016</v>
      </c>
      <c r="NB3" s="27">
        <v>46016</v>
      </c>
      <c r="NC3" s="27">
        <v>46016</v>
      </c>
      <c r="ND3" s="27">
        <v>46016</v>
      </c>
      <c r="NE3" s="27">
        <v>46020</v>
      </c>
      <c r="NF3" s="27">
        <v>46020</v>
      </c>
      <c r="NG3" s="27">
        <v>46022</v>
      </c>
      <c r="NH3" s="27">
        <v>46022</v>
      </c>
      <c r="NI3" s="27">
        <v>46028</v>
      </c>
      <c r="NJ3" s="27">
        <v>46028</v>
      </c>
      <c r="NK3" s="27">
        <v>46030</v>
      </c>
      <c r="NL3" s="27">
        <v>46030</v>
      </c>
      <c r="NM3" s="27">
        <v>46030</v>
      </c>
      <c r="NN3" s="27">
        <v>46032</v>
      </c>
      <c r="NO3" s="27">
        <v>46032</v>
      </c>
      <c r="NP3" s="27">
        <v>46032</v>
      </c>
      <c r="NQ3" s="27">
        <v>46032</v>
      </c>
      <c r="NR3" s="27">
        <v>45669</v>
      </c>
      <c r="NS3" s="27">
        <v>45669</v>
      </c>
      <c r="NT3" s="27">
        <v>45669</v>
      </c>
      <c r="NU3" s="27">
        <v>46035</v>
      </c>
      <c r="NV3" s="27">
        <v>46035</v>
      </c>
      <c r="NW3" s="27">
        <v>46036</v>
      </c>
      <c r="NX3" s="27">
        <v>46037</v>
      </c>
      <c r="NY3" s="27">
        <v>46037</v>
      </c>
      <c r="NZ3" s="27">
        <v>46037</v>
      </c>
      <c r="OA3" s="27">
        <v>46037</v>
      </c>
      <c r="OB3" s="27">
        <v>46037</v>
      </c>
      <c r="OC3" s="27">
        <v>46039</v>
      </c>
      <c r="OD3" s="27">
        <v>46039</v>
      </c>
      <c r="OE3" s="27">
        <v>46039</v>
      </c>
      <c r="OF3" s="27">
        <v>46041</v>
      </c>
      <c r="OG3" s="27">
        <v>46041</v>
      </c>
      <c r="OH3" s="27">
        <v>46030</v>
      </c>
      <c r="OI3" s="27">
        <v>46038</v>
      </c>
      <c r="OJ3" s="27">
        <v>46038</v>
      </c>
      <c r="OK3" s="27">
        <v>46042</v>
      </c>
      <c r="OL3" s="27">
        <v>46042</v>
      </c>
      <c r="OM3" s="27">
        <v>46044</v>
      </c>
      <c r="ON3" s="27">
        <v>46045</v>
      </c>
      <c r="OO3" s="27">
        <v>46045</v>
      </c>
      <c r="OP3" s="27">
        <v>46048</v>
      </c>
      <c r="OQ3" s="27">
        <v>46050</v>
      </c>
      <c r="OR3" s="34">
        <v>46042</v>
      </c>
      <c r="OS3" s="34">
        <v>46044</v>
      </c>
      <c r="OT3" s="34">
        <v>46046</v>
      </c>
      <c r="OU3" s="34">
        <v>46047</v>
      </c>
      <c r="OV3" s="34">
        <v>46049</v>
      </c>
      <c r="OW3" s="27">
        <v>46050</v>
      </c>
      <c r="OX3" s="27">
        <v>46051</v>
      </c>
      <c r="OY3" s="27">
        <v>46051</v>
      </c>
      <c r="OZ3" s="27">
        <v>45687</v>
      </c>
      <c r="PA3" s="27">
        <v>46053</v>
      </c>
      <c r="PB3" s="27">
        <v>46054</v>
      </c>
      <c r="PC3" s="27">
        <v>46054</v>
      </c>
      <c r="PD3" s="27">
        <v>46055</v>
      </c>
      <c r="PE3" s="27">
        <v>46056</v>
      </c>
      <c r="PF3" s="27">
        <v>46056</v>
      </c>
      <c r="PG3" s="27">
        <v>46056</v>
      </c>
      <c r="PH3" s="27">
        <v>46051</v>
      </c>
      <c r="PI3" s="27">
        <v>46052</v>
      </c>
      <c r="PJ3" s="27">
        <v>46052</v>
      </c>
      <c r="PK3" s="27">
        <v>46057</v>
      </c>
      <c r="PL3" s="27">
        <v>46057</v>
      </c>
      <c r="PM3" s="27">
        <v>46057</v>
      </c>
      <c r="PN3" s="27">
        <v>46058</v>
      </c>
      <c r="PO3" s="27">
        <v>46058</v>
      </c>
      <c r="PP3" s="27">
        <v>46058</v>
      </c>
      <c r="PQ3" s="27">
        <v>46060</v>
      </c>
      <c r="PR3" s="27">
        <v>46062</v>
      </c>
      <c r="PS3" s="27">
        <v>46062</v>
      </c>
      <c r="PT3" s="27"/>
      <c r="PU3" s="27"/>
      <c r="PV3" s="27"/>
      <c r="PW3" s="27"/>
      <c r="PX3" s="27"/>
      <c r="PY3" s="27"/>
    </row>
    <row r="4" spans="1:441" ht="12" customHeight="1" x14ac:dyDescent="0.25">
      <c r="A4" s="112"/>
      <c r="B4" s="112"/>
      <c r="C4" s="113"/>
      <c r="D4" s="112"/>
      <c r="E4" s="112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  <c r="AW4" s="111"/>
      <c r="AX4" s="111"/>
      <c r="AY4" s="111"/>
      <c r="AZ4" s="111"/>
      <c r="BA4" s="111"/>
      <c r="BB4" s="111"/>
      <c r="BC4" s="111"/>
      <c r="BD4" s="111"/>
      <c r="BE4" s="111"/>
      <c r="BF4" s="111"/>
      <c r="BG4" s="111"/>
      <c r="BH4" s="111"/>
      <c r="BI4" s="111"/>
      <c r="BJ4" s="111"/>
      <c r="BK4" s="111"/>
      <c r="BL4" s="111"/>
      <c r="BM4" s="111"/>
      <c r="BN4" s="111"/>
      <c r="BO4" s="111"/>
      <c r="BP4" s="111"/>
      <c r="BQ4" s="111"/>
      <c r="BR4" s="111"/>
      <c r="BS4" s="111"/>
      <c r="BT4" s="111"/>
      <c r="BU4" s="111"/>
      <c r="BV4" s="111"/>
      <c r="BW4" s="111"/>
      <c r="BX4" s="111"/>
      <c r="BY4" s="111"/>
      <c r="BZ4" s="111"/>
      <c r="CA4" s="111"/>
      <c r="CB4" s="111"/>
      <c r="CC4" s="111"/>
      <c r="CD4" s="111"/>
      <c r="CE4" s="111"/>
      <c r="CF4" s="111"/>
      <c r="CG4" s="111"/>
      <c r="CH4" s="111"/>
      <c r="CI4" s="111"/>
      <c r="CJ4" s="111"/>
      <c r="CK4" s="111"/>
      <c r="CL4" s="111"/>
      <c r="CM4" s="111"/>
      <c r="CN4" s="111"/>
      <c r="CO4" s="111"/>
      <c r="CP4" s="111"/>
      <c r="CQ4" s="111"/>
      <c r="CR4" s="111"/>
      <c r="CS4" s="111"/>
      <c r="CT4" s="111"/>
      <c r="CU4" s="111"/>
      <c r="CV4" s="111"/>
      <c r="CW4" s="111"/>
      <c r="CX4" s="111"/>
      <c r="CY4" s="111"/>
      <c r="CZ4" s="111"/>
      <c r="DA4" s="111"/>
      <c r="DB4" s="111"/>
      <c r="DC4" s="111"/>
      <c r="DD4" s="111"/>
      <c r="DE4" s="111"/>
      <c r="DF4" s="111"/>
      <c r="DG4" s="111"/>
      <c r="DH4" s="111"/>
      <c r="DI4" s="111"/>
      <c r="DJ4" s="111"/>
      <c r="DK4" s="111"/>
      <c r="DL4" s="111"/>
      <c r="DM4" s="111"/>
      <c r="DN4" s="111"/>
      <c r="DO4" s="111"/>
      <c r="DP4" s="111"/>
      <c r="DQ4" s="111"/>
      <c r="DR4" s="111"/>
      <c r="DS4" s="111"/>
      <c r="DT4" s="111"/>
      <c r="DU4" s="111"/>
      <c r="DV4" s="111"/>
      <c r="DW4" s="111"/>
      <c r="DX4" s="111"/>
      <c r="DY4" s="111"/>
      <c r="DZ4" s="111"/>
      <c r="EA4" s="111"/>
      <c r="EB4" s="111"/>
      <c r="EC4" s="111"/>
      <c r="ED4" s="111"/>
      <c r="EE4" s="111"/>
      <c r="EF4" s="111"/>
      <c r="EG4" s="111"/>
      <c r="EH4" s="111"/>
      <c r="EI4" s="111"/>
      <c r="EJ4" s="111"/>
      <c r="EK4" s="111"/>
      <c r="EL4" s="111"/>
      <c r="EM4" s="111"/>
      <c r="EN4" s="111"/>
      <c r="EO4" s="111"/>
      <c r="EP4" s="111"/>
      <c r="EQ4" s="111"/>
      <c r="ER4" s="111"/>
      <c r="ES4" s="111"/>
      <c r="ET4" s="111"/>
      <c r="EU4" s="111"/>
      <c r="EV4" s="111"/>
      <c r="EW4" s="111"/>
      <c r="EX4" s="111"/>
      <c r="EY4" s="111"/>
      <c r="EZ4" s="111"/>
      <c r="FA4" s="111"/>
      <c r="FB4" s="111"/>
      <c r="FC4" s="111"/>
      <c r="FD4" s="111"/>
      <c r="FE4" s="111"/>
      <c r="FF4" s="111"/>
      <c r="FG4" s="111"/>
      <c r="FH4" s="111"/>
      <c r="FI4" s="111"/>
      <c r="FJ4" s="111"/>
      <c r="FK4" s="111"/>
      <c r="FL4" s="111"/>
      <c r="FM4" s="111"/>
      <c r="FN4" s="111"/>
      <c r="FO4" s="111"/>
      <c r="FP4" s="111"/>
      <c r="FQ4" s="111"/>
      <c r="FR4" s="111"/>
      <c r="FS4" s="111"/>
      <c r="FT4" s="111"/>
      <c r="FU4" s="111"/>
      <c r="FV4" s="111"/>
      <c r="FW4" s="111"/>
      <c r="FX4" s="111"/>
      <c r="FY4" s="111"/>
      <c r="FZ4" s="111"/>
      <c r="GA4" s="111"/>
      <c r="GB4" s="111"/>
      <c r="GC4" s="111"/>
      <c r="GD4" s="111"/>
      <c r="GE4" s="111"/>
      <c r="GF4" s="111"/>
      <c r="GG4" s="111"/>
      <c r="GH4" s="111"/>
      <c r="GI4" s="111"/>
      <c r="GJ4" s="111"/>
      <c r="GK4" s="111"/>
      <c r="GL4" s="111"/>
      <c r="GM4" s="111"/>
      <c r="GN4" s="111"/>
      <c r="GO4" s="111"/>
      <c r="GP4" s="111"/>
      <c r="GQ4" s="111"/>
      <c r="GR4" s="111"/>
      <c r="GS4" s="111"/>
      <c r="GT4" s="111"/>
      <c r="GU4" s="111"/>
      <c r="GV4" s="111"/>
      <c r="GW4" s="111"/>
      <c r="GX4" s="111"/>
      <c r="GY4" s="111"/>
      <c r="GZ4" s="111"/>
      <c r="HA4" s="111"/>
      <c r="HB4" s="111"/>
      <c r="HC4" s="111"/>
      <c r="HD4" s="111"/>
      <c r="HE4" s="111"/>
      <c r="HF4" s="111"/>
      <c r="HG4" s="111"/>
      <c r="HH4" s="111"/>
      <c r="HI4" s="111"/>
      <c r="HJ4" s="111"/>
      <c r="HK4" s="111"/>
      <c r="HL4" s="111"/>
      <c r="HM4" s="111"/>
      <c r="HN4" s="111"/>
      <c r="HO4" s="111"/>
      <c r="HP4" s="111"/>
      <c r="HQ4" s="111"/>
      <c r="HR4" s="111"/>
      <c r="HS4" s="111"/>
      <c r="HT4" s="111"/>
      <c r="HU4" s="111"/>
      <c r="HV4" s="111"/>
      <c r="HW4" s="111"/>
      <c r="HX4" s="111"/>
      <c r="HY4" s="111"/>
      <c r="HZ4" s="111"/>
      <c r="IA4" s="111"/>
      <c r="IB4" s="111"/>
      <c r="IC4" s="111"/>
      <c r="ID4" s="111"/>
      <c r="IE4" s="111"/>
      <c r="IF4" s="111"/>
      <c r="IG4" s="111"/>
      <c r="IH4" s="111"/>
      <c r="II4" s="111"/>
      <c r="IJ4" s="111"/>
      <c r="IK4" s="111"/>
      <c r="IL4" s="111"/>
      <c r="IM4" s="111"/>
      <c r="IN4" s="111"/>
      <c r="IO4" s="111"/>
      <c r="IP4" s="111"/>
      <c r="IQ4" s="111"/>
      <c r="IR4" s="111"/>
      <c r="IS4" s="111"/>
      <c r="IT4" s="111"/>
      <c r="IU4" s="111"/>
      <c r="IV4" s="111"/>
      <c r="IW4" s="111"/>
      <c r="IX4" s="111"/>
      <c r="IY4" s="111"/>
      <c r="IZ4" s="111"/>
      <c r="JA4" s="111"/>
      <c r="JB4" s="111"/>
      <c r="JC4" s="111"/>
      <c r="JD4" s="111"/>
      <c r="JE4" s="111"/>
      <c r="JF4" s="111"/>
      <c r="JG4" s="111"/>
      <c r="JH4" s="111"/>
      <c r="JI4" s="111"/>
      <c r="JJ4" s="111"/>
      <c r="JK4" s="111"/>
      <c r="JL4" s="111"/>
      <c r="JM4" s="111"/>
      <c r="JN4" s="111"/>
      <c r="JO4" s="111"/>
      <c r="JP4" s="111"/>
      <c r="JQ4" s="111"/>
      <c r="JR4" s="111"/>
      <c r="JS4" s="111"/>
      <c r="JT4" s="111"/>
      <c r="JU4" s="111"/>
      <c r="JV4" s="111"/>
      <c r="JW4" s="111"/>
      <c r="JX4" s="111"/>
      <c r="JY4" s="111"/>
      <c r="JZ4" s="111"/>
      <c r="KA4" s="111"/>
      <c r="KB4" s="111"/>
      <c r="KC4" s="111"/>
      <c r="KD4" s="111"/>
      <c r="KE4" s="111"/>
      <c r="KF4" s="111"/>
      <c r="KG4" s="111"/>
      <c r="KH4" s="111"/>
      <c r="KI4" s="111"/>
      <c r="KJ4" s="111"/>
      <c r="KK4" s="111"/>
      <c r="KL4" s="111"/>
      <c r="KM4" s="111"/>
      <c r="KN4" s="111"/>
      <c r="KO4" s="111"/>
      <c r="KP4" s="111"/>
      <c r="KQ4" s="111"/>
      <c r="KR4" s="111"/>
      <c r="KS4" s="111"/>
      <c r="KT4" s="111"/>
      <c r="KU4" s="111"/>
      <c r="KV4" s="111"/>
      <c r="KW4" s="111"/>
      <c r="KX4" s="111"/>
      <c r="KY4" s="111"/>
      <c r="KZ4" s="111"/>
      <c r="LA4" s="111"/>
      <c r="LB4" s="111" t="s">
        <v>670</v>
      </c>
      <c r="LC4" s="111" t="s">
        <v>668</v>
      </c>
      <c r="LD4" s="111" t="s">
        <v>669</v>
      </c>
      <c r="LE4" s="111" t="s">
        <v>1292</v>
      </c>
      <c r="LF4" s="111" t="s">
        <v>1290</v>
      </c>
      <c r="LG4" s="111" t="s">
        <v>1291</v>
      </c>
      <c r="LH4" s="111" t="s">
        <v>1296</v>
      </c>
      <c r="LI4" s="111" t="s">
        <v>1298</v>
      </c>
      <c r="LJ4" s="111" t="s">
        <v>1302</v>
      </c>
      <c r="LK4" s="111" t="s">
        <v>35</v>
      </c>
      <c r="LL4" s="111" t="s">
        <v>1301</v>
      </c>
      <c r="LM4" s="111" t="s">
        <v>1308</v>
      </c>
      <c r="LN4" s="111" t="s">
        <v>1319</v>
      </c>
      <c r="LO4" s="111" t="s">
        <v>1332</v>
      </c>
      <c r="LP4" s="111" t="s">
        <v>1354</v>
      </c>
      <c r="LQ4" s="111" t="s">
        <v>1355</v>
      </c>
      <c r="LR4" s="111" t="s">
        <v>1359</v>
      </c>
      <c r="LS4" s="111" t="s">
        <v>1364</v>
      </c>
      <c r="LT4" s="111" t="s">
        <v>1365</v>
      </c>
      <c r="LU4" s="111" t="s">
        <v>1369</v>
      </c>
      <c r="LV4" s="111" t="s">
        <v>1376</v>
      </c>
      <c r="LW4" s="111" t="s">
        <v>1377</v>
      </c>
      <c r="LX4" s="111" t="s">
        <v>1378</v>
      </c>
      <c r="LY4" s="111" t="s">
        <v>1382</v>
      </c>
      <c r="LZ4" s="111" t="s">
        <v>1382</v>
      </c>
      <c r="MA4" s="111" t="s">
        <v>1382</v>
      </c>
      <c r="MB4" s="111" t="s">
        <v>1394</v>
      </c>
      <c r="MC4" s="111" t="s">
        <v>1394</v>
      </c>
      <c r="MD4" s="111" t="s">
        <v>1390</v>
      </c>
      <c r="ME4" s="111" t="s">
        <v>1397</v>
      </c>
      <c r="MF4" s="111" t="s">
        <v>1397</v>
      </c>
      <c r="MG4" s="111" t="s">
        <v>1402</v>
      </c>
      <c r="MH4" s="111" t="s">
        <v>1403</v>
      </c>
      <c r="MI4" s="111" t="s">
        <v>1404</v>
      </c>
      <c r="MJ4" s="111" t="s">
        <v>1410</v>
      </c>
      <c r="MK4" s="111" t="s">
        <v>1403</v>
      </c>
      <c r="ML4" s="111" t="s">
        <v>1411</v>
      </c>
      <c r="MM4" s="111" t="s">
        <v>1415</v>
      </c>
      <c r="MN4" s="111" t="s">
        <v>1417</v>
      </c>
      <c r="MO4" s="111" t="s">
        <v>1416</v>
      </c>
      <c r="MP4" s="111" t="s">
        <v>1419</v>
      </c>
      <c r="MQ4" s="111" t="s">
        <v>1472</v>
      </c>
      <c r="MR4" s="111" t="s">
        <v>1471</v>
      </c>
      <c r="MS4" s="111" t="s">
        <v>1470</v>
      </c>
      <c r="MT4" s="111" t="s">
        <v>1477</v>
      </c>
      <c r="MU4" s="111" t="s">
        <v>1515</v>
      </c>
      <c r="MV4" s="111" t="s">
        <v>1516</v>
      </c>
      <c r="MW4" s="111" t="s">
        <v>1514</v>
      </c>
      <c r="MX4" s="111" t="s">
        <v>1509</v>
      </c>
      <c r="MY4" s="111" t="s">
        <v>1513</v>
      </c>
      <c r="MZ4" s="111" t="s">
        <v>1517</v>
      </c>
      <c r="NA4" s="111" t="s">
        <v>1489</v>
      </c>
      <c r="NB4" s="111" t="s">
        <v>1489</v>
      </c>
      <c r="NC4" s="111" t="s">
        <v>1489</v>
      </c>
      <c r="ND4" s="111" t="s">
        <v>1489</v>
      </c>
      <c r="NE4" s="111" t="s">
        <v>1613</v>
      </c>
      <c r="NF4" s="111" t="s">
        <v>1613</v>
      </c>
      <c r="NG4" s="111" t="s">
        <v>1613</v>
      </c>
      <c r="NH4" s="111" t="s">
        <v>1613</v>
      </c>
      <c r="NI4" s="111" t="s">
        <v>1613</v>
      </c>
      <c r="NJ4" s="111" t="s">
        <v>1613</v>
      </c>
      <c r="NK4" s="111" t="s">
        <v>1613</v>
      </c>
      <c r="NL4" s="111" t="s">
        <v>1613</v>
      </c>
      <c r="NM4" s="111" t="s">
        <v>1613</v>
      </c>
      <c r="NN4" s="111" t="s">
        <v>1644</v>
      </c>
      <c r="NO4" s="111" t="s">
        <v>1645</v>
      </c>
      <c r="NP4" s="111" t="s">
        <v>1646</v>
      </c>
      <c r="NQ4" s="111" t="s">
        <v>1643</v>
      </c>
      <c r="NR4" s="111" t="s">
        <v>1654</v>
      </c>
      <c r="NS4" s="111" t="s">
        <v>1654</v>
      </c>
      <c r="NT4" s="111" t="s">
        <v>1654</v>
      </c>
      <c r="NU4" s="111" t="s">
        <v>1658</v>
      </c>
      <c r="NV4" s="111" t="s">
        <v>1658</v>
      </c>
      <c r="NW4" s="111" t="s">
        <v>1671</v>
      </c>
      <c r="NX4" s="111" t="s">
        <v>1671</v>
      </c>
      <c r="NY4" s="111" t="s">
        <v>1671</v>
      </c>
      <c r="NZ4" s="111" t="s">
        <v>1671</v>
      </c>
      <c r="OA4" s="111" t="s">
        <v>1671</v>
      </c>
      <c r="OB4" s="111" t="s">
        <v>1671</v>
      </c>
      <c r="OC4" s="111" t="s">
        <v>1671</v>
      </c>
      <c r="OD4" s="111" t="s">
        <v>1692</v>
      </c>
      <c r="OE4" s="111" t="s">
        <v>1692</v>
      </c>
      <c r="OF4" s="111" t="s">
        <v>1692</v>
      </c>
      <c r="OG4" s="111" t="s">
        <v>1692</v>
      </c>
      <c r="OH4" s="39" t="s">
        <v>1693</v>
      </c>
      <c r="OI4" s="39" t="s">
        <v>1693</v>
      </c>
      <c r="OJ4" s="39" t="s">
        <v>1693</v>
      </c>
      <c r="OK4" s="39" t="s">
        <v>1693</v>
      </c>
      <c r="OL4" s="39" t="s">
        <v>1693</v>
      </c>
      <c r="OM4" s="39" t="s">
        <v>1837</v>
      </c>
      <c r="ON4" s="39" t="s">
        <v>1837</v>
      </c>
      <c r="OO4" s="39" t="s">
        <v>1837</v>
      </c>
      <c r="OP4" s="39" t="s">
        <v>1837</v>
      </c>
      <c r="OQ4" s="39" t="s">
        <v>1837</v>
      </c>
      <c r="OR4" s="39" t="s">
        <v>1830</v>
      </c>
      <c r="OS4" s="39" t="s">
        <v>1830</v>
      </c>
      <c r="OT4" s="39" t="s">
        <v>1830</v>
      </c>
      <c r="OU4" s="39" t="s">
        <v>1830</v>
      </c>
      <c r="OV4" s="39" t="s">
        <v>1830</v>
      </c>
      <c r="OW4" s="39" t="s">
        <v>1830</v>
      </c>
      <c r="OX4" s="39" t="s">
        <v>1830</v>
      </c>
      <c r="OY4" s="39" t="s">
        <v>1830</v>
      </c>
      <c r="OZ4" s="39" t="s">
        <v>1830</v>
      </c>
      <c r="PA4" s="39" t="s">
        <v>1830</v>
      </c>
      <c r="PB4" s="39" t="s">
        <v>1830</v>
      </c>
      <c r="PC4" s="39" t="s">
        <v>1830</v>
      </c>
      <c r="PD4" s="39" t="s">
        <v>1839</v>
      </c>
      <c r="PE4" s="39" t="s">
        <v>1838</v>
      </c>
      <c r="PF4" s="39" t="s">
        <v>1838</v>
      </c>
      <c r="PG4" s="39" t="s">
        <v>1838</v>
      </c>
      <c r="PH4" s="39" t="s">
        <v>1837</v>
      </c>
      <c r="PI4" s="39" t="s">
        <v>1837</v>
      </c>
      <c r="PJ4" s="39" t="s">
        <v>1837</v>
      </c>
      <c r="PK4" s="111" t="s">
        <v>1845</v>
      </c>
      <c r="PL4" s="111" t="s">
        <v>1845</v>
      </c>
      <c r="PM4" s="111" t="s">
        <v>1845</v>
      </c>
      <c r="PN4" s="111" t="s">
        <v>1845</v>
      </c>
      <c r="PO4" s="111" t="s">
        <v>1845</v>
      </c>
      <c r="PP4" s="111" t="s">
        <v>1845</v>
      </c>
      <c r="PQ4" s="111"/>
      <c r="PR4" s="111"/>
      <c r="PS4" s="111"/>
      <c r="PT4" s="111"/>
      <c r="PU4" s="111"/>
      <c r="PV4" s="111"/>
      <c r="PW4" s="111"/>
      <c r="PX4" s="111"/>
      <c r="PY4" s="111"/>
    </row>
    <row r="5" spans="1:441" s="22" customFormat="1" x14ac:dyDescent="0.25">
      <c r="A5" s="17">
        <v>1</v>
      </c>
      <c r="B5" s="48">
        <v>5000000005</v>
      </c>
      <c r="C5" s="49" t="s">
        <v>11</v>
      </c>
      <c r="D5" s="109" t="s">
        <v>12</v>
      </c>
      <c r="PY5" s="22">
        <v>0</v>
      </c>
    </row>
    <row r="6" spans="1:441" s="22" customFormat="1" x14ac:dyDescent="0.25">
      <c r="A6" s="14">
        <v>2</v>
      </c>
      <c r="B6" s="48">
        <v>1000006673</v>
      </c>
      <c r="C6" s="49" t="s">
        <v>13</v>
      </c>
      <c r="D6" s="109" t="s">
        <v>12</v>
      </c>
      <c r="PY6" s="22">
        <v>0</v>
      </c>
    </row>
    <row r="7" spans="1:441" s="22" customFormat="1" x14ac:dyDescent="0.25">
      <c r="A7" s="17">
        <v>3</v>
      </c>
      <c r="B7" s="48">
        <v>1000006674</v>
      </c>
      <c r="C7" s="49" t="s">
        <v>14</v>
      </c>
      <c r="D7" s="109" t="s">
        <v>12</v>
      </c>
      <c r="PY7" s="22">
        <v>0</v>
      </c>
    </row>
    <row r="8" spans="1:441" s="22" customFormat="1" x14ac:dyDescent="0.25">
      <c r="A8" s="14">
        <v>4</v>
      </c>
      <c r="B8" s="48">
        <v>4000015242</v>
      </c>
      <c r="C8" s="49" t="s">
        <v>15</v>
      </c>
      <c r="D8" s="109" t="s">
        <v>12</v>
      </c>
      <c r="F8" s="22">
        <v>167</v>
      </c>
      <c r="CG8" s="22">
        <v>2</v>
      </c>
      <c r="CO8" s="22">
        <v>4</v>
      </c>
      <c r="HH8" s="22">
        <v>5</v>
      </c>
      <c r="IA8" s="22">
        <v>5</v>
      </c>
      <c r="JQ8" s="22">
        <v>43</v>
      </c>
      <c r="LP8" s="22">
        <v>45</v>
      </c>
      <c r="OH8" s="22">
        <v>50</v>
      </c>
      <c r="PY8" s="22">
        <v>321</v>
      </c>
    </row>
    <row r="9" spans="1:441" s="22" customFormat="1" x14ac:dyDescent="0.25">
      <c r="A9" s="17">
        <v>5</v>
      </c>
      <c r="B9" s="48">
        <v>4000015243</v>
      </c>
      <c r="C9" s="110" t="s">
        <v>16</v>
      </c>
      <c r="D9" s="109" t="s">
        <v>12</v>
      </c>
      <c r="F9" s="22">
        <v>141</v>
      </c>
      <c r="CG9" s="22">
        <v>2</v>
      </c>
      <c r="HH9" s="22">
        <v>2</v>
      </c>
      <c r="IA9" s="22">
        <v>25</v>
      </c>
      <c r="IH9" s="22">
        <v>45</v>
      </c>
      <c r="JO9" s="22">
        <v>180</v>
      </c>
      <c r="JQ9" s="22">
        <v>46</v>
      </c>
      <c r="LP9" s="22">
        <v>45</v>
      </c>
      <c r="NF9" s="22">
        <v>92</v>
      </c>
      <c r="NJ9" s="22">
        <v>45</v>
      </c>
      <c r="OH9" s="22">
        <v>50</v>
      </c>
      <c r="OY9" s="22">
        <v>90</v>
      </c>
      <c r="PY9" s="22">
        <v>763</v>
      </c>
    </row>
    <row r="10" spans="1:441" s="22" customFormat="1" x14ac:dyDescent="0.25">
      <c r="A10" s="14">
        <v>6</v>
      </c>
      <c r="B10" s="46">
        <v>4000015244</v>
      </c>
      <c r="C10" s="45" t="s">
        <v>17</v>
      </c>
      <c r="D10" s="109" t="s">
        <v>12</v>
      </c>
      <c r="F10" s="22">
        <v>30</v>
      </c>
      <c r="G10" s="22">
        <v>0</v>
      </c>
      <c r="PY10" s="22">
        <v>30</v>
      </c>
    </row>
    <row r="11" spans="1:441" s="22" customFormat="1" x14ac:dyDescent="0.25">
      <c r="A11" s="17">
        <v>7</v>
      </c>
      <c r="B11" s="46">
        <v>4000015245</v>
      </c>
      <c r="C11" s="45" t="s">
        <v>18</v>
      </c>
      <c r="D11" s="109" t="s">
        <v>12</v>
      </c>
      <c r="F11" s="22">
        <v>119</v>
      </c>
      <c r="DZ11" s="22">
        <v>70</v>
      </c>
      <c r="JL11" s="22">
        <v>128</v>
      </c>
      <c r="KC11" s="22">
        <v>90</v>
      </c>
      <c r="LK11" s="22">
        <v>14</v>
      </c>
      <c r="LP11" s="22">
        <v>45</v>
      </c>
      <c r="NJ11" s="22">
        <v>135</v>
      </c>
      <c r="OH11" s="22">
        <v>50</v>
      </c>
      <c r="PY11" s="22">
        <v>651</v>
      </c>
    </row>
    <row r="12" spans="1:441" s="22" customFormat="1" x14ac:dyDescent="0.25">
      <c r="A12" s="14">
        <v>8</v>
      </c>
      <c r="B12" s="46">
        <v>4000000224</v>
      </c>
      <c r="C12" s="45" t="s">
        <v>19</v>
      </c>
      <c r="D12" s="109" t="s">
        <v>12</v>
      </c>
      <c r="PY12" s="22">
        <v>0</v>
      </c>
    </row>
    <row r="13" spans="1:441" s="22" customFormat="1" x14ac:dyDescent="0.25">
      <c r="A13" s="17">
        <v>9</v>
      </c>
      <c r="B13" s="46">
        <v>3000002332</v>
      </c>
      <c r="C13" s="45" t="s">
        <v>20</v>
      </c>
      <c r="D13" s="109" t="s">
        <v>12</v>
      </c>
      <c r="PY13" s="22">
        <v>0</v>
      </c>
    </row>
    <row r="14" spans="1:441" s="22" customFormat="1" x14ac:dyDescent="0.25">
      <c r="A14" s="14">
        <v>10</v>
      </c>
      <c r="B14" s="46">
        <v>3000000010</v>
      </c>
      <c r="C14" s="45" t="s">
        <v>21</v>
      </c>
      <c r="D14" s="109" t="s">
        <v>12</v>
      </c>
      <c r="PY14" s="22">
        <v>0</v>
      </c>
    </row>
    <row r="15" spans="1:441" s="22" customFormat="1" x14ac:dyDescent="0.25">
      <c r="A15" s="17">
        <v>11</v>
      </c>
      <c r="B15" s="46">
        <v>3000002338</v>
      </c>
      <c r="C15" s="45" t="s">
        <v>22</v>
      </c>
      <c r="D15" s="109" t="s">
        <v>12</v>
      </c>
      <c r="PY15" s="22">
        <v>0</v>
      </c>
    </row>
    <row r="16" spans="1:441" s="22" customFormat="1" x14ac:dyDescent="0.25">
      <c r="A16" s="14">
        <v>12</v>
      </c>
      <c r="B16" s="46">
        <v>3000002322</v>
      </c>
      <c r="C16" s="45" t="s">
        <v>23</v>
      </c>
      <c r="D16" s="109" t="s">
        <v>12</v>
      </c>
      <c r="PY16" s="22">
        <v>0</v>
      </c>
    </row>
    <row r="17" spans="1:441" s="22" customFormat="1" x14ac:dyDescent="0.25">
      <c r="A17" s="17">
        <v>13</v>
      </c>
      <c r="B17" s="46">
        <v>3000002330</v>
      </c>
      <c r="C17" s="45" t="s">
        <v>24</v>
      </c>
      <c r="D17" s="109" t="s">
        <v>12</v>
      </c>
      <c r="PY17" s="22">
        <v>0</v>
      </c>
    </row>
    <row r="18" spans="1:441" s="22" customFormat="1" x14ac:dyDescent="0.25">
      <c r="A18" s="14">
        <v>14</v>
      </c>
      <c r="B18" s="46">
        <v>3000000012</v>
      </c>
      <c r="C18" s="45" t="s">
        <v>25</v>
      </c>
      <c r="D18" s="109" t="s">
        <v>12</v>
      </c>
      <c r="LQ18"/>
      <c r="LR18"/>
      <c r="LS18"/>
      <c r="LT18"/>
      <c r="PY18" s="22">
        <v>0</v>
      </c>
    </row>
    <row r="19" spans="1:441" s="22" customFormat="1" x14ac:dyDescent="0.25">
      <c r="A19" s="17">
        <v>15</v>
      </c>
      <c r="B19" s="15">
        <v>3000000701</v>
      </c>
      <c r="C19" s="16" t="s">
        <v>26</v>
      </c>
      <c r="D19" s="109" t="s">
        <v>12</v>
      </c>
      <c r="F19" s="22">
        <v>45</v>
      </c>
      <c r="EL19" s="22">
        <v>227</v>
      </c>
      <c r="EZ19" s="22">
        <v>336</v>
      </c>
      <c r="FQ19" s="22">
        <v>255</v>
      </c>
      <c r="GH19" s="22">
        <v>366</v>
      </c>
      <c r="HU19" s="22">
        <v>356</v>
      </c>
      <c r="IX19" s="22">
        <v>600</v>
      </c>
      <c r="JQ19" s="22">
        <v>638</v>
      </c>
      <c r="KF19" s="22">
        <v>433</v>
      </c>
      <c r="LQ19"/>
      <c r="LR19"/>
      <c r="LS19"/>
      <c r="LT19"/>
      <c r="LU19" s="22">
        <v>400</v>
      </c>
      <c r="MS19" s="22">
        <v>400</v>
      </c>
      <c r="PE19" s="22">
        <v>411</v>
      </c>
      <c r="PY19" s="22">
        <v>4467</v>
      </c>
    </row>
    <row r="20" spans="1:441" s="22" customFormat="1" x14ac:dyDescent="0.25">
      <c r="A20" s="14">
        <v>16</v>
      </c>
      <c r="B20" s="15">
        <v>1000006667</v>
      </c>
      <c r="C20" s="16" t="s">
        <v>27</v>
      </c>
      <c r="D20" s="109" t="s">
        <v>12</v>
      </c>
      <c r="F20" s="22">
        <v>607</v>
      </c>
      <c r="DB20" s="22">
        <v>500</v>
      </c>
      <c r="MR20" s="22">
        <v>1000</v>
      </c>
      <c r="OJ20" s="22">
        <v>700</v>
      </c>
      <c r="OL20" s="22">
        <v>800</v>
      </c>
      <c r="PY20" s="22">
        <v>3607</v>
      </c>
    </row>
    <row r="21" spans="1:441" s="22" customFormat="1" x14ac:dyDescent="0.25">
      <c r="A21" s="17">
        <v>17</v>
      </c>
      <c r="B21" s="15">
        <v>3000000061</v>
      </c>
      <c r="C21" s="16" t="s">
        <v>28</v>
      </c>
      <c r="D21" s="109" t="s">
        <v>12</v>
      </c>
      <c r="F21" s="22">
        <v>6288</v>
      </c>
      <c r="AS21" s="22">
        <v>2200</v>
      </c>
      <c r="DU21" s="22">
        <v>3684</v>
      </c>
      <c r="EW21" s="22">
        <v>1600</v>
      </c>
      <c r="FP21" s="22">
        <v>1600</v>
      </c>
      <c r="FX21" s="22">
        <v>3200</v>
      </c>
      <c r="GJ21" s="22">
        <v>3060</v>
      </c>
      <c r="GL21" s="22">
        <v>2910</v>
      </c>
      <c r="GM21" s="22">
        <v>1500</v>
      </c>
      <c r="GT21" s="22">
        <v>5145</v>
      </c>
      <c r="HB21" s="22">
        <v>1500</v>
      </c>
      <c r="HN21" s="22">
        <v>3050</v>
      </c>
      <c r="HO21" s="22">
        <v>3000</v>
      </c>
      <c r="HP21" s="22">
        <v>4600</v>
      </c>
      <c r="HU21" s="22">
        <v>1000</v>
      </c>
      <c r="IF21" s="22">
        <v>1500</v>
      </c>
      <c r="IZ21" s="22">
        <v>2500</v>
      </c>
      <c r="KH21" s="22">
        <v>6185</v>
      </c>
      <c r="LB21" s="22">
        <v>1480</v>
      </c>
      <c r="LC21" s="22">
        <v>1620</v>
      </c>
      <c r="LP21" s="22">
        <v>1550</v>
      </c>
      <c r="LQ21" s="22">
        <v>1600</v>
      </c>
      <c r="LV21" s="22">
        <v>1490</v>
      </c>
      <c r="OL21" s="22">
        <v>2000</v>
      </c>
      <c r="OZ21" s="22">
        <v>1800</v>
      </c>
      <c r="PB21" s="22">
        <v>1500</v>
      </c>
      <c r="PC21" s="22">
        <v>3100</v>
      </c>
      <c r="PF21" s="22">
        <v>2400</v>
      </c>
      <c r="PI21" s="22">
        <v>1500</v>
      </c>
      <c r="PJ21" s="22">
        <v>2700</v>
      </c>
      <c r="PL21" s="22">
        <v>3170</v>
      </c>
      <c r="PM21" s="22">
        <v>4600</v>
      </c>
      <c r="PN21" s="22">
        <v>1885</v>
      </c>
      <c r="PO21" s="22">
        <v>6330</v>
      </c>
      <c r="PQ21" s="22">
        <v>1730</v>
      </c>
      <c r="PR21" s="22">
        <v>3000</v>
      </c>
      <c r="PS21" s="22">
        <v>2765</v>
      </c>
      <c r="PY21" s="22">
        <v>100742</v>
      </c>
    </row>
    <row r="22" spans="1:441" s="22" customFormat="1" x14ac:dyDescent="0.25">
      <c r="A22" s="14">
        <v>18</v>
      </c>
      <c r="B22" s="15">
        <v>3000000064</v>
      </c>
      <c r="C22" s="16" t="s">
        <v>29</v>
      </c>
      <c r="D22" s="109" t="s">
        <v>12</v>
      </c>
      <c r="PY22" s="22">
        <v>0</v>
      </c>
    </row>
    <row r="23" spans="1:441" s="22" customFormat="1" x14ac:dyDescent="0.25">
      <c r="A23" s="17">
        <v>19</v>
      </c>
      <c r="B23" s="15">
        <v>3000000062</v>
      </c>
      <c r="C23" s="16" t="s">
        <v>30</v>
      </c>
      <c r="D23" s="109" t="s">
        <v>12</v>
      </c>
      <c r="F23" s="22">
        <v>80</v>
      </c>
      <c r="DL23" s="22">
        <v>180</v>
      </c>
      <c r="DQ23" s="22">
        <v>180</v>
      </c>
      <c r="FC23" s="22">
        <v>54</v>
      </c>
      <c r="GK23" s="22">
        <v>180</v>
      </c>
      <c r="HA23" s="22">
        <v>180</v>
      </c>
      <c r="LP23" s="22">
        <v>45</v>
      </c>
      <c r="MN23" s="22">
        <v>720</v>
      </c>
      <c r="PA23" s="22">
        <v>90</v>
      </c>
      <c r="PY23" s="22">
        <v>1709</v>
      </c>
    </row>
    <row r="24" spans="1:441" s="22" customFormat="1" x14ac:dyDescent="0.25">
      <c r="A24" s="14">
        <v>20</v>
      </c>
      <c r="B24" s="15" t="s">
        <v>1571</v>
      </c>
      <c r="C24" s="16" t="s">
        <v>31</v>
      </c>
      <c r="D24" s="109" t="s">
        <v>12</v>
      </c>
      <c r="F24" s="22">
        <v>878</v>
      </c>
      <c r="BS24" s="22">
        <v>45</v>
      </c>
      <c r="EL24" s="22">
        <v>270</v>
      </c>
      <c r="GK24" s="22">
        <v>360</v>
      </c>
      <c r="GP24" s="22">
        <v>45</v>
      </c>
      <c r="KM24" s="22">
        <v>90</v>
      </c>
      <c r="LP24" s="22">
        <v>45</v>
      </c>
      <c r="ME24" s="22">
        <v>180</v>
      </c>
      <c r="MM24" s="22">
        <v>180</v>
      </c>
      <c r="MO24" s="22">
        <v>180</v>
      </c>
      <c r="OD24" s="22">
        <v>135</v>
      </c>
      <c r="OY24" s="22">
        <v>90</v>
      </c>
      <c r="PY24" s="22">
        <v>2498</v>
      </c>
    </row>
    <row r="25" spans="1:441" s="22" customFormat="1" x14ac:dyDescent="0.25">
      <c r="A25" s="17">
        <v>21</v>
      </c>
      <c r="B25" s="15">
        <v>3000002688</v>
      </c>
      <c r="C25" s="16" t="s">
        <v>32</v>
      </c>
      <c r="D25" s="109" t="s">
        <v>12</v>
      </c>
      <c r="F25" s="22">
        <v>109</v>
      </c>
      <c r="G25" s="22">
        <v>60</v>
      </c>
      <c r="J25" s="22">
        <v>360</v>
      </c>
      <c r="O25" s="22">
        <v>48</v>
      </c>
      <c r="P25" s="22">
        <v>120</v>
      </c>
      <c r="R25" s="22">
        <v>162</v>
      </c>
      <c r="Z25" s="22">
        <v>81</v>
      </c>
      <c r="AE25" s="22">
        <v>100</v>
      </c>
      <c r="AK25" s="22">
        <v>60</v>
      </c>
      <c r="AL25" s="22">
        <v>45</v>
      </c>
      <c r="AP25" s="22">
        <v>45</v>
      </c>
      <c r="AS25" s="22">
        <v>90</v>
      </c>
      <c r="AX25" s="22">
        <v>180</v>
      </c>
      <c r="BE25" s="22">
        <v>180</v>
      </c>
      <c r="BN25" s="22">
        <v>90</v>
      </c>
      <c r="BP25" s="22">
        <v>270</v>
      </c>
      <c r="BS25" s="22">
        <v>90</v>
      </c>
      <c r="CG25" s="22">
        <v>45</v>
      </c>
      <c r="CK25" s="22">
        <v>135</v>
      </c>
      <c r="CN25" s="22">
        <v>90</v>
      </c>
      <c r="CS25" s="22">
        <v>90</v>
      </c>
      <c r="CU25" s="22">
        <v>90</v>
      </c>
      <c r="CV25" s="22">
        <v>90</v>
      </c>
      <c r="CY25" s="22">
        <v>90</v>
      </c>
      <c r="DA25" s="22">
        <v>90</v>
      </c>
      <c r="DD25" s="22">
        <v>90</v>
      </c>
      <c r="DJ25" s="22">
        <v>90</v>
      </c>
      <c r="DK25" s="22">
        <v>90</v>
      </c>
      <c r="DO25" s="22">
        <v>90</v>
      </c>
      <c r="DZ25" s="22">
        <v>255</v>
      </c>
      <c r="EA25" s="22">
        <v>180</v>
      </c>
      <c r="EF25" s="22">
        <v>90</v>
      </c>
      <c r="EJ25" s="22">
        <v>90</v>
      </c>
      <c r="EK25" s="22">
        <v>90</v>
      </c>
      <c r="EP25" s="22">
        <v>180</v>
      </c>
      <c r="EU25" s="22">
        <v>90</v>
      </c>
      <c r="EY25" s="22">
        <v>90</v>
      </c>
      <c r="FB25" s="22">
        <v>90</v>
      </c>
      <c r="FF25" s="22">
        <v>90</v>
      </c>
      <c r="FG25" s="22">
        <v>90</v>
      </c>
      <c r="FK25" s="22">
        <v>90</v>
      </c>
      <c r="FL25" s="22">
        <v>90</v>
      </c>
      <c r="FU25" s="22">
        <v>90</v>
      </c>
      <c r="FV25" s="22">
        <v>90</v>
      </c>
      <c r="FY25" s="22">
        <v>90</v>
      </c>
      <c r="GA25" s="22">
        <v>90</v>
      </c>
      <c r="GB25" s="22">
        <v>90</v>
      </c>
      <c r="GR25" s="22">
        <v>90</v>
      </c>
      <c r="GW25" s="22">
        <v>90</v>
      </c>
      <c r="HC25" s="22">
        <v>90</v>
      </c>
      <c r="HE25" s="22">
        <v>90</v>
      </c>
      <c r="HG25" s="22">
        <v>90</v>
      </c>
      <c r="HQ25" s="22">
        <v>90</v>
      </c>
      <c r="HR25" s="22">
        <v>90</v>
      </c>
      <c r="IM25" s="22">
        <v>90</v>
      </c>
      <c r="IN25" s="22">
        <v>90</v>
      </c>
      <c r="IR25" s="22">
        <v>90</v>
      </c>
      <c r="IT25" s="22">
        <v>90</v>
      </c>
      <c r="JJ25" s="22">
        <v>108</v>
      </c>
      <c r="JL25" s="22">
        <v>90</v>
      </c>
      <c r="JV25" s="22">
        <v>90</v>
      </c>
      <c r="KG25" s="22">
        <v>90</v>
      </c>
      <c r="KI25" s="22">
        <v>20</v>
      </c>
      <c r="KK25" s="22">
        <v>90</v>
      </c>
      <c r="KQ25" s="22">
        <v>90</v>
      </c>
      <c r="LA25" s="22">
        <v>90</v>
      </c>
      <c r="LE25" s="22">
        <v>90</v>
      </c>
      <c r="LP25" s="22">
        <v>45</v>
      </c>
      <c r="LY25" s="22">
        <v>360</v>
      </c>
      <c r="LZ25" s="22">
        <v>315</v>
      </c>
      <c r="MA25" s="22">
        <v>315</v>
      </c>
      <c r="MD25" s="22">
        <v>360</v>
      </c>
      <c r="MF25" s="22">
        <v>360</v>
      </c>
      <c r="MG25" s="22">
        <v>360</v>
      </c>
      <c r="MU25" s="22">
        <v>45</v>
      </c>
      <c r="PY25" s="22">
        <v>9043</v>
      </c>
    </row>
    <row r="26" spans="1:441" s="22" customFormat="1" x14ac:dyDescent="0.25">
      <c r="A26" s="14">
        <v>22</v>
      </c>
      <c r="B26" s="15">
        <v>3000002869</v>
      </c>
      <c r="C26" s="16" t="s">
        <v>33</v>
      </c>
      <c r="D26" s="109" t="s">
        <v>12</v>
      </c>
      <c r="F26" s="22">
        <v>126</v>
      </c>
      <c r="G26" s="22">
        <v>123</v>
      </c>
      <c r="K26" s="22">
        <v>175</v>
      </c>
      <c r="Z26" s="22">
        <v>81</v>
      </c>
      <c r="AD26" s="22">
        <v>150</v>
      </c>
      <c r="AF26" s="22">
        <v>150</v>
      </c>
      <c r="AJ26" s="22">
        <v>180</v>
      </c>
      <c r="AL26" s="22">
        <v>45</v>
      </c>
      <c r="AO26" s="22">
        <v>162</v>
      </c>
      <c r="AQ26" s="22">
        <v>81</v>
      </c>
      <c r="AS26" s="22">
        <v>135</v>
      </c>
      <c r="AW26" s="22">
        <v>150</v>
      </c>
      <c r="AY26" s="22">
        <v>180</v>
      </c>
      <c r="BD26" s="22">
        <v>180</v>
      </c>
      <c r="BF26" s="22">
        <v>180</v>
      </c>
      <c r="BI26" s="22">
        <v>270</v>
      </c>
      <c r="BO26" s="22">
        <v>45</v>
      </c>
      <c r="BQ26" s="22">
        <v>250</v>
      </c>
      <c r="BS26" s="22">
        <v>45</v>
      </c>
      <c r="CE26" s="22">
        <v>250</v>
      </c>
      <c r="CF26" s="22">
        <v>250</v>
      </c>
      <c r="CI26" s="22">
        <v>250</v>
      </c>
      <c r="CJ26" s="22">
        <v>250</v>
      </c>
      <c r="DM26" s="22">
        <v>250</v>
      </c>
      <c r="DP26" s="22">
        <v>180</v>
      </c>
      <c r="DS26" s="22">
        <v>250</v>
      </c>
      <c r="FR26" s="22">
        <v>180</v>
      </c>
      <c r="GG26" s="22">
        <v>1700</v>
      </c>
      <c r="GP26" s="22">
        <v>225</v>
      </c>
      <c r="HH26" s="22">
        <v>180</v>
      </c>
      <c r="II26" s="22">
        <v>180</v>
      </c>
      <c r="IJ26" s="22">
        <v>180</v>
      </c>
      <c r="IQ26" s="22">
        <v>180</v>
      </c>
      <c r="IU26" s="22">
        <v>180</v>
      </c>
      <c r="KE26" s="22">
        <v>116</v>
      </c>
      <c r="ME26" s="22">
        <v>180</v>
      </c>
      <c r="MM26" s="22">
        <v>180</v>
      </c>
      <c r="MO26" s="22">
        <v>180</v>
      </c>
      <c r="PY26" s="22">
        <v>8049</v>
      </c>
    </row>
    <row r="27" spans="1:441" s="22" customFormat="1" x14ac:dyDescent="0.25">
      <c r="A27" s="17">
        <v>23</v>
      </c>
      <c r="B27" s="15">
        <v>3000000068</v>
      </c>
      <c r="C27" s="16" t="s">
        <v>34</v>
      </c>
      <c r="D27" s="109" t="s">
        <v>12</v>
      </c>
      <c r="F27" s="22">
        <v>44515</v>
      </c>
      <c r="O27" s="22">
        <v>10500</v>
      </c>
      <c r="AJ27" s="22">
        <v>6292</v>
      </c>
      <c r="AR27" s="22">
        <v>5164</v>
      </c>
      <c r="DR27" s="22">
        <v>81</v>
      </c>
      <c r="DU27" s="22">
        <v>75</v>
      </c>
      <c r="DX27" s="22">
        <v>6451</v>
      </c>
      <c r="EW27" s="22">
        <v>2446</v>
      </c>
      <c r="FP27" s="22">
        <v>12634</v>
      </c>
      <c r="FX27" s="22">
        <v>2230</v>
      </c>
      <c r="GF27" s="22">
        <v>68</v>
      </c>
      <c r="GG27" s="22">
        <v>2628</v>
      </c>
      <c r="GJ27" s="22">
        <v>7056</v>
      </c>
      <c r="GL27" s="22">
        <v>2417</v>
      </c>
      <c r="GM27" s="22">
        <v>8107</v>
      </c>
      <c r="GT27" s="22">
        <v>4521</v>
      </c>
      <c r="GX27" s="22">
        <v>115</v>
      </c>
      <c r="HB27" s="22">
        <v>4160</v>
      </c>
      <c r="HD27" s="22">
        <v>2352</v>
      </c>
      <c r="HK27" s="22">
        <v>4564</v>
      </c>
      <c r="HN27" s="22">
        <v>2604</v>
      </c>
      <c r="HO27" s="22">
        <v>2185</v>
      </c>
      <c r="HP27" s="22">
        <v>2197</v>
      </c>
      <c r="HV27" s="22">
        <v>20</v>
      </c>
      <c r="HW27" s="22">
        <v>40</v>
      </c>
      <c r="IB27" s="22">
        <v>7408</v>
      </c>
      <c r="IF27" s="22">
        <v>6796</v>
      </c>
      <c r="IH27" s="22">
        <v>15</v>
      </c>
      <c r="IZ27" s="22">
        <v>4796</v>
      </c>
      <c r="JA27" s="22">
        <v>4350</v>
      </c>
      <c r="JZ27" s="22">
        <v>4548</v>
      </c>
      <c r="KH27" s="22">
        <v>4647</v>
      </c>
      <c r="KR27" s="22">
        <v>20</v>
      </c>
      <c r="LB27" s="22">
        <v>5973</v>
      </c>
      <c r="LC27" s="22">
        <v>2658</v>
      </c>
      <c r="LP27" s="22">
        <v>40</v>
      </c>
      <c r="LQ27" s="22">
        <v>5374</v>
      </c>
      <c r="LV27" s="22">
        <v>2241</v>
      </c>
      <c r="MX27" s="22">
        <v>9193</v>
      </c>
      <c r="MZ27" s="22">
        <v>4881</v>
      </c>
      <c r="OK27" s="22">
        <v>3046</v>
      </c>
      <c r="OO27" s="22">
        <v>2527</v>
      </c>
      <c r="OQ27" s="22">
        <v>86</v>
      </c>
      <c r="OZ27" s="22">
        <v>2398</v>
      </c>
      <c r="PB27" s="22">
        <v>208</v>
      </c>
      <c r="PC27" s="22">
        <v>2689</v>
      </c>
      <c r="PE27" s="22">
        <v>5121</v>
      </c>
      <c r="PF27" s="22">
        <v>150</v>
      </c>
      <c r="PG27" s="22">
        <v>4478</v>
      </c>
      <c r="PH27" s="22">
        <v>193</v>
      </c>
      <c r="PI27" s="22">
        <v>23</v>
      </c>
      <c r="PJ27" s="22">
        <v>21</v>
      </c>
      <c r="PK27" s="22">
        <v>2407</v>
      </c>
      <c r="PL27" s="22">
        <v>8184</v>
      </c>
      <c r="PM27" s="22">
        <v>4856</v>
      </c>
      <c r="PN27" s="22">
        <v>5156</v>
      </c>
      <c r="PO27" s="22">
        <v>6910</v>
      </c>
      <c r="PP27" s="22">
        <v>7016</v>
      </c>
      <c r="PQ27" s="22">
        <v>4829</v>
      </c>
      <c r="PR27" s="22">
        <v>6899</v>
      </c>
      <c r="PS27" s="22">
        <v>6000</v>
      </c>
      <c r="PY27" s="22">
        <v>269559</v>
      </c>
    </row>
    <row r="28" spans="1:441" s="22" customFormat="1" x14ac:dyDescent="0.25">
      <c r="A28" s="14">
        <v>24</v>
      </c>
      <c r="B28" s="15" t="s">
        <v>35</v>
      </c>
      <c r="C28" s="16" t="s">
        <v>602</v>
      </c>
      <c r="D28" s="109" t="s">
        <v>12</v>
      </c>
      <c r="NF28" s="22">
        <v>2</v>
      </c>
      <c r="OC28" s="22">
        <v>1</v>
      </c>
      <c r="OF28" s="22">
        <v>2</v>
      </c>
      <c r="PY28" s="22">
        <v>5</v>
      </c>
    </row>
    <row r="29" spans="1:441" s="22" customFormat="1" x14ac:dyDescent="0.25">
      <c r="A29" s="17">
        <v>25</v>
      </c>
      <c r="B29" s="15">
        <v>3000001221</v>
      </c>
      <c r="C29" s="16" t="s">
        <v>302</v>
      </c>
      <c r="D29" s="109" t="s">
        <v>12</v>
      </c>
      <c r="PY29" s="22">
        <v>0</v>
      </c>
    </row>
    <row r="30" spans="1:441" s="22" customFormat="1" x14ac:dyDescent="0.25">
      <c r="A30" s="14">
        <v>26</v>
      </c>
      <c r="B30" s="15">
        <v>3000001223</v>
      </c>
      <c r="C30" s="16" t="s">
        <v>304</v>
      </c>
      <c r="D30" s="109" t="s">
        <v>12</v>
      </c>
      <c r="PY30" s="22">
        <v>0</v>
      </c>
    </row>
    <row r="31" spans="1:441" s="22" customFormat="1" x14ac:dyDescent="0.25">
      <c r="A31" s="17">
        <v>27</v>
      </c>
      <c r="B31" s="15">
        <v>3000008524</v>
      </c>
      <c r="C31" s="16" t="s">
        <v>39</v>
      </c>
      <c r="D31" s="109" t="s">
        <v>12</v>
      </c>
      <c r="PY31" s="22">
        <v>0</v>
      </c>
    </row>
    <row r="32" spans="1:441" s="22" customFormat="1" x14ac:dyDescent="0.25">
      <c r="A32" s="14">
        <v>28</v>
      </c>
      <c r="B32" s="15">
        <v>3000000628</v>
      </c>
      <c r="C32" s="16" t="s">
        <v>40</v>
      </c>
      <c r="D32" s="109" t="s">
        <v>12</v>
      </c>
      <c r="PY32" s="22">
        <v>0</v>
      </c>
    </row>
    <row r="33" spans="1:441" s="22" customFormat="1" x14ac:dyDescent="0.25">
      <c r="A33" s="17">
        <v>29</v>
      </c>
      <c r="B33" s="15">
        <v>5000000013</v>
      </c>
      <c r="C33" s="16" t="s">
        <v>41</v>
      </c>
      <c r="D33" s="109" t="s">
        <v>12</v>
      </c>
      <c r="PY33" s="22">
        <v>0</v>
      </c>
    </row>
    <row r="34" spans="1:441" s="22" customFormat="1" x14ac:dyDescent="0.25">
      <c r="A34" s="14">
        <v>30</v>
      </c>
      <c r="B34" s="15">
        <v>5000000014</v>
      </c>
      <c r="C34" s="16" t="s">
        <v>42</v>
      </c>
      <c r="D34" s="109" t="s">
        <v>12</v>
      </c>
      <c r="PY34" s="22">
        <v>0</v>
      </c>
    </row>
    <row r="35" spans="1:441" s="22" customFormat="1" x14ac:dyDescent="0.25">
      <c r="A35" s="17">
        <v>31</v>
      </c>
      <c r="B35" s="15">
        <v>5000000011</v>
      </c>
      <c r="C35" s="16" t="s">
        <v>43</v>
      </c>
      <c r="D35" s="109" t="s">
        <v>12</v>
      </c>
      <c r="PY35" s="22">
        <v>0</v>
      </c>
    </row>
    <row r="36" spans="1:441" s="22" customFormat="1" x14ac:dyDescent="0.25">
      <c r="A36" s="14">
        <v>32</v>
      </c>
      <c r="B36" s="15">
        <v>5000000012</v>
      </c>
      <c r="C36" s="16" t="s">
        <v>44</v>
      </c>
      <c r="D36" s="109" t="s">
        <v>12</v>
      </c>
      <c r="PY36" s="22">
        <v>0</v>
      </c>
    </row>
    <row r="37" spans="1:441" s="22" customFormat="1" x14ac:dyDescent="0.25">
      <c r="A37" s="17">
        <v>33</v>
      </c>
      <c r="B37" s="15">
        <v>3000002635</v>
      </c>
      <c r="C37" s="16" t="s">
        <v>45</v>
      </c>
      <c r="D37" s="109" t="s">
        <v>12</v>
      </c>
      <c r="PY37" s="22">
        <v>0</v>
      </c>
    </row>
    <row r="38" spans="1:441" s="22" customFormat="1" x14ac:dyDescent="0.25">
      <c r="A38" s="14">
        <v>34</v>
      </c>
      <c r="B38" s="15">
        <v>3000000345</v>
      </c>
      <c r="C38" s="16" t="s">
        <v>46</v>
      </c>
      <c r="D38" s="109" t="s">
        <v>12</v>
      </c>
      <c r="PY38" s="22">
        <v>0</v>
      </c>
    </row>
    <row r="39" spans="1:441" s="22" customFormat="1" x14ac:dyDescent="0.25">
      <c r="A39" s="17">
        <v>35</v>
      </c>
      <c r="B39" s="15">
        <v>3000000346</v>
      </c>
      <c r="C39" t="s">
        <v>47</v>
      </c>
      <c r="D39" s="109" t="s">
        <v>12</v>
      </c>
      <c r="PY39" s="22">
        <v>0</v>
      </c>
    </row>
    <row r="40" spans="1:441" s="22" customFormat="1" x14ac:dyDescent="0.25">
      <c r="A40" s="14">
        <v>36</v>
      </c>
      <c r="B40" s="15">
        <v>3000000347</v>
      </c>
      <c r="C40" s="16" t="s">
        <v>48</v>
      </c>
      <c r="D40" s="109" t="s">
        <v>12</v>
      </c>
      <c r="PY40" s="22">
        <v>0</v>
      </c>
    </row>
    <row r="41" spans="1:441" s="22" customFormat="1" x14ac:dyDescent="0.25">
      <c r="A41" s="17">
        <v>37</v>
      </c>
      <c r="B41" s="15">
        <v>3000000348</v>
      </c>
      <c r="C41" s="16" t="s">
        <v>49</v>
      </c>
      <c r="D41" s="109" t="s">
        <v>12</v>
      </c>
      <c r="PY41" s="22">
        <v>0</v>
      </c>
    </row>
    <row r="42" spans="1:441" s="22" customFormat="1" x14ac:dyDescent="0.25">
      <c r="A42" s="14">
        <v>38</v>
      </c>
      <c r="B42" s="15">
        <v>3000000349</v>
      </c>
      <c r="C42" s="16" t="s">
        <v>50</v>
      </c>
      <c r="D42" s="109" t="s">
        <v>12</v>
      </c>
      <c r="PY42" s="22">
        <v>0</v>
      </c>
    </row>
    <row r="43" spans="1:441" s="22" customFormat="1" x14ac:dyDescent="0.25">
      <c r="A43" s="17">
        <v>39</v>
      </c>
      <c r="B43" s="15">
        <v>3000004464</v>
      </c>
      <c r="C43" s="16" t="s">
        <v>51</v>
      </c>
      <c r="D43" s="109" t="s">
        <v>12</v>
      </c>
      <c r="PY43" s="22">
        <v>0</v>
      </c>
    </row>
    <row r="44" spans="1:441" s="22" customFormat="1" x14ac:dyDescent="0.25">
      <c r="A44" s="14">
        <v>40</v>
      </c>
      <c r="B44" s="15">
        <v>3000000352</v>
      </c>
      <c r="C44" s="16" t="s">
        <v>52</v>
      </c>
      <c r="D44" s="109" t="s">
        <v>12</v>
      </c>
      <c r="PY44" s="22">
        <v>0</v>
      </c>
    </row>
    <row r="45" spans="1:441" s="22" customFormat="1" x14ac:dyDescent="0.25">
      <c r="A45" s="17">
        <v>41</v>
      </c>
      <c r="B45" s="15">
        <v>5000000007</v>
      </c>
      <c r="C45" s="16" t="s">
        <v>53</v>
      </c>
      <c r="D45" s="109" t="s">
        <v>12</v>
      </c>
      <c r="PY45" s="22">
        <v>0</v>
      </c>
    </row>
    <row r="46" spans="1:441" s="22" customFormat="1" x14ac:dyDescent="0.25">
      <c r="A46" s="14">
        <v>42</v>
      </c>
      <c r="B46" s="15">
        <v>5000000004</v>
      </c>
      <c r="C46" s="16" t="s">
        <v>54</v>
      </c>
      <c r="D46" s="109" t="s">
        <v>12</v>
      </c>
      <c r="PY46" s="22">
        <v>0</v>
      </c>
    </row>
    <row r="47" spans="1:441" s="22" customFormat="1" x14ac:dyDescent="0.25">
      <c r="A47" s="17">
        <v>43</v>
      </c>
      <c r="B47" s="15">
        <v>5000000006</v>
      </c>
      <c r="C47" s="16" t="s">
        <v>55</v>
      </c>
      <c r="D47" s="109" t="s">
        <v>12</v>
      </c>
      <c r="PY47" s="22">
        <v>0</v>
      </c>
    </row>
    <row r="48" spans="1:441" s="22" customFormat="1" x14ac:dyDescent="0.25">
      <c r="A48" s="14">
        <v>44</v>
      </c>
      <c r="B48" s="15" t="s">
        <v>35</v>
      </c>
      <c r="C48" s="16" t="s">
        <v>56</v>
      </c>
      <c r="D48" s="109" t="s">
        <v>12</v>
      </c>
      <c r="PY48" s="22">
        <v>0</v>
      </c>
    </row>
    <row r="49" spans="1:441" s="22" customFormat="1" x14ac:dyDescent="0.25">
      <c r="A49" s="17">
        <v>45</v>
      </c>
      <c r="B49" s="15">
        <v>3000000354</v>
      </c>
      <c r="C49" s="16" t="s">
        <v>57</v>
      </c>
      <c r="D49" s="109" t="s">
        <v>12</v>
      </c>
      <c r="PY49" s="22">
        <v>0</v>
      </c>
    </row>
    <row r="50" spans="1:441" s="22" customFormat="1" x14ac:dyDescent="0.25">
      <c r="A50" s="14">
        <v>46</v>
      </c>
      <c r="B50" s="15">
        <v>3000000355</v>
      </c>
      <c r="C50" s="16" t="s">
        <v>58</v>
      </c>
      <c r="D50" s="109" t="s">
        <v>12</v>
      </c>
      <c r="PY50" s="22">
        <v>0</v>
      </c>
    </row>
    <row r="51" spans="1:441" s="22" customFormat="1" x14ac:dyDescent="0.25">
      <c r="A51" s="17">
        <v>47</v>
      </c>
      <c r="B51" s="15">
        <v>3000000060</v>
      </c>
      <c r="C51" s="16" t="s">
        <v>295</v>
      </c>
      <c r="D51" s="109" t="s">
        <v>12</v>
      </c>
      <c r="PY51" s="22">
        <v>0</v>
      </c>
    </row>
    <row r="52" spans="1:441" s="22" customFormat="1" x14ac:dyDescent="0.25">
      <c r="A52" s="14">
        <v>48</v>
      </c>
      <c r="B52" s="15">
        <v>3000000356</v>
      </c>
      <c r="C52" s="16" t="s">
        <v>60</v>
      </c>
      <c r="D52" s="109" t="s">
        <v>12</v>
      </c>
      <c r="PY52" s="22">
        <v>0</v>
      </c>
    </row>
    <row r="53" spans="1:441" s="22" customFormat="1" x14ac:dyDescent="0.25">
      <c r="A53" s="17">
        <v>49</v>
      </c>
      <c r="B53" s="15">
        <v>3000000353</v>
      </c>
      <c r="C53" s="16" t="s">
        <v>61</v>
      </c>
      <c r="D53" s="109" t="s">
        <v>12</v>
      </c>
      <c r="PY53" s="22">
        <v>0</v>
      </c>
    </row>
    <row r="54" spans="1:441" s="22" customFormat="1" x14ac:dyDescent="0.25">
      <c r="A54" s="14">
        <v>50</v>
      </c>
      <c r="B54" s="15">
        <v>3000000437</v>
      </c>
      <c r="C54" s="16" t="s">
        <v>62</v>
      </c>
      <c r="D54" s="109" t="s">
        <v>12</v>
      </c>
      <c r="F54" s="22">
        <v>1023</v>
      </c>
      <c r="O54" s="22">
        <v>6580</v>
      </c>
      <c r="Z54" s="22">
        <v>5100</v>
      </c>
      <c r="AJ54" s="22">
        <v>2950</v>
      </c>
      <c r="AR54" s="22">
        <v>1600</v>
      </c>
      <c r="AS54" s="22">
        <v>1800</v>
      </c>
      <c r="EW54" s="22">
        <v>1200</v>
      </c>
      <c r="FP54" s="22">
        <v>3067</v>
      </c>
      <c r="FW54" s="22">
        <v>4</v>
      </c>
      <c r="FX54" s="22">
        <v>1006</v>
      </c>
      <c r="GE54" s="22">
        <v>4500</v>
      </c>
      <c r="GG54" s="22">
        <v>1100</v>
      </c>
      <c r="GI54" s="22">
        <v>4</v>
      </c>
      <c r="GX54" s="22">
        <v>2237</v>
      </c>
      <c r="HK54" s="22">
        <v>1800</v>
      </c>
      <c r="HV54" s="22">
        <v>4</v>
      </c>
      <c r="IZ54" s="22">
        <v>1000</v>
      </c>
      <c r="JZ54" s="22">
        <v>1500</v>
      </c>
      <c r="KA54" s="22">
        <v>3100</v>
      </c>
      <c r="LC54" s="22">
        <v>4300</v>
      </c>
      <c r="LQ54" s="22">
        <v>1085</v>
      </c>
      <c r="MJ54" s="22">
        <v>8</v>
      </c>
      <c r="OI54" s="22">
        <v>4000</v>
      </c>
      <c r="OX54" s="22">
        <v>2900</v>
      </c>
      <c r="PC54" s="22">
        <v>1950</v>
      </c>
      <c r="PD54" s="22">
        <v>7200</v>
      </c>
      <c r="PE54" s="22">
        <v>4600</v>
      </c>
      <c r="PF54" s="22">
        <v>3500</v>
      </c>
      <c r="PH54" s="22">
        <v>1450</v>
      </c>
      <c r="PP54" s="22">
        <v>3266</v>
      </c>
      <c r="PS54" s="22">
        <v>1500</v>
      </c>
      <c r="PY54" s="22">
        <v>75334</v>
      </c>
    </row>
    <row r="55" spans="1:441" s="22" customFormat="1" x14ac:dyDescent="0.25">
      <c r="A55" s="17">
        <v>51</v>
      </c>
      <c r="B55" s="15">
        <v>1000005010</v>
      </c>
      <c r="C55" s="16" t="s">
        <v>63</v>
      </c>
      <c r="D55" s="109" t="s">
        <v>12</v>
      </c>
      <c r="PY55" s="22">
        <v>0</v>
      </c>
    </row>
    <row r="56" spans="1:441" s="22" customFormat="1" x14ac:dyDescent="0.25">
      <c r="A56" s="14">
        <v>52</v>
      </c>
      <c r="B56" s="15">
        <v>1000005004</v>
      </c>
      <c r="C56" s="16" t="s">
        <v>64</v>
      </c>
      <c r="D56" s="109" t="s">
        <v>12</v>
      </c>
      <c r="PY56" s="22">
        <v>0</v>
      </c>
    </row>
    <row r="57" spans="1:441" s="22" customFormat="1" x14ac:dyDescent="0.25">
      <c r="A57" s="17">
        <v>53</v>
      </c>
      <c r="B57" s="15">
        <v>1000005006</v>
      </c>
      <c r="C57" s="16" t="s">
        <v>65</v>
      </c>
      <c r="D57" s="109" t="s">
        <v>12</v>
      </c>
      <c r="PY57" s="22">
        <v>0</v>
      </c>
    </row>
    <row r="58" spans="1:441" s="22" customFormat="1" x14ac:dyDescent="0.25">
      <c r="A58" s="14">
        <v>54</v>
      </c>
      <c r="B58" s="15">
        <v>1000005005</v>
      </c>
      <c r="C58" s="16" t="s">
        <v>66</v>
      </c>
      <c r="D58" s="109" t="s">
        <v>12</v>
      </c>
      <c r="PY58" s="22">
        <v>0</v>
      </c>
    </row>
    <row r="59" spans="1:441" s="22" customFormat="1" x14ac:dyDescent="0.25">
      <c r="A59" s="17">
        <v>55</v>
      </c>
      <c r="B59" s="15">
        <v>1000006424</v>
      </c>
      <c r="C59" s="16" t="s">
        <v>67</v>
      </c>
      <c r="D59" s="109" t="s">
        <v>12</v>
      </c>
      <c r="PY59" s="22">
        <v>0</v>
      </c>
    </row>
    <row r="60" spans="1:441" s="22" customFormat="1" x14ac:dyDescent="0.25">
      <c r="A60" s="14">
        <v>56</v>
      </c>
      <c r="B60" s="15">
        <v>1000005009</v>
      </c>
      <c r="C60" s="16" t="s">
        <v>68</v>
      </c>
      <c r="D60" s="109" t="s">
        <v>12</v>
      </c>
      <c r="PY60" s="22">
        <v>0</v>
      </c>
    </row>
    <row r="61" spans="1:441" s="22" customFormat="1" x14ac:dyDescent="0.25">
      <c r="A61" s="17">
        <v>57</v>
      </c>
      <c r="B61" s="15">
        <v>1000005008</v>
      </c>
      <c r="C61" s="16" t="s">
        <v>69</v>
      </c>
      <c r="D61" s="109" t="s">
        <v>12</v>
      </c>
      <c r="PY61" s="22">
        <v>0</v>
      </c>
    </row>
    <row r="62" spans="1:441" s="22" customFormat="1" x14ac:dyDescent="0.25">
      <c r="A62" s="14">
        <v>58</v>
      </c>
      <c r="B62" s="15">
        <v>1000005007</v>
      </c>
      <c r="C62" s="16" t="s">
        <v>70</v>
      </c>
      <c r="D62" s="109" t="s">
        <v>12</v>
      </c>
      <c r="PY62" s="22">
        <v>0</v>
      </c>
    </row>
    <row r="63" spans="1:441" s="22" customFormat="1" x14ac:dyDescent="0.25">
      <c r="A63" s="17">
        <v>59</v>
      </c>
      <c r="B63" s="15">
        <v>1000005003</v>
      </c>
      <c r="C63" s="16" t="s">
        <v>71</v>
      </c>
      <c r="D63" s="109" t="s">
        <v>12</v>
      </c>
      <c r="PY63" s="22">
        <v>0</v>
      </c>
    </row>
    <row r="64" spans="1:441" s="22" customFormat="1" x14ac:dyDescent="0.25">
      <c r="A64" s="14">
        <v>60</v>
      </c>
      <c r="B64" s="15">
        <v>1000005001</v>
      </c>
      <c r="C64" s="16" t="s">
        <v>72</v>
      </c>
      <c r="D64" s="109" t="s">
        <v>12</v>
      </c>
      <c r="PY64" s="22">
        <v>0</v>
      </c>
    </row>
    <row r="65" spans="1:441" s="22" customFormat="1" x14ac:dyDescent="0.25">
      <c r="A65" s="17">
        <v>61</v>
      </c>
      <c r="B65" s="15">
        <v>1000005002</v>
      </c>
      <c r="C65" s="16" t="s">
        <v>73</v>
      </c>
      <c r="D65" s="109" t="s">
        <v>12</v>
      </c>
      <c r="PY65" s="22">
        <v>0</v>
      </c>
    </row>
    <row r="66" spans="1:441" s="22" customFormat="1" x14ac:dyDescent="0.25">
      <c r="A66" s="14">
        <v>62</v>
      </c>
      <c r="B66" s="15">
        <v>1000005000</v>
      </c>
      <c r="C66" s="16" t="s">
        <v>74</v>
      </c>
      <c r="D66" s="109" t="s">
        <v>12</v>
      </c>
      <c r="PY66" s="22">
        <v>0</v>
      </c>
    </row>
    <row r="67" spans="1:441" s="22" customFormat="1" x14ac:dyDescent="0.25">
      <c r="A67" s="17">
        <v>63</v>
      </c>
      <c r="B67" s="15">
        <v>3000002340</v>
      </c>
      <c r="C67" s="16" t="s">
        <v>75</v>
      </c>
      <c r="D67" s="109" t="s">
        <v>12</v>
      </c>
      <c r="F67" s="22">
        <v>400</v>
      </c>
      <c r="DW67" s="22">
        <v>1500</v>
      </c>
      <c r="FN67" s="22">
        <v>300</v>
      </c>
      <c r="FO67" s="22">
        <v>600</v>
      </c>
      <c r="JT67" s="22">
        <v>1200</v>
      </c>
      <c r="KJ67" s="22">
        <v>400</v>
      </c>
      <c r="LD67" s="22">
        <v>3150</v>
      </c>
      <c r="LG67" s="22">
        <v>350</v>
      </c>
      <c r="LH67" s="22">
        <v>700</v>
      </c>
      <c r="LN67" s="22">
        <v>700</v>
      </c>
      <c r="LO67" s="22">
        <v>350</v>
      </c>
      <c r="MW67" s="22">
        <v>3850</v>
      </c>
      <c r="OH67" s="22">
        <v>1050</v>
      </c>
      <c r="PY67" s="22">
        <v>14550</v>
      </c>
    </row>
    <row r="68" spans="1:441" s="22" customFormat="1" x14ac:dyDescent="0.25">
      <c r="A68" s="14">
        <v>64</v>
      </c>
      <c r="B68" s="15">
        <v>3000001211</v>
      </c>
      <c r="C68" s="16" t="s">
        <v>76</v>
      </c>
      <c r="D68" s="109" t="s">
        <v>12</v>
      </c>
      <c r="F68" s="22">
        <v>260</v>
      </c>
      <c r="IB68" s="22">
        <v>1</v>
      </c>
      <c r="PP68" s="22">
        <v>6</v>
      </c>
      <c r="PY68" s="22">
        <v>267</v>
      </c>
    </row>
    <row r="69" spans="1:441" s="22" customFormat="1" x14ac:dyDescent="0.25">
      <c r="A69" s="17">
        <v>65</v>
      </c>
      <c r="B69" s="15">
        <v>3000001212</v>
      </c>
      <c r="C69" s="16" t="s">
        <v>77</v>
      </c>
      <c r="D69" s="109" t="s">
        <v>12</v>
      </c>
      <c r="F69" s="22">
        <v>1337</v>
      </c>
      <c r="DY69" s="22">
        <v>600</v>
      </c>
      <c r="EW69" s="22">
        <v>159</v>
      </c>
      <c r="FJ69" s="22">
        <v>300</v>
      </c>
      <c r="FP69" s="22">
        <v>57</v>
      </c>
      <c r="FX69" s="22">
        <v>171</v>
      </c>
      <c r="GF69" s="22">
        <v>76</v>
      </c>
      <c r="GG69" s="22">
        <v>228</v>
      </c>
      <c r="GJ69" s="22">
        <v>152</v>
      </c>
      <c r="GL69" s="22">
        <v>209</v>
      </c>
      <c r="GM69" s="22">
        <v>190</v>
      </c>
      <c r="GT69" s="22">
        <v>210</v>
      </c>
      <c r="HB69" s="22">
        <v>209</v>
      </c>
      <c r="HD69" s="22">
        <v>57</v>
      </c>
      <c r="HK69" s="22">
        <v>152</v>
      </c>
      <c r="HN69" s="22">
        <v>190</v>
      </c>
      <c r="HO69" s="22">
        <v>189</v>
      </c>
      <c r="HP69" s="22">
        <v>190</v>
      </c>
      <c r="HV69" s="22">
        <v>19</v>
      </c>
      <c r="HW69" s="22">
        <v>40</v>
      </c>
      <c r="IB69" s="22">
        <v>96</v>
      </c>
      <c r="IF69" s="22">
        <v>190</v>
      </c>
      <c r="IH69" s="22">
        <v>19</v>
      </c>
      <c r="IZ69" s="22">
        <v>177</v>
      </c>
      <c r="JA69" s="22">
        <v>147</v>
      </c>
      <c r="JB69" s="22">
        <v>904</v>
      </c>
      <c r="JZ69" s="22">
        <v>195</v>
      </c>
      <c r="KA69" s="22">
        <v>186</v>
      </c>
      <c r="KH69" s="22">
        <v>133</v>
      </c>
      <c r="KR69" s="22">
        <v>10</v>
      </c>
      <c r="LB69" s="22">
        <v>110</v>
      </c>
      <c r="LC69" s="22">
        <v>131</v>
      </c>
      <c r="LF69" s="22">
        <v>2800</v>
      </c>
      <c r="LG69" s="22">
        <v>1400</v>
      </c>
      <c r="LJ69" s="22">
        <v>350</v>
      </c>
      <c r="LN69" s="22">
        <v>350</v>
      </c>
      <c r="LP69" s="22">
        <v>19</v>
      </c>
      <c r="LQ69" s="22">
        <v>148</v>
      </c>
      <c r="LV69" s="22">
        <v>133</v>
      </c>
      <c r="MQ69" s="22">
        <v>700</v>
      </c>
      <c r="MX69" s="22">
        <v>137</v>
      </c>
      <c r="MZ69" s="22">
        <v>57</v>
      </c>
      <c r="OL69" s="22">
        <v>25</v>
      </c>
      <c r="OO69" s="22">
        <v>52</v>
      </c>
      <c r="OQ69" s="22">
        <v>76</v>
      </c>
      <c r="OZ69" s="22">
        <v>150</v>
      </c>
      <c r="PB69" s="22">
        <v>152</v>
      </c>
      <c r="PC69" s="22">
        <v>76</v>
      </c>
      <c r="PE69" s="22">
        <v>95</v>
      </c>
      <c r="PF69" s="22">
        <v>114</v>
      </c>
      <c r="PG69" s="22">
        <v>192</v>
      </c>
      <c r="PH69" s="22">
        <v>95</v>
      </c>
      <c r="PI69" s="22">
        <v>19</v>
      </c>
      <c r="PJ69" s="22">
        <v>19</v>
      </c>
      <c r="PK69" s="22">
        <v>132</v>
      </c>
      <c r="PL69" s="22">
        <v>114</v>
      </c>
      <c r="PM69" s="22">
        <v>149</v>
      </c>
      <c r="PN69" s="22">
        <v>190</v>
      </c>
      <c r="PO69" s="22">
        <v>132</v>
      </c>
      <c r="PP69" s="22">
        <v>145</v>
      </c>
      <c r="PQ69" s="22">
        <v>78</v>
      </c>
      <c r="PR69" s="22">
        <v>189</v>
      </c>
      <c r="PY69" s="22">
        <v>15321</v>
      </c>
    </row>
    <row r="70" spans="1:441" s="22" customFormat="1" x14ac:dyDescent="0.25">
      <c r="A70" s="14">
        <v>66</v>
      </c>
      <c r="B70" s="15">
        <v>3000002341</v>
      </c>
      <c r="C70" s="16" t="s">
        <v>78</v>
      </c>
      <c r="D70" s="109" t="s">
        <v>12</v>
      </c>
      <c r="F70" s="22">
        <v>2336</v>
      </c>
      <c r="CG70" s="22">
        <v>100</v>
      </c>
      <c r="CO70" s="22">
        <v>100</v>
      </c>
      <c r="EW70" s="22">
        <v>13</v>
      </c>
      <c r="FN70" s="22">
        <v>900</v>
      </c>
      <c r="FO70" s="22">
        <v>600</v>
      </c>
      <c r="IG70" s="22">
        <v>700</v>
      </c>
      <c r="IZ70" s="22">
        <v>14</v>
      </c>
      <c r="JB70" s="22">
        <v>900</v>
      </c>
      <c r="JI70" s="22">
        <v>1050</v>
      </c>
      <c r="JO70" s="22">
        <v>900</v>
      </c>
      <c r="JS70" s="22">
        <v>350</v>
      </c>
      <c r="JZ70" s="22">
        <v>8</v>
      </c>
      <c r="KX70" s="22">
        <v>1050</v>
      </c>
      <c r="KY70" s="22">
        <v>1050</v>
      </c>
      <c r="LB70" s="22">
        <v>14</v>
      </c>
      <c r="LI70" s="22">
        <v>350</v>
      </c>
      <c r="LJ70" s="22">
        <v>350</v>
      </c>
      <c r="LN70" s="22">
        <v>1400</v>
      </c>
      <c r="LO70" s="22">
        <v>1400</v>
      </c>
      <c r="MQ70" s="22">
        <v>700</v>
      </c>
      <c r="MR70" s="22">
        <v>1750</v>
      </c>
      <c r="MX70" s="22">
        <v>10</v>
      </c>
      <c r="MY70" s="22">
        <v>1050</v>
      </c>
      <c r="OL70" s="22">
        <v>13</v>
      </c>
      <c r="OM70" s="22">
        <v>350</v>
      </c>
      <c r="OO70" s="22">
        <v>1</v>
      </c>
      <c r="OP70" s="22">
        <v>350</v>
      </c>
      <c r="OZ70" s="22">
        <v>1</v>
      </c>
      <c r="PG70" s="22">
        <v>6</v>
      </c>
      <c r="PH70" s="22">
        <v>1</v>
      </c>
      <c r="PK70" s="22">
        <v>5</v>
      </c>
      <c r="PL70" s="22">
        <v>10</v>
      </c>
      <c r="PQ70" s="22">
        <v>4</v>
      </c>
      <c r="PY70" s="22">
        <v>17836</v>
      </c>
    </row>
    <row r="71" spans="1:441" s="22" customFormat="1" x14ac:dyDescent="0.25">
      <c r="A71" s="17">
        <v>67</v>
      </c>
      <c r="B71" s="15">
        <v>3000001214</v>
      </c>
      <c r="C71" s="16" t="s">
        <v>79</v>
      </c>
      <c r="D71" s="109" t="s">
        <v>12</v>
      </c>
      <c r="F71" s="22">
        <v>734</v>
      </c>
      <c r="DE71" s="22">
        <v>200</v>
      </c>
      <c r="EO71" s="22">
        <v>300</v>
      </c>
      <c r="FJ71" s="22">
        <v>600</v>
      </c>
      <c r="FS71" s="22">
        <v>600</v>
      </c>
      <c r="GN71" s="22">
        <v>200</v>
      </c>
      <c r="HH71" s="22">
        <v>300</v>
      </c>
      <c r="IG71" s="22">
        <v>350</v>
      </c>
      <c r="JS71" s="22">
        <v>1400</v>
      </c>
      <c r="LG71" s="22">
        <v>700</v>
      </c>
      <c r="LH71" s="22">
        <v>1400</v>
      </c>
      <c r="LI71" s="22">
        <v>1400</v>
      </c>
      <c r="LJ71" s="22">
        <v>1050</v>
      </c>
      <c r="LO71" s="22">
        <v>350</v>
      </c>
      <c r="MQ71" s="22">
        <v>700</v>
      </c>
      <c r="OH71" s="22">
        <v>525</v>
      </c>
      <c r="PY71" s="22">
        <v>10809</v>
      </c>
    </row>
    <row r="72" spans="1:441" s="22" customFormat="1" x14ac:dyDescent="0.25">
      <c r="A72" s="14">
        <v>68</v>
      </c>
      <c r="B72" s="15">
        <v>3000001215</v>
      </c>
      <c r="C72" s="16" t="s">
        <v>80</v>
      </c>
      <c r="D72" s="109" t="s">
        <v>12</v>
      </c>
      <c r="F72" s="22">
        <v>3984</v>
      </c>
      <c r="G72" s="22">
        <v>800</v>
      </c>
      <c r="H72" s="22">
        <v>800</v>
      </c>
      <c r="K72" s="22">
        <v>400</v>
      </c>
      <c r="L72" s="22">
        <v>1600</v>
      </c>
      <c r="M72" s="22">
        <v>1200</v>
      </c>
      <c r="N72" s="22">
        <v>1200</v>
      </c>
      <c r="P72" s="22">
        <v>600</v>
      </c>
      <c r="Q72" s="22">
        <v>1200</v>
      </c>
      <c r="S72" s="22">
        <v>1200</v>
      </c>
      <c r="U72" s="22">
        <v>1400</v>
      </c>
      <c r="V72" s="22">
        <v>1400</v>
      </c>
      <c r="W72" s="22">
        <v>1400</v>
      </c>
      <c r="X72" s="22">
        <v>1400</v>
      </c>
      <c r="Y72" s="22">
        <v>1400</v>
      </c>
      <c r="AC72" s="22">
        <v>1400</v>
      </c>
      <c r="AD72" s="22">
        <v>350</v>
      </c>
      <c r="AF72" s="22">
        <v>525</v>
      </c>
      <c r="AG72" s="22">
        <v>1050</v>
      </c>
      <c r="AH72" s="22">
        <v>1050</v>
      </c>
      <c r="AI72" s="22">
        <v>2100</v>
      </c>
      <c r="AK72" s="22">
        <v>1050</v>
      </c>
      <c r="AL72" s="22">
        <v>1425</v>
      </c>
      <c r="AM72" s="22">
        <v>1400</v>
      </c>
      <c r="AN72" s="22">
        <v>1400</v>
      </c>
      <c r="AO72" s="22">
        <v>350</v>
      </c>
      <c r="AQ72" s="22">
        <v>875</v>
      </c>
      <c r="AR72" s="22">
        <v>1575</v>
      </c>
      <c r="AU72" s="22">
        <v>2100</v>
      </c>
      <c r="AV72" s="22">
        <v>1400</v>
      </c>
      <c r="AW72" s="22">
        <v>350</v>
      </c>
      <c r="AY72" s="22">
        <v>350</v>
      </c>
      <c r="AZ72" s="22">
        <v>1400</v>
      </c>
      <c r="BA72" s="22">
        <v>800</v>
      </c>
      <c r="BB72" s="22">
        <v>1400</v>
      </c>
      <c r="BC72" s="22">
        <v>1400</v>
      </c>
      <c r="BD72" s="22">
        <v>350</v>
      </c>
      <c r="BF72" s="22">
        <v>350</v>
      </c>
      <c r="BG72" s="22">
        <v>1400</v>
      </c>
      <c r="BH72" s="22">
        <v>1400</v>
      </c>
      <c r="BI72" s="22">
        <v>526</v>
      </c>
      <c r="BK72" s="22">
        <v>1400</v>
      </c>
      <c r="BL72" s="22">
        <v>1400</v>
      </c>
      <c r="BM72" s="22">
        <v>1400</v>
      </c>
      <c r="BO72" s="22">
        <v>600</v>
      </c>
      <c r="BR72" s="22">
        <v>1400</v>
      </c>
      <c r="BT72" s="22">
        <v>1400</v>
      </c>
      <c r="BU72" s="22">
        <v>1400</v>
      </c>
      <c r="BV72" s="22">
        <v>1400</v>
      </c>
      <c r="BW72" s="22">
        <v>1400</v>
      </c>
      <c r="BX72" s="22">
        <v>1400</v>
      </c>
      <c r="BY72" s="22">
        <v>1400</v>
      </c>
      <c r="BZ72" s="22">
        <v>1400</v>
      </c>
      <c r="CA72" s="22">
        <v>1400</v>
      </c>
      <c r="CB72" s="22">
        <v>1400</v>
      </c>
      <c r="CC72" s="22">
        <v>1400</v>
      </c>
      <c r="CD72" s="22">
        <v>1400</v>
      </c>
      <c r="CG72" s="22">
        <v>200</v>
      </c>
      <c r="CH72" s="22">
        <v>1400</v>
      </c>
      <c r="CK72" s="22">
        <v>700</v>
      </c>
      <c r="CL72" s="22">
        <v>1400</v>
      </c>
      <c r="CM72" s="22">
        <v>1400</v>
      </c>
      <c r="CO72" s="22">
        <v>1325</v>
      </c>
      <c r="CP72" s="22">
        <v>1400</v>
      </c>
      <c r="CQ72" s="22">
        <v>1400</v>
      </c>
      <c r="CR72" s="22">
        <v>1400</v>
      </c>
      <c r="CS72" s="22">
        <v>700</v>
      </c>
      <c r="CT72" s="22">
        <v>1400</v>
      </c>
      <c r="CW72" s="22">
        <v>1400</v>
      </c>
      <c r="CX72" s="22">
        <v>1400</v>
      </c>
      <c r="CZ72" s="22">
        <v>1400</v>
      </c>
      <c r="DB72" s="22">
        <v>1400</v>
      </c>
      <c r="DC72" s="22">
        <v>1400</v>
      </c>
      <c r="DE72" s="22">
        <v>1200</v>
      </c>
      <c r="DG72" s="22">
        <v>1400</v>
      </c>
      <c r="DH72" s="22">
        <v>1400</v>
      </c>
      <c r="DI72" s="22">
        <v>1400</v>
      </c>
      <c r="DN72" s="22">
        <v>1400</v>
      </c>
      <c r="DT72" s="22">
        <v>1400</v>
      </c>
      <c r="DV72" s="22">
        <v>1400</v>
      </c>
      <c r="DW72" s="22">
        <v>900</v>
      </c>
      <c r="DY72" s="22">
        <v>750</v>
      </c>
      <c r="EB72" s="22">
        <v>1400</v>
      </c>
      <c r="EC72" s="22">
        <v>400</v>
      </c>
      <c r="ED72" s="22">
        <v>1400</v>
      </c>
      <c r="EE72" s="22">
        <v>350</v>
      </c>
      <c r="EM72" s="22">
        <v>1400</v>
      </c>
      <c r="EN72" s="22">
        <v>1400</v>
      </c>
      <c r="EQ72" s="22">
        <v>1400</v>
      </c>
      <c r="ER72" s="22">
        <v>800</v>
      </c>
      <c r="ES72" s="22">
        <v>1400</v>
      </c>
      <c r="ET72" s="22">
        <v>600</v>
      </c>
      <c r="EV72" s="22">
        <v>600</v>
      </c>
      <c r="EX72" s="22">
        <v>600</v>
      </c>
      <c r="EZ72" s="22">
        <v>600</v>
      </c>
      <c r="FA72" s="22">
        <v>1400</v>
      </c>
      <c r="FC72" s="22">
        <v>600</v>
      </c>
      <c r="FD72" s="22">
        <v>1400</v>
      </c>
      <c r="FE72" s="22">
        <v>1400</v>
      </c>
      <c r="FH72" s="22">
        <v>1400</v>
      </c>
      <c r="FI72" s="22">
        <v>1400</v>
      </c>
      <c r="FM72" s="22">
        <v>1400</v>
      </c>
      <c r="FR72" s="22">
        <v>350</v>
      </c>
      <c r="FT72" s="22">
        <v>1400</v>
      </c>
      <c r="FW72" s="22">
        <v>600</v>
      </c>
      <c r="GD72" s="22">
        <v>1400</v>
      </c>
      <c r="GO72" s="22">
        <v>1400</v>
      </c>
      <c r="GQ72" s="22">
        <v>1400</v>
      </c>
      <c r="GS72" s="22">
        <v>1400</v>
      </c>
      <c r="GY72" s="22">
        <v>1400</v>
      </c>
      <c r="GZ72" s="22">
        <v>1400</v>
      </c>
      <c r="HF72" s="22">
        <v>1050</v>
      </c>
      <c r="HI72" s="22">
        <v>1400</v>
      </c>
      <c r="HJ72" s="22">
        <v>1400</v>
      </c>
      <c r="HM72" s="22">
        <v>1400</v>
      </c>
      <c r="HY72" s="22">
        <v>1400</v>
      </c>
      <c r="HZ72" s="22">
        <v>1050</v>
      </c>
      <c r="ID72" s="22">
        <v>1400</v>
      </c>
      <c r="IE72" s="22">
        <v>1400</v>
      </c>
      <c r="IG72" s="22">
        <v>250</v>
      </c>
      <c r="IJ72" s="22">
        <v>350</v>
      </c>
      <c r="IL72" s="22">
        <v>1400</v>
      </c>
      <c r="IP72" s="22">
        <v>1400</v>
      </c>
      <c r="IQ72" s="22">
        <v>350</v>
      </c>
      <c r="IS72" s="22">
        <v>1400</v>
      </c>
      <c r="IU72" s="22">
        <v>350</v>
      </c>
      <c r="IV72" s="22">
        <v>1400</v>
      </c>
      <c r="IY72" s="22">
        <v>1400</v>
      </c>
      <c r="JC72" s="22">
        <v>1400</v>
      </c>
      <c r="JD72" s="22">
        <v>1400</v>
      </c>
      <c r="JE72" s="22">
        <v>1400</v>
      </c>
      <c r="JF72" s="22">
        <v>1400</v>
      </c>
      <c r="JI72" s="22">
        <v>700</v>
      </c>
      <c r="JN72" s="22">
        <v>1400</v>
      </c>
      <c r="JU72" s="22">
        <v>1400</v>
      </c>
      <c r="JX72" s="22">
        <v>1400</v>
      </c>
      <c r="KS72" s="22">
        <v>1400</v>
      </c>
      <c r="KU72" s="22">
        <v>1400</v>
      </c>
      <c r="KV72" s="22">
        <v>1400</v>
      </c>
      <c r="KW72" s="22">
        <v>1400</v>
      </c>
      <c r="KX72" s="22">
        <v>700</v>
      </c>
      <c r="KY72" s="22">
        <v>700</v>
      </c>
      <c r="KZ72" s="22">
        <v>1400</v>
      </c>
      <c r="LL72" s="22">
        <v>1400</v>
      </c>
      <c r="LM72" s="22">
        <v>1400</v>
      </c>
      <c r="MB72" s="22">
        <v>1400</v>
      </c>
      <c r="MC72" s="22">
        <v>1400</v>
      </c>
      <c r="MH72" s="22">
        <v>1400</v>
      </c>
      <c r="MK72" s="22">
        <v>1400</v>
      </c>
      <c r="ML72" s="22">
        <v>1400</v>
      </c>
      <c r="MT72" s="22">
        <v>1400</v>
      </c>
      <c r="MY72" s="22">
        <v>700</v>
      </c>
      <c r="NA72" s="22">
        <v>1400</v>
      </c>
      <c r="NB72" s="22">
        <v>1400</v>
      </c>
      <c r="NC72" s="22">
        <v>1400</v>
      </c>
      <c r="ND72" s="22">
        <v>1400</v>
      </c>
      <c r="NK72" s="22">
        <v>1400</v>
      </c>
      <c r="OU72" s="22">
        <v>1400</v>
      </c>
      <c r="OW72" s="22">
        <v>1400</v>
      </c>
      <c r="PY72" s="22">
        <v>191835</v>
      </c>
    </row>
    <row r="73" spans="1:441" s="22" customFormat="1" x14ac:dyDescent="0.25">
      <c r="A73" s="17">
        <v>69</v>
      </c>
      <c r="B73" s="15">
        <v>3000001216</v>
      </c>
      <c r="C73" s="16" t="s">
        <v>81</v>
      </c>
      <c r="D73" s="109" t="s">
        <v>12</v>
      </c>
      <c r="PY73" s="22">
        <v>0</v>
      </c>
    </row>
    <row r="74" spans="1:441" s="22" customFormat="1" x14ac:dyDescent="0.25">
      <c r="A74" s="14">
        <v>70</v>
      </c>
      <c r="B74" s="15">
        <v>3000001217</v>
      </c>
      <c r="C74" s="16" t="s">
        <v>82</v>
      </c>
      <c r="D74" s="109" t="s">
        <v>12</v>
      </c>
      <c r="PY74" s="22">
        <v>0</v>
      </c>
    </row>
    <row r="75" spans="1:441" s="22" customFormat="1" x14ac:dyDescent="0.25">
      <c r="A75" s="17">
        <v>71</v>
      </c>
      <c r="B75" s="15">
        <v>3000000009</v>
      </c>
      <c r="C75" s="16" t="s">
        <v>407</v>
      </c>
      <c r="D75" s="109" t="s">
        <v>12</v>
      </c>
    </row>
    <row r="76" spans="1:441" s="22" customFormat="1" x14ac:dyDescent="0.25">
      <c r="A76" s="14">
        <v>72</v>
      </c>
      <c r="B76" s="15">
        <v>3000000011</v>
      </c>
      <c r="C76" s="16" t="s">
        <v>84</v>
      </c>
      <c r="D76" s="109" t="s">
        <v>12</v>
      </c>
      <c r="PY76" s="22">
        <v>0</v>
      </c>
    </row>
    <row r="77" spans="1:441" s="22" customFormat="1" x14ac:dyDescent="0.25">
      <c r="A77" s="17">
        <v>73</v>
      </c>
      <c r="B77" s="15">
        <v>3000000707</v>
      </c>
      <c r="C77" s="16" t="s">
        <v>85</v>
      </c>
      <c r="D77" s="109" t="s">
        <v>12</v>
      </c>
      <c r="PY77" s="22">
        <v>0</v>
      </c>
    </row>
    <row r="78" spans="1:441" x14ac:dyDescent="0.25">
      <c r="A78" s="22">
        <v>74</v>
      </c>
      <c r="B78" s="22">
        <v>3000000301</v>
      </c>
      <c r="C78" t="s">
        <v>86</v>
      </c>
      <c r="D78" s="22" t="s">
        <v>12</v>
      </c>
      <c r="PY78" s="22">
        <v>0</v>
      </c>
    </row>
    <row r="79" spans="1:441" x14ac:dyDescent="0.25">
      <c r="A79" s="22">
        <v>75</v>
      </c>
      <c r="B79" s="22">
        <v>3000000302</v>
      </c>
      <c r="C79" t="s">
        <v>87</v>
      </c>
      <c r="D79" s="22" t="s">
        <v>12</v>
      </c>
      <c r="I79" s="22">
        <v>4</v>
      </c>
      <c r="AA79" s="22">
        <v>207</v>
      </c>
      <c r="FW79" s="22">
        <v>6</v>
      </c>
      <c r="GE79" s="22">
        <v>196</v>
      </c>
      <c r="GH79" s="22">
        <v>29</v>
      </c>
      <c r="HV79" s="22">
        <v>46</v>
      </c>
      <c r="MJ79" s="22">
        <v>315</v>
      </c>
      <c r="PY79" s="22">
        <v>803</v>
      </c>
    </row>
    <row r="80" spans="1:441" x14ac:dyDescent="0.25">
      <c r="A80" s="22">
        <v>76</v>
      </c>
      <c r="B80" s="22">
        <v>3000000303</v>
      </c>
      <c r="C80" t="s">
        <v>88</v>
      </c>
      <c r="D80" s="22" t="s">
        <v>12</v>
      </c>
      <c r="F80" s="22">
        <v>88</v>
      </c>
      <c r="H80" s="22">
        <v>34</v>
      </c>
      <c r="I80" s="22">
        <v>20</v>
      </c>
      <c r="AA80" s="22">
        <v>381</v>
      </c>
      <c r="FW80" s="22">
        <v>4</v>
      </c>
      <c r="GE80" s="22">
        <v>354</v>
      </c>
      <c r="GH80" s="22">
        <v>35</v>
      </c>
      <c r="HV80" s="22">
        <v>79</v>
      </c>
      <c r="MJ80" s="22">
        <v>750</v>
      </c>
      <c r="PY80" s="22">
        <v>1745</v>
      </c>
    </row>
    <row r="81" spans="1:441" x14ac:dyDescent="0.25">
      <c r="A81" s="22">
        <v>77</v>
      </c>
      <c r="B81" s="22">
        <v>3000000304</v>
      </c>
      <c r="C81" t="s">
        <v>89</v>
      </c>
      <c r="D81" s="22" t="s">
        <v>12</v>
      </c>
      <c r="H81" s="22">
        <v>16</v>
      </c>
      <c r="I81" s="22">
        <v>16</v>
      </c>
      <c r="AA81" s="22">
        <v>115</v>
      </c>
      <c r="FW81" s="22">
        <v>6</v>
      </c>
      <c r="GE81" s="22">
        <v>42</v>
      </c>
      <c r="HV81" s="22">
        <v>14</v>
      </c>
      <c r="MJ81" s="22">
        <v>18</v>
      </c>
      <c r="NG81" s="22">
        <v>52</v>
      </c>
      <c r="PY81" s="22">
        <v>279</v>
      </c>
    </row>
    <row r="82" spans="1:441" x14ac:dyDescent="0.25">
      <c r="A82" s="22">
        <v>78</v>
      </c>
      <c r="B82" s="22">
        <v>3000000305</v>
      </c>
      <c r="C82" t="s">
        <v>90</v>
      </c>
      <c r="D82" s="22" t="s">
        <v>12</v>
      </c>
      <c r="I82" s="22">
        <v>6</v>
      </c>
      <c r="AA82" s="22">
        <v>33</v>
      </c>
      <c r="HV82" s="22">
        <v>7</v>
      </c>
      <c r="MJ82" s="22">
        <v>6</v>
      </c>
      <c r="NG82" s="22">
        <v>12</v>
      </c>
      <c r="PY82" s="22">
        <v>64</v>
      </c>
    </row>
    <row r="83" spans="1:441" x14ac:dyDescent="0.25">
      <c r="A83" s="22">
        <v>79</v>
      </c>
      <c r="B83" s="22">
        <v>3000000306</v>
      </c>
      <c r="C83" t="s">
        <v>91</v>
      </c>
      <c r="D83" s="22" t="s">
        <v>12</v>
      </c>
      <c r="AA83" s="22">
        <v>156</v>
      </c>
      <c r="GE83" s="22">
        <v>74</v>
      </c>
      <c r="HV83" s="22">
        <v>2</v>
      </c>
      <c r="MJ83" s="22">
        <v>26</v>
      </c>
      <c r="NG83" s="22">
        <v>18</v>
      </c>
      <c r="PY83" s="22">
        <v>276</v>
      </c>
    </row>
    <row r="84" spans="1:441" x14ac:dyDescent="0.25">
      <c r="A84" s="22">
        <v>80</v>
      </c>
      <c r="B84" s="22">
        <v>3000000307</v>
      </c>
      <c r="C84" t="s">
        <v>92</v>
      </c>
      <c r="D84" s="22" t="s">
        <v>12</v>
      </c>
      <c r="H84" s="22">
        <v>613</v>
      </c>
      <c r="AA84" s="22">
        <v>244</v>
      </c>
      <c r="GE84" s="22">
        <v>192</v>
      </c>
      <c r="HU84" s="22">
        <v>68</v>
      </c>
      <c r="MJ84" s="22">
        <v>214</v>
      </c>
      <c r="NG84" s="22">
        <v>119</v>
      </c>
      <c r="PY84" s="22">
        <v>1450</v>
      </c>
    </row>
    <row r="85" spans="1:441" x14ac:dyDescent="0.25">
      <c r="A85" s="22">
        <v>81</v>
      </c>
      <c r="B85" s="22">
        <v>3000000308</v>
      </c>
      <c r="C85" t="s">
        <v>93</v>
      </c>
      <c r="D85" s="22" t="s">
        <v>12</v>
      </c>
      <c r="H85" s="22">
        <v>283</v>
      </c>
      <c r="I85" s="22">
        <v>314</v>
      </c>
      <c r="AA85" s="22">
        <v>107</v>
      </c>
      <c r="FW85" s="22">
        <v>260</v>
      </c>
      <c r="GE85" s="22">
        <v>85</v>
      </c>
      <c r="GH85" s="22">
        <v>4</v>
      </c>
      <c r="HU85" s="22">
        <v>124</v>
      </c>
      <c r="MJ85" s="22">
        <v>230</v>
      </c>
      <c r="NG85" s="22">
        <v>128</v>
      </c>
      <c r="PY85" s="22">
        <v>1535</v>
      </c>
    </row>
    <row r="86" spans="1:441" x14ac:dyDescent="0.25">
      <c r="A86" s="22">
        <v>82</v>
      </c>
      <c r="B86" s="22">
        <v>3000003396</v>
      </c>
      <c r="C86" t="s">
        <v>94</v>
      </c>
      <c r="D86" s="22" t="s">
        <v>12</v>
      </c>
      <c r="I86" s="22">
        <v>290</v>
      </c>
      <c r="AA86" s="22">
        <v>74</v>
      </c>
      <c r="FW86" s="22">
        <v>226</v>
      </c>
      <c r="HU86" s="22">
        <v>39</v>
      </c>
      <c r="MJ86" s="22">
        <v>172</v>
      </c>
      <c r="NG86" s="22">
        <v>78</v>
      </c>
      <c r="PY86" s="22">
        <v>879</v>
      </c>
    </row>
    <row r="87" spans="1:441" x14ac:dyDescent="0.25">
      <c r="A87" s="22">
        <v>83</v>
      </c>
      <c r="B87" s="22">
        <v>3000000309</v>
      </c>
      <c r="C87" t="s">
        <v>95</v>
      </c>
      <c r="D87" s="22" t="s">
        <v>12</v>
      </c>
      <c r="F87" s="22">
        <v>51</v>
      </c>
      <c r="H87" s="22">
        <v>971</v>
      </c>
      <c r="I87" s="22">
        <v>327</v>
      </c>
      <c r="AA87" s="22">
        <v>61</v>
      </c>
      <c r="FW87" s="22">
        <v>537</v>
      </c>
      <c r="GE87" s="22">
        <v>7</v>
      </c>
      <c r="GH87" s="22">
        <v>14</v>
      </c>
      <c r="HU87" s="22">
        <v>354</v>
      </c>
      <c r="MI87" s="22">
        <v>506</v>
      </c>
      <c r="MJ87" s="22">
        <v>303</v>
      </c>
      <c r="NG87" s="22">
        <v>230</v>
      </c>
      <c r="PY87" s="22">
        <v>3361</v>
      </c>
    </row>
    <row r="88" spans="1:441" x14ac:dyDescent="0.25">
      <c r="A88" s="22">
        <v>84</v>
      </c>
      <c r="B88" s="22">
        <v>3000000310</v>
      </c>
      <c r="C88" t="s">
        <v>96</v>
      </c>
      <c r="D88" s="22" t="s">
        <v>12</v>
      </c>
      <c r="AA88" s="22">
        <v>63</v>
      </c>
      <c r="GH88" s="22">
        <v>102</v>
      </c>
      <c r="HV88" s="22">
        <v>42</v>
      </c>
      <c r="PY88" s="22">
        <v>207</v>
      </c>
    </row>
    <row r="89" spans="1:441" x14ac:dyDescent="0.25">
      <c r="A89" s="22">
        <v>85</v>
      </c>
      <c r="B89" s="22">
        <v>3000008517</v>
      </c>
      <c r="C89" t="s">
        <v>97</v>
      </c>
      <c r="D89" s="22" t="s">
        <v>12</v>
      </c>
      <c r="PY89" s="22">
        <v>0</v>
      </c>
    </row>
    <row r="90" spans="1:441" x14ac:dyDescent="0.25">
      <c r="A90" s="22">
        <v>86</v>
      </c>
      <c r="B90" s="22">
        <v>3000008518</v>
      </c>
      <c r="C90" t="s">
        <v>98</v>
      </c>
      <c r="D90" s="22" t="s">
        <v>12</v>
      </c>
      <c r="PY90" s="22">
        <v>0</v>
      </c>
    </row>
    <row r="91" spans="1:441" x14ac:dyDescent="0.25">
      <c r="A91" s="22">
        <v>87</v>
      </c>
      <c r="B91" s="22">
        <v>3000004960</v>
      </c>
      <c r="C91" t="s">
        <v>99</v>
      </c>
      <c r="D91" s="22" t="s">
        <v>12</v>
      </c>
      <c r="PY91" s="22">
        <v>0</v>
      </c>
    </row>
    <row r="92" spans="1:441" x14ac:dyDescent="0.25">
      <c r="A92" s="22">
        <v>88</v>
      </c>
      <c r="B92" s="22">
        <v>3000008519</v>
      </c>
      <c r="C92" t="s">
        <v>100</v>
      </c>
      <c r="D92" s="22" t="s">
        <v>12</v>
      </c>
      <c r="PY92" s="22">
        <v>0</v>
      </c>
    </row>
    <row r="93" spans="1:441" x14ac:dyDescent="0.25">
      <c r="A93" s="22">
        <v>89</v>
      </c>
      <c r="B93" s="22">
        <v>3000008514</v>
      </c>
      <c r="C93" t="s">
        <v>101</v>
      </c>
      <c r="D93" s="22" t="s">
        <v>12</v>
      </c>
      <c r="PY93" s="22">
        <v>0</v>
      </c>
    </row>
    <row r="94" spans="1:441" x14ac:dyDescent="0.25">
      <c r="A94" s="22">
        <v>90</v>
      </c>
      <c r="B94" s="22">
        <v>3000008515</v>
      </c>
      <c r="C94" t="s">
        <v>102</v>
      </c>
      <c r="D94" s="22" t="s">
        <v>12</v>
      </c>
      <c r="PY94" s="22">
        <v>0</v>
      </c>
    </row>
    <row r="95" spans="1:441" x14ac:dyDescent="0.25">
      <c r="A95" s="22">
        <v>91</v>
      </c>
      <c r="B95" s="22">
        <v>3000008521</v>
      </c>
      <c r="C95" t="s">
        <v>103</v>
      </c>
      <c r="D95" s="22" t="s">
        <v>12</v>
      </c>
      <c r="PY95" s="22">
        <v>0</v>
      </c>
    </row>
    <row r="96" spans="1:441" x14ac:dyDescent="0.25">
      <c r="A96" s="22">
        <v>92</v>
      </c>
      <c r="B96" s="22">
        <v>5000000019</v>
      </c>
      <c r="C96" t="s">
        <v>104</v>
      </c>
      <c r="D96" s="22" t="s">
        <v>12</v>
      </c>
      <c r="PY96" s="22">
        <v>0</v>
      </c>
    </row>
    <row r="97" spans="1:441" x14ac:dyDescent="0.25">
      <c r="A97" s="22">
        <v>93</v>
      </c>
      <c r="B97" s="22">
        <v>5000000018</v>
      </c>
      <c r="C97" t="s">
        <v>105</v>
      </c>
      <c r="D97" s="22" t="s">
        <v>12</v>
      </c>
      <c r="PY97" s="22">
        <v>0</v>
      </c>
    </row>
    <row r="98" spans="1:441" x14ac:dyDescent="0.25">
      <c r="A98" s="22">
        <v>94</v>
      </c>
      <c r="B98" s="22">
        <v>3000004956</v>
      </c>
      <c r="C98" t="s">
        <v>106</v>
      </c>
      <c r="D98" s="22" t="s">
        <v>12</v>
      </c>
      <c r="PY98" s="22">
        <v>0</v>
      </c>
    </row>
    <row r="99" spans="1:441" x14ac:dyDescent="0.25">
      <c r="A99" s="22">
        <v>95</v>
      </c>
      <c r="B99" s="22">
        <v>3000004954</v>
      </c>
      <c r="C99" t="s">
        <v>107</v>
      </c>
      <c r="D99" s="22" t="s">
        <v>12</v>
      </c>
      <c r="PY99" s="22">
        <v>0</v>
      </c>
    </row>
    <row r="100" spans="1:441" x14ac:dyDescent="0.25">
      <c r="A100" s="22">
        <v>96</v>
      </c>
      <c r="B100" s="22">
        <v>3000005013</v>
      </c>
      <c r="C100" t="s">
        <v>108</v>
      </c>
      <c r="D100" s="22" t="s">
        <v>12</v>
      </c>
      <c r="PY100" s="22">
        <v>0</v>
      </c>
    </row>
    <row r="101" spans="1:441" x14ac:dyDescent="0.25">
      <c r="A101" s="22">
        <v>97</v>
      </c>
      <c r="B101" s="22">
        <v>3000004953</v>
      </c>
      <c r="C101" t="s">
        <v>109</v>
      </c>
      <c r="D101" s="22" t="s">
        <v>12</v>
      </c>
      <c r="PY101" s="22">
        <v>0</v>
      </c>
    </row>
    <row r="102" spans="1:441" x14ac:dyDescent="0.25">
      <c r="A102" s="22">
        <v>98</v>
      </c>
      <c r="B102" s="22">
        <v>5000000017</v>
      </c>
      <c r="C102" t="s">
        <v>110</v>
      </c>
      <c r="D102" s="22" t="s">
        <v>12</v>
      </c>
      <c r="PY102" s="22">
        <v>0</v>
      </c>
    </row>
    <row r="103" spans="1:441" x14ac:dyDescent="0.25">
      <c r="A103" s="22">
        <v>99</v>
      </c>
      <c r="B103" s="22">
        <v>3000008526</v>
      </c>
      <c r="C103" t="s">
        <v>111</v>
      </c>
      <c r="D103" s="22" t="s">
        <v>12</v>
      </c>
      <c r="PY103" s="22">
        <v>0</v>
      </c>
    </row>
    <row r="104" spans="1:441" x14ac:dyDescent="0.25">
      <c r="A104" s="22">
        <v>100</v>
      </c>
      <c r="B104" s="22">
        <v>3000008516</v>
      </c>
      <c r="C104" t="s">
        <v>112</v>
      </c>
      <c r="D104" s="22" t="s">
        <v>12</v>
      </c>
      <c r="PY104" s="22">
        <v>0</v>
      </c>
    </row>
    <row r="105" spans="1:441" x14ac:dyDescent="0.25">
      <c r="A105" s="22">
        <v>101</v>
      </c>
      <c r="B105" s="22">
        <v>3000002333</v>
      </c>
      <c r="C105" t="s">
        <v>113</v>
      </c>
      <c r="D105" s="22" t="s">
        <v>12</v>
      </c>
      <c r="PY105" s="22">
        <v>0</v>
      </c>
    </row>
    <row r="106" spans="1:441" x14ac:dyDescent="0.25">
      <c r="A106" s="22">
        <v>102</v>
      </c>
      <c r="B106" s="22">
        <v>3000000840</v>
      </c>
      <c r="C106" t="s">
        <v>114</v>
      </c>
      <c r="D106" s="22" t="s">
        <v>12</v>
      </c>
      <c r="F106" s="22">
        <v>35453</v>
      </c>
      <c r="AJ106" s="22">
        <v>2300</v>
      </c>
      <c r="AR106" s="22">
        <v>6</v>
      </c>
      <c r="AS106" s="22">
        <v>4100</v>
      </c>
      <c r="DR106" s="22">
        <v>25</v>
      </c>
      <c r="DU106" s="22">
        <v>23</v>
      </c>
      <c r="DX106" s="22">
        <v>11764</v>
      </c>
      <c r="EW106" s="22">
        <v>2423</v>
      </c>
      <c r="FP106" s="22">
        <v>3417</v>
      </c>
      <c r="FX106" s="22">
        <v>2706</v>
      </c>
      <c r="GG106" s="22">
        <v>4815</v>
      </c>
      <c r="GJ106" s="22">
        <v>4717</v>
      </c>
      <c r="GL106" s="22">
        <v>2308</v>
      </c>
      <c r="GM106" s="22">
        <v>2511</v>
      </c>
      <c r="GT106" s="22">
        <v>2431</v>
      </c>
      <c r="HB106" s="22">
        <v>4901</v>
      </c>
      <c r="HD106" s="22">
        <v>2500</v>
      </c>
      <c r="HK106" s="22">
        <v>2511</v>
      </c>
      <c r="HN106" s="22">
        <v>17</v>
      </c>
      <c r="HO106" s="22">
        <v>2520</v>
      </c>
      <c r="HP106" s="22">
        <v>2465</v>
      </c>
      <c r="IB106" s="22">
        <v>7365</v>
      </c>
      <c r="IF106" s="22">
        <v>2008</v>
      </c>
      <c r="IZ106" s="22">
        <v>2015</v>
      </c>
      <c r="JA106" s="22">
        <v>2702</v>
      </c>
      <c r="JZ106" s="22">
        <v>4910</v>
      </c>
      <c r="KA106" s="22">
        <v>2516</v>
      </c>
      <c r="KH106" s="22">
        <v>2603</v>
      </c>
      <c r="LB106" s="22">
        <v>2594</v>
      </c>
      <c r="LC106" s="22">
        <v>4559</v>
      </c>
      <c r="LQ106" s="22">
        <v>4964</v>
      </c>
      <c r="LV106" s="22">
        <v>2512</v>
      </c>
      <c r="MX106" s="22">
        <v>18820</v>
      </c>
      <c r="MZ106" s="22">
        <v>2556</v>
      </c>
      <c r="OK106" s="22">
        <v>2605</v>
      </c>
      <c r="OO106" s="22">
        <v>2400</v>
      </c>
      <c r="OQ106" s="22">
        <v>1</v>
      </c>
      <c r="OZ106" s="22">
        <v>2615</v>
      </c>
      <c r="PB106" s="22">
        <v>5162</v>
      </c>
      <c r="PC106" s="22">
        <v>16</v>
      </c>
      <c r="PE106" s="22">
        <v>4821</v>
      </c>
      <c r="PF106" s="22">
        <v>13</v>
      </c>
      <c r="PG106" s="22">
        <v>4913</v>
      </c>
      <c r="PH106" s="22">
        <v>2715</v>
      </c>
      <c r="PK106" s="22">
        <v>3036</v>
      </c>
      <c r="PL106" s="22">
        <v>2818</v>
      </c>
      <c r="PM106" s="22">
        <v>5252</v>
      </c>
      <c r="PN106" s="22">
        <v>4</v>
      </c>
      <c r="PO106" s="22">
        <v>5010</v>
      </c>
      <c r="PP106" s="22">
        <v>5103</v>
      </c>
      <c r="PQ106" s="22">
        <v>2481</v>
      </c>
      <c r="PR106" s="22">
        <v>2721</v>
      </c>
      <c r="PS106" s="22">
        <v>2711</v>
      </c>
      <c r="PY106" s="22">
        <v>208434</v>
      </c>
    </row>
    <row r="107" spans="1:441" x14ac:dyDescent="0.25">
      <c r="A107" s="22">
        <v>103</v>
      </c>
      <c r="B107" s="22">
        <v>3000001222</v>
      </c>
      <c r="C107" t="s">
        <v>115</v>
      </c>
      <c r="D107" s="22" t="s">
        <v>12</v>
      </c>
      <c r="PY107" s="22">
        <v>0</v>
      </c>
    </row>
    <row r="108" spans="1:441" x14ac:dyDescent="0.25">
      <c r="A108" s="22">
        <v>104</v>
      </c>
      <c r="B108" s="22">
        <v>5000000008</v>
      </c>
      <c r="C108" t="s">
        <v>116</v>
      </c>
      <c r="D108" s="22" t="s">
        <v>12</v>
      </c>
      <c r="PY108" s="22">
        <v>0</v>
      </c>
    </row>
    <row r="109" spans="1:441" x14ac:dyDescent="0.25">
      <c r="A109" s="22">
        <v>105</v>
      </c>
      <c r="B109" s="22">
        <v>3000000849</v>
      </c>
      <c r="C109" t="s">
        <v>117</v>
      </c>
      <c r="D109" s="22" t="s">
        <v>12</v>
      </c>
      <c r="F109" s="22">
        <v>39341</v>
      </c>
      <c r="H109" s="22">
        <v>64</v>
      </c>
      <c r="I109" s="22">
        <v>44</v>
      </c>
      <c r="O109" s="22">
        <v>400</v>
      </c>
      <c r="R109" s="22">
        <v>32</v>
      </c>
      <c r="T109" s="22">
        <v>52</v>
      </c>
      <c r="Z109" s="22">
        <v>16</v>
      </c>
      <c r="AB109" s="22">
        <v>52</v>
      </c>
      <c r="AD109" s="22">
        <v>2700</v>
      </c>
      <c r="AE109" s="22">
        <v>80</v>
      </c>
      <c r="AG109" s="22">
        <v>48</v>
      </c>
      <c r="AH109" s="22">
        <v>48</v>
      </c>
      <c r="AJ109" s="22">
        <v>2800</v>
      </c>
      <c r="AK109" s="22">
        <v>32</v>
      </c>
      <c r="AM109" s="22">
        <v>32</v>
      </c>
      <c r="AP109" s="22">
        <v>40</v>
      </c>
      <c r="AR109" s="22">
        <v>7420</v>
      </c>
      <c r="AS109" s="22">
        <v>12300</v>
      </c>
      <c r="AT109" s="22">
        <v>44</v>
      </c>
      <c r="AX109" s="22">
        <v>48</v>
      </c>
      <c r="BE109" s="22">
        <v>52</v>
      </c>
      <c r="BJ109" s="22">
        <v>44</v>
      </c>
      <c r="BN109" s="22">
        <v>24</v>
      </c>
      <c r="BO109" s="22">
        <v>16</v>
      </c>
      <c r="CG109" s="22">
        <v>36</v>
      </c>
      <c r="CN109" s="22">
        <v>24</v>
      </c>
      <c r="CS109" s="22">
        <v>16</v>
      </c>
      <c r="CV109" s="22">
        <v>24</v>
      </c>
      <c r="CY109" s="22">
        <v>24</v>
      </c>
      <c r="DA109" s="22">
        <v>24</v>
      </c>
      <c r="DD109" s="22">
        <v>24</v>
      </c>
      <c r="DJ109" s="22">
        <v>24</v>
      </c>
      <c r="DK109" s="22">
        <v>24</v>
      </c>
      <c r="DL109" s="22">
        <v>24</v>
      </c>
      <c r="DO109" s="22">
        <v>24</v>
      </c>
      <c r="DQ109" s="22">
        <v>96</v>
      </c>
      <c r="DR109" s="22">
        <v>18572</v>
      </c>
      <c r="DU109" s="22">
        <v>5722</v>
      </c>
      <c r="DX109" s="22">
        <v>8910</v>
      </c>
      <c r="EC109" s="22">
        <v>72</v>
      </c>
      <c r="EE109" s="22">
        <v>64</v>
      </c>
      <c r="EF109" s="22">
        <v>28</v>
      </c>
      <c r="EG109" s="22">
        <v>80</v>
      </c>
      <c r="EH109" s="22">
        <v>60</v>
      </c>
      <c r="EI109" s="22">
        <v>104</v>
      </c>
      <c r="EJ109" s="22">
        <v>24</v>
      </c>
      <c r="EK109" s="22">
        <v>32</v>
      </c>
      <c r="EL109" s="22">
        <v>64</v>
      </c>
      <c r="ET109" s="22">
        <v>100</v>
      </c>
      <c r="EU109" s="22">
        <v>24</v>
      </c>
      <c r="EV109" s="22">
        <v>80</v>
      </c>
      <c r="EW109" s="22">
        <v>12766</v>
      </c>
      <c r="EX109" s="22">
        <v>96</v>
      </c>
      <c r="EY109" s="22">
        <v>24</v>
      </c>
      <c r="EZ109" s="22">
        <v>96</v>
      </c>
      <c r="FB109" s="22">
        <v>80</v>
      </c>
      <c r="FC109" s="22">
        <v>80</v>
      </c>
      <c r="FF109" s="22">
        <v>24</v>
      </c>
      <c r="FG109" s="22">
        <v>24</v>
      </c>
      <c r="FJ109" s="22">
        <v>112</v>
      </c>
      <c r="FK109" s="22">
        <v>24</v>
      </c>
      <c r="FL109" s="22">
        <v>24</v>
      </c>
      <c r="FN109" s="22">
        <v>96</v>
      </c>
      <c r="FO109" s="22">
        <v>92</v>
      </c>
      <c r="FP109" s="22">
        <v>3470</v>
      </c>
      <c r="FQ109" s="22">
        <v>48</v>
      </c>
      <c r="FS109" s="22">
        <v>88</v>
      </c>
      <c r="FU109" s="22">
        <v>24</v>
      </c>
      <c r="FV109" s="22">
        <v>24</v>
      </c>
      <c r="FW109" s="22">
        <v>60</v>
      </c>
      <c r="FX109" s="22">
        <v>10023</v>
      </c>
      <c r="FY109" s="22">
        <v>24</v>
      </c>
      <c r="FZ109" s="22">
        <v>128</v>
      </c>
      <c r="GA109" s="22">
        <v>24</v>
      </c>
      <c r="GB109" s="22">
        <v>24</v>
      </c>
      <c r="GC109" s="22">
        <v>112</v>
      </c>
      <c r="GE109" s="22">
        <v>7304</v>
      </c>
      <c r="GG109" s="22">
        <v>13306</v>
      </c>
      <c r="GI109" s="22">
        <v>192</v>
      </c>
      <c r="GJ109" s="22">
        <v>9128</v>
      </c>
      <c r="GL109" s="22">
        <v>14978</v>
      </c>
      <c r="GM109" s="22">
        <v>7494</v>
      </c>
      <c r="GN109" s="22">
        <v>96</v>
      </c>
      <c r="GR109" s="22">
        <v>24</v>
      </c>
      <c r="GT109" s="22">
        <v>9580</v>
      </c>
      <c r="GU109" s="22">
        <v>192</v>
      </c>
      <c r="GV109" s="22">
        <v>144</v>
      </c>
      <c r="GW109" s="22">
        <v>24</v>
      </c>
      <c r="GX109" s="22">
        <v>7624</v>
      </c>
      <c r="HA109" s="22">
        <v>96</v>
      </c>
      <c r="HB109" s="22">
        <v>11730</v>
      </c>
      <c r="HC109" s="22">
        <v>24</v>
      </c>
      <c r="HD109" s="22">
        <v>2118</v>
      </c>
      <c r="HE109" s="22">
        <v>24</v>
      </c>
      <c r="HG109" s="22">
        <v>24</v>
      </c>
      <c r="HK109" s="22">
        <v>12178</v>
      </c>
      <c r="HL109" s="22">
        <v>56</v>
      </c>
      <c r="HN109" s="22">
        <v>12960</v>
      </c>
      <c r="HO109" s="22">
        <v>10764</v>
      </c>
      <c r="HP109" s="22">
        <v>10062</v>
      </c>
      <c r="HQ109" s="22">
        <v>24</v>
      </c>
      <c r="HR109" s="22">
        <v>24</v>
      </c>
      <c r="HT109" s="22">
        <v>120</v>
      </c>
      <c r="HU109" s="22">
        <v>2350</v>
      </c>
      <c r="HW109" s="22">
        <v>1832</v>
      </c>
      <c r="HX109" s="22">
        <v>64</v>
      </c>
      <c r="HZ109" s="22">
        <v>3000</v>
      </c>
      <c r="IA109" s="22">
        <v>112</v>
      </c>
      <c r="IB109" s="22">
        <v>8039</v>
      </c>
      <c r="IC109" s="22">
        <v>64</v>
      </c>
      <c r="IF109" s="22">
        <v>9661</v>
      </c>
      <c r="IH109" s="22">
        <v>80</v>
      </c>
      <c r="IK109" s="22">
        <v>72</v>
      </c>
      <c r="IM109" s="22">
        <v>24</v>
      </c>
      <c r="IN109" s="22">
        <v>24</v>
      </c>
      <c r="IO109" s="22">
        <v>108</v>
      </c>
      <c r="IR109" s="22">
        <v>24</v>
      </c>
      <c r="IT109" s="22">
        <v>24</v>
      </c>
      <c r="IW109" s="22">
        <v>108</v>
      </c>
      <c r="IX109" s="22">
        <v>104</v>
      </c>
      <c r="IZ109" s="22">
        <v>7386</v>
      </c>
      <c r="JA109" s="22">
        <v>13654</v>
      </c>
      <c r="JG109" s="22">
        <v>120</v>
      </c>
      <c r="JH109" s="22">
        <v>124</v>
      </c>
      <c r="JJ109" s="22">
        <v>128</v>
      </c>
      <c r="JK109" s="22">
        <v>120</v>
      </c>
      <c r="JL109" s="22">
        <v>144</v>
      </c>
      <c r="JM109" s="22">
        <v>140</v>
      </c>
      <c r="JO109" s="22">
        <v>24</v>
      </c>
      <c r="JP109" s="22">
        <v>106</v>
      </c>
      <c r="JQ109" s="22">
        <v>96</v>
      </c>
      <c r="JR109" s="22">
        <v>100</v>
      </c>
      <c r="JT109" s="22">
        <v>72</v>
      </c>
      <c r="JV109" s="22">
        <v>36</v>
      </c>
      <c r="JW109" s="22">
        <v>3188</v>
      </c>
      <c r="JY109" s="22">
        <v>56</v>
      </c>
      <c r="JZ109" s="22">
        <v>13194</v>
      </c>
      <c r="KA109" s="22">
        <v>14682</v>
      </c>
      <c r="KB109" s="22">
        <v>100</v>
      </c>
      <c r="KC109" s="22">
        <v>92</v>
      </c>
      <c r="KE109" s="22">
        <v>48</v>
      </c>
      <c r="KF109" s="22">
        <v>128</v>
      </c>
      <c r="KG109" s="22">
        <v>24</v>
      </c>
      <c r="KH109" s="22">
        <v>7614</v>
      </c>
      <c r="KI109" s="22">
        <v>24</v>
      </c>
      <c r="KJ109" s="22">
        <v>96</v>
      </c>
      <c r="KK109" s="22">
        <v>24</v>
      </c>
      <c r="KL109" s="22">
        <v>144</v>
      </c>
      <c r="KM109" s="22">
        <v>96</v>
      </c>
      <c r="KN109" s="22">
        <v>180</v>
      </c>
      <c r="KO109" s="22">
        <v>96</v>
      </c>
      <c r="KP109" s="22">
        <v>164</v>
      </c>
      <c r="KQ109" s="22">
        <v>24</v>
      </c>
      <c r="KR109" s="22">
        <v>64</v>
      </c>
      <c r="KT109" s="22">
        <v>88</v>
      </c>
      <c r="LA109" s="22">
        <v>60</v>
      </c>
      <c r="LB109" s="22">
        <v>11431</v>
      </c>
      <c r="LC109" s="22">
        <v>6964</v>
      </c>
      <c r="LE109" s="22">
        <v>24</v>
      </c>
      <c r="LP109" s="22">
        <v>2760</v>
      </c>
      <c r="LQ109" s="22">
        <v>9336</v>
      </c>
      <c r="LR109" s="22">
        <v>76</v>
      </c>
      <c r="LS109" s="22">
        <v>136</v>
      </c>
      <c r="LT109" s="22">
        <v>112</v>
      </c>
      <c r="LU109" s="22">
        <v>1980</v>
      </c>
      <c r="LV109" s="22">
        <v>13678</v>
      </c>
      <c r="LW109" s="22">
        <v>76</v>
      </c>
      <c r="LX109" s="22">
        <v>112</v>
      </c>
      <c r="MI109" s="22">
        <v>80</v>
      </c>
      <c r="MJ109" s="22">
        <v>84</v>
      </c>
      <c r="MP109" s="22">
        <v>80</v>
      </c>
      <c r="MS109" s="22">
        <v>72</v>
      </c>
      <c r="MU109" s="22">
        <v>3366</v>
      </c>
      <c r="MV109" s="22">
        <v>3276</v>
      </c>
      <c r="MX109" s="22">
        <v>2070</v>
      </c>
      <c r="MZ109" s="22">
        <v>5506</v>
      </c>
      <c r="NE109" s="22">
        <v>240</v>
      </c>
      <c r="NF109" s="22">
        <v>116</v>
      </c>
      <c r="NG109" s="22">
        <v>124</v>
      </c>
      <c r="NH109" s="22">
        <v>92</v>
      </c>
      <c r="NI109" s="22">
        <v>108</v>
      </c>
      <c r="NJ109" s="22">
        <v>30</v>
      </c>
      <c r="NL109" s="22">
        <v>112</v>
      </c>
      <c r="NM109" s="22">
        <v>80</v>
      </c>
      <c r="NN109" s="22">
        <v>56</v>
      </c>
      <c r="NO109" s="22">
        <v>168</v>
      </c>
      <c r="NP109" s="22">
        <v>164</v>
      </c>
      <c r="NQ109" s="22">
        <v>136</v>
      </c>
      <c r="NR109" s="22">
        <v>48</v>
      </c>
      <c r="NS109" s="22">
        <v>248</v>
      </c>
      <c r="NT109" s="22">
        <v>62</v>
      </c>
      <c r="NU109" s="22">
        <v>78</v>
      </c>
      <c r="NV109" s="22">
        <v>124</v>
      </c>
      <c r="NW109" s="22">
        <v>241</v>
      </c>
      <c r="NX109" s="22">
        <v>56</v>
      </c>
      <c r="NY109" s="22">
        <v>88</v>
      </c>
      <c r="NZ109" s="22">
        <v>88</v>
      </c>
      <c r="OA109" s="22">
        <v>240</v>
      </c>
      <c r="OB109" s="22">
        <v>76</v>
      </c>
      <c r="OC109" s="22">
        <v>216</v>
      </c>
      <c r="OD109" s="22">
        <v>24</v>
      </c>
      <c r="OE109" s="22">
        <v>120</v>
      </c>
      <c r="OF109" s="22">
        <v>192</v>
      </c>
      <c r="OG109" s="22">
        <v>62</v>
      </c>
      <c r="OH109" s="22">
        <v>12</v>
      </c>
      <c r="OI109" s="22">
        <v>72</v>
      </c>
      <c r="OJ109" s="22">
        <v>96</v>
      </c>
      <c r="OK109" s="22">
        <v>5640</v>
      </c>
      <c r="OL109" s="22">
        <v>6112</v>
      </c>
      <c r="OM109" s="22">
        <v>48</v>
      </c>
      <c r="ON109" s="22">
        <v>132</v>
      </c>
      <c r="OO109" s="22">
        <v>8978</v>
      </c>
      <c r="OP109" s="22">
        <v>36</v>
      </c>
      <c r="OQ109" s="22">
        <v>7364</v>
      </c>
      <c r="OR109" s="22">
        <v>176</v>
      </c>
      <c r="OS109" s="22">
        <v>116</v>
      </c>
      <c r="OT109" s="22">
        <v>202</v>
      </c>
      <c r="OV109" s="22">
        <v>104</v>
      </c>
      <c r="OX109" s="22">
        <v>48</v>
      </c>
      <c r="OY109" s="22">
        <v>30</v>
      </c>
      <c r="OZ109" s="22">
        <v>18205</v>
      </c>
      <c r="PA109" s="22">
        <v>88</v>
      </c>
      <c r="PB109" s="22">
        <v>18669</v>
      </c>
      <c r="PC109" s="22">
        <v>12474</v>
      </c>
      <c r="PD109" s="22">
        <v>3324</v>
      </c>
      <c r="PE109" s="22">
        <v>9232</v>
      </c>
      <c r="PF109" s="22">
        <v>16582</v>
      </c>
      <c r="PG109" s="22">
        <v>14625</v>
      </c>
      <c r="PH109" s="22">
        <v>15068</v>
      </c>
      <c r="PI109" s="22">
        <v>88</v>
      </c>
      <c r="PJ109" s="22">
        <v>1989</v>
      </c>
      <c r="PK109" s="22">
        <v>18122</v>
      </c>
      <c r="PL109" s="22">
        <v>10652</v>
      </c>
      <c r="PM109" s="22">
        <v>11169</v>
      </c>
      <c r="PN109" s="22">
        <v>17560</v>
      </c>
      <c r="PO109" s="22">
        <v>5468</v>
      </c>
      <c r="PP109" s="22">
        <v>9660</v>
      </c>
      <c r="PQ109" s="22">
        <v>16352</v>
      </c>
      <c r="PR109" s="22">
        <v>12834</v>
      </c>
      <c r="PS109" s="22">
        <v>10200</v>
      </c>
      <c r="PY109" s="22">
        <v>662167</v>
      </c>
    </row>
    <row r="110" spans="1:441" x14ac:dyDescent="0.25">
      <c r="A110" s="22">
        <v>106</v>
      </c>
      <c r="B110" s="22">
        <v>1000006668</v>
      </c>
      <c r="C110" t="s">
        <v>118</v>
      </c>
      <c r="D110" s="22" t="s">
        <v>12</v>
      </c>
      <c r="PY110" s="22">
        <v>0</v>
      </c>
    </row>
    <row r="111" spans="1:441" x14ac:dyDescent="0.25">
      <c r="A111" s="22">
        <v>107</v>
      </c>
      <c r="B111" s="22">
        <v>3000001196</v>
      </c>
      <c r="C111" t="s">
        <v>119</v>
      </c>
      <c r="D111" s="22" t="s">
        <v>12</v>
      </c>
      <c r="I111" s="22">
        <v>426</v>
      </c>
      <c r="GH111" s="22">
        <v>29</v>
      </c>
      <c r="HU111" s="22">
        <v>75</v>
      </c>
      <c r="MI111" s="22">
        <v>35</v>
      </c>
      <c r="MJ111" s="22">
        <v>123</v>
      </c>
      <c r="PY111" s="22">
        <v>688</v>
      </c>
    </row>
    <row r="112" spans="1:441" x14ac:dyDescent="0.25">
      <c r="A112" s="22">
        <v>108</v>
      </c>
      <c r="B112" s="22" t="s">
        <v>406</v>
      </c>
      <c r="C112" t="s">
        <v>121</v>
      </c>
      <c r="D112" s="22" t="s">
        <v>12</v>
      </c>
      <c r="PY112" s="22">
        <v>0</v>
      </c>
    </row>
    <row r="113" spans="1:441" x14ac:dyDescent="0.25">
      <c r="A113" s="22">
        <v>109</v>
      </c>
      <c r="B113" s="22">
        <v>3000000316</v>
      </c>
      <c r="C113" t="s">
        <v>682</v>
      </c>
      <c r="D113" s="22" t="s">
        <v>12</v>
      </c>
      <c r="AA113" s="22">
        <v>86</v>
      </c>
      <c r="GE113" s="22">
        <v>62</v>
      </c>
      <c r="HU113" s="22">
        <v>9</v>
      </c>
      <c r="NG113" s="22">
        <v>38</v>
      </c>
      <c r="PY113" s="22"/>
    </row>
    <row r="114" spans="1:441" x14ac:dyDescent="0.25">
      <c r="A114" s="22">
        <v>110</v>
      </c>
      <c r="B114" s="22">
        <v>3000000312</v>
      </c>
      <c r="C114" t="s">
        <v>123</v>
      </c>
      <c r="D114" s="22" t="s">
        <v>12</v>
      </c>
      <c r="H114" s="22">
        <v>3</v>
      </c>
      <c r="AA114" s="22">
        <v>265</v>
      </c>
      <c r="FW114" s="22">
        <v>4</v>
      </c>
      <c r="GE114" s="22">
        <v>120</v>
      </c>
      <c r="HV114" s="22">
        <v>10</v>
      </c>
      <c r="MJ114" s="22">
        <v>86</v>
      </c>
      <c r="NG114" s="22">
        <v>22</v>
      </c>
      <c r="PY114" s="22">
        <v>510</v>
      </c>
    </row>
    <row r="115" spans="1:441" x14ac:dyDescent="0.25">
      <c r="A115" s="22">
        <v>111</v>
      </c>
      <c r="B115" s="22">
        <v>3000000313</v>
      </c>
      <c r="C115" t="s">
        <v>124</v>
      </c>
      <c r="D115" s="22" t="s">
        <v>12</v>
      </c>
      <c r="H115" s="22">
        <v>5</v>
      </c>
      <c r="AA115" s="22">
        <v>308</v>
      </c>
      <c r="FW115" s="22">
        <v>4</v>
      </c>
      <c r="GE115" s="22">
        <v>80</v>
      </c>
      <c r="HV115" s="22">
        <v>10</v>
      </c>
      <c r="MJ115" s="22">
        <v>94</v>
      </c>
      <c r="NG115" s="22">
        <f>21+8</f>
        <v>29</v>
      </c>
      <c r="PY115" s="22">
        <v>530</v>
      </c>
    </row>
    <row r="116" spans="1:441" x14ac:dyDescent="0.25">
      <c r="A116" s="22">
        <v>112</v>
      </c>
      <c r="B116" s="22">
        <v>3000000314</v>
      </c>
      <c r="C116" t="s">
        <v>125</v>
      </c>
      <c r="D116" s="22" t="s">
        <v>12</v>
      </c>
      <c r="H116" s="22">
        <v>36</v>
      </c>
      <c r="I116" s="22">
        <v>32</v>
      </c>
      <c r="AA116" s="22">
        <v>40</v>
      </c>
      <c r="FW116" s="22">
        <v>185</v>
      </c>
      <c r="GE116" s="22">
        <v>35</v>
      </c>
      <c r="GH116" s="22">
        <v>4</v>
      </c>
      <c r="HV116" s="22">
        <v>34</v>
      </c>
      <c r="MJ116" s="22">
        <v>105</v>
      </c>
      <c r="NG116" s="22">
        <v>21</v>
      </c>
      <c r="PY116" s="22">
        <v>492</v>
      </c>
    </row>
    <row r="117" spans="1:441" x14ac:dyDescent="0.25">
      <c r="A117" s="22">
        <v>113</v>
      </c>
      <c r="B117" s="22">
        <v>3000000315</v>
      </c>
      <c r="C117" t="s">
        <v>126</v>
      </c>
      <c r="D117" s="22" t="s">
        <v>12</v>
      </c>
      <c r="GE117" s="22">
        <v>13</v>
      </c>
      <c r="PY117" s="22">
        <v>13</v>
      </c>
    </row>
    <row r="118" spans="1:441" x14ac:dyDescent="0.25">
      <c r="A118" s="22">
        <v>114</v>
      </c>
      <c r="B118" s="22">
        <v>3000000317</v>
      </c>
      <c r="C118" t="s">
        <v>127</v>
      </c>
      <c r="D118" s="22" t="s">
        <v>12</v>
      </c>
      <c r="AA118" s="22">
        <v>32</v>
      </c>
      <c r="HU118" s="22">
        <v>15</v>
      </c>
      <c r="NG118" s="22">
        <v>9</v>
      </c>
      <c r="PY118" s="22">
        <v>56</v>
      </c>
    </row>
    <row r="119" spans="1:441" x14ac:dyDescent="0.25">
      <c r="A119" s="22">
        <v>115</v>
      </c>
      <c r="B119" s="22">
        <v>3000000318</v>
      </c>
      <c r="C119" t="s">
        <v>128</v>
      </c>
      <c r="D119" s="22" t="s">
        <v>12</v>
      </c>
      <c r="F119" s="22">
        <v>45</v>
      </c>
      <c r="H119" s="22">
        <v>208</v>
      </c>
      <c r="I119" s="22">
        <v>917</v>
      </c>
      <c r="AA119" s="22">
        <v>251</v>
      </c>
      <c r="FW119" s="22">
        <v>208</v>
      </c>
      <c r="GE119" s="22">
        <v>81</v>
      </c>
      <c r="GH119" s="22">
        <v>63</v>
      </c>
      <c r="HU119" s="22">
        <v>177</v>
      </c>
      <c r="MI119" s="22">
        <v>86</v>
      </c>
      <c r="MJ119" s="22">
        <v>371</v>
      </c>
      <c r="NG119" s="22">
        <v>160</v>
      </c>
      <c r="PY119" s="22">
        <v>2567</v>
      </c>
    </row>
    <row r="120" spans="1:441" x14ac:dyDescent="0.25">
      <c r="A120" s="22">
        <v>116</v>
      </c>
      <c r="B120" s="22">
        <v>5000000010</v>
      </c>
      <c r="C120" t="s">
        <v>129</v>
      </c>
      <c r="D120" s="22" t="s">
        <v>12</v>
      </c>
      <c r="PY120" s="22">
        <v>0</v>
      </c>
    </row>
    <row r="121" spans="1:441" x14ac:dyDescent="0.25">
      <c r="A121" s="22">
        <v>117</v>
      </c>
      <c r="B121" s="22">
        <v>5000000016</v>
      </c>
      <c r="C121" t="s">
        <v>130</v>
      </c>
      <c r="D121" s="22" t="s">
        <v>12</v>
      </c>
      <c r="PY121" s="22">
        <v>0</v>
      </c>
    </row>
    <row r="122" spans="1:441" x14ac:dyDescent="0.25">
      <c r="A122" s="22">
        <v>118</v>
      </c>
      <c r="B122" s="22">
        <v>5000000015</v>
      </c>
      <c r="C122" t="s">
        <v>131</v>
      </c>
      <c r="D122" s="22" t="s">
        <v>12</v>
      </c>
      <c r="PY122" s="22">
        <v>0</v>
      </c>
    </row>
    <row r="123" spans="1:441" x14ac:dyDescent="0.25">
      <c r="A123" s="22">
        <v>119</v>
      </c>
      <c r="B123" s="22">
        <v>3000002701</v>
      </c>
      <c r="C123" t="s">
        <v>132</v>
      </c>
      <c r="D123" s="22" t="s">
        <v>12</v>
      </c>
      <c r="F123" s="22">
        <v>741</v>
      </c>
      <c r="EG123" s="22">
        <v>588</v>
      </c>
      <c r="GH123" s="22">
        <v>582</v>
      </c>
      <c r="GU123" s="22">
        <v>583</v>
      </c>
      <c r="HD123" s="22">
        <v>600</v>
      </c>
      <c r="JL123" s="22">
        <v>566</v>
      </c>
      <c r="KN123" s="22">
        <v>570</v>
      </c>
      <c r="KP123" s="22">
        <v>600</v>
      </c>
      <c r="MJ123" s="22">
        <v>8</v>
      </c>
      <c r="NP123" s="22">
        <v>4</v>
      </c>
      <c r="NQ123" s="22">
        <v>2</v>
      </c>
      <c r="NS123" s="22">
        <v>608</v>
      </c>
      <c r="NW123" s="22">
        <v>1097</v>
      </c>
      <c r="OA123" s="22">
        <v>1746</v>
      </c>
      <c r="OC123" s="22">
        <v>2</v>
      </c>
      <c r="OF123" s="22">
        <v>1147</v>
      </c>
      <c r="OR123" s="22">
        <v>6</v>
      </c>
      <c r="OS123" s="22">
        <v>566</v>
      </c>
      <c r="OT123" s="22">
        <v>1202</v>
      </c>
      <c r="OV123" s="22">
        <v>2</v>
      </c>
      <c r="PY123" s="22">
        <v>11220</v>
      </c>
    </row>
    <row r="124" spans="1:441" x14ac:dyDescent="0.25">
      <c r="A124" s="22">
        <v>120</v>
      </c>
      <c r="B124" s="22">
        <v>3000002771</v>
      </c>
      <c r="C124" t="s">
        <v>133</v>
      </c>
      <c r="D124" s="22" t="s">
        <v>12</v>
      </c>
      <c r="F124" s="22">
        <v>1011</v>
      </c>
      <c r="EO124" s="22">
        <v>566</v>
      </c>
      <c r="FW124" s="22">
        <v>4</v>
      </c>
      <c r="GH124" s="22">
        <v>1150</v>
      </c>
      <c r="GU124" s="22">
        <v>1183</v>
      </c>
      <c r="GV124" s="22">
        <v>2</v>
      </c>
      <c r="GX124" s="22">
        <v>1200</v>
      </c>
      <c r="HD124" s="22">
        <v>1166</v>
      </c>
      <c r="IZ124" s="22">
        <v>565</v>
      </c>
      <c r="JJ124" s="22">
        <v>562</v>
      </c>
      <c r="JK124" s="22">
        <v>2</v>
      </c>
      <c r="JL124" s="22">
        <v>2298</v>
      </c>
      <c r="JM124" s="22">
        <v>600</v>
      </c>
      <c r="KC124" s="22">
        <v>600</v>
      </c>
      <c r="KF124" s="22">
        <v>1200</v>
      </c>
      <c r="KL124" s="22">
        <v>1132</v>
      </c>
      <c r="KN124" s="22">
        <v>1190</v>
      </c>
      <c r="KP124" s="22">
        <v>568</v>
      </c>
      <c r="MP124" s="22">
        <v>4</v>
      </c>
      <c r="NE124" s="22">
        <v>593</v>
      </c>
      <c r="NO124" s="22">
        <v>460</v>
      </c>
      <c r="NP124" s="22">
        <v>898</v>
      </c>
      <c r="NQ124" s="22">
        <v>1198</v>
      </c>
      <c r="NS124" s="22">
        <v>1707</v>
      </c>
      <c r="NW124" s="22">
        <v>1161</v>
      </c>
      <c r="OA124" s="22">
        <v>1137</v>
      </c>
      <c r="OC124" s="22">
        <v>1198</v>
      </c>
      <c r="OE124" s="22">
        <v>600</v>
      </c>
      <c r="OF124" s="22">
        <v>4</v>
      </c>
      <c r="OR124" s="22">
        <v>1566</v>
      </c>
      <c r="OS124" s="22">
        <v>566</v>
      </c>
      <c r="OT124" s="22">
        <v>1189</v>
      </c>
      <c r="OV124" s="22">
        <v>589</v>
      </c>
      <c r="PA124" s="22">
        <v>2</v>
      </c>
      <c r="PY124" s="22">
        <v>27871</v>
      </c>
    </row>
    <row r="125" spans="1:441" x14ac:dyDescent="0.25">
      <c r="A125" s="22">
        <v>121</v>
      </c>
      <c r="B125" s="22">
        <v>3000002777</v>
      </c>
      <c r="C125" t="s">
        <v>134</v>
      </c>
      <c r="D125" s="22" t="s">
        <v>12</v>
      </c>
      <c r="F125" s="22">
        <v>1540</v>
      </c>
      <c r="AR125" s="22">
        <v>2</v>
      </c>
      <c r="DR125" s="22">
        <v>8</v>
      </c>
      <c r="DU125" s="22">
        <v>8</v>
      </c>
      <c r="DX125" s="22">
        <v>12</v>
      </c>
      <c r="EI125" s="22">
        <v>566</v>
      </c>
      <c r="EO125" s="22">
        <v>1681</v>
      </c>
      <c r="EW125" s="22">
        <v>2</v>
      </c>
      <c r="EZ125" s="22">
        <v>1208</v>
      </c>
      <c r="FJ125" s="22">
        <v>282</v>
      </c>
      <c r="FP125" s="22">
        <v>2</v>
      </c>
      <c r="GH125" s="22">
        <v>1447</v>
      </c>
      <c r="GU125" s="22">
        <v>1766</v>
      </c>
      <c r="GV125" s="22">
        <v>1996</v>
      </c>
      <c r="GX125" s="22">
        <v>1166</v>
      </c>
      <c r="HD125" s="22">
        <v>566</v>
      </c>
      <c r="HT125" s="22">
        <v>568</v>
      </c>
      <c r="IB125" s="22">
        <v>6</v>
      </c>
      <c r="JJ125" s="22">
        <v>2264</v>
      </c>
      <c r="JK125" s="22">
        <v>598</v>
      </c>
      <c r="JM125" s="22">
        <v>600</v>
      </c>
      <c r="JP125" s="22">
        <v>600</v>
      </c>
      <c r="JT125" s="22">
        <v>600</v>
      </c>
      <c r="JZ125" s="22">
        <v>2</v>
      </c>
      <c r="KA125" s="22">
        <v>4</v>
      </c>
      <c r="KF125" s="22">
        <v>600</v>
      </c>
      <c r="KL125" s="22">
        <v>1132</v>
      </c>
      <c r="KM125" s="22">
        <v>4</v>
      </c>
      <c r="KN125" s="22">
        <v>1196</v>
      </c>
      <c r="KP125" s="22">
        <v>598</v>
      </c>
      <c r="LB125" s="22">
        <v>6</v>
      </c>
      <c r="LP125" s="22">
        <v>2</v>
      </c>
      <c r="LQ125" s="22">
        <v>6</v>
      </c>
      <c r="LV125" s="22">
        <v>6</v>
      </c>
      <c r="MP125" s="22">
        <v>596</v>
      </c>
      <c r="MX125" s="22">
        <v>2</v>
      </c>
      <c r="NE125" s="22">
        <v>2356</v>
      </c>
      <c r="NO125" s="22">
        <v>920</v>
      </c>
      <c r="NP125" s="22">
        <v>898</v>
      </c>
      <c r="NQ125" s="22">
        <v>1202</v>
      </c>
      <c r="NS125" s="22">
        <v>2256</v>
      </c>
      <c r="NW125" s="22">
        <v>1162</v>
      </c>
      <c r="OA125" s="22">
        <v>867</v>
      </c>
      <c r="OC125" s="22">
        <v>1204</v>
      </c>
      <c r="OF125" s="22">
        <v>1198</v>
      </c>
      <c r="OI125" s="22">
        <v>2</v>
      </c>
      <c r="OJ125" s="22">
        <v>2</v>
      </c>
      <c r="OK125" s="22">
        <v>2</v>
      </c>
      <c r="OL125" s="22">
        <v>2</v>
      </c>
      <c r="ON125" s="22">
        <v>4</v>
      </c>
      <c r="OO125" s="22">
        <v>4</v>
      </c>
      <c r="OR125" s="22">
        <v>1631</v>
      </c>
      <c r="OT125" s="22">
        <v>1194</v>
      </c>
      <c r="OV125" s="22">
        <v>574</v>
      </c>
      <c r="OZ125" s="22">
        <v>4</v>
      </c>
      <c r="PA125" s="22">
        <v>458</v>
      </c>
      <c r="PB125" s="22">
        <v>4</v>
      </c>
      <c r="PC125" s="22">
        <v>4</v>
      </c>
      <c r="PE125" s="22">
        <v>4</v>
      </c>
      <c r="PF125" s="22">
        <v>4</v>
      </c>
      <c r="PG125" s="22">
        <v>4</v>
      </c>
      <c r="PH125" s="22">
        <v>6</v>
      </c>
      <c r="PK125" s="22">
        <v>6</v>
      </c>
      <c r="PL125" s="22">
        <v>4</v>
      </c>
      <c r="PM125" s="22">
        <v>4</v>
      </c>
      <c r="PO125" s="22">
        <v>4</v>
      </c>
      <c r="PQ125" s="22">
        <v>11</v>
      </c>
      <c r="PR125" s="22">
        <v>4</v>
      </c>
      <c r="PY125" s="22">
        <v>37641</v>
      </c>
    </row>
    <row r="126" spans="1:441" x14ac:dyDescent="0.25">
      <c r="A126" s="22">
        <v>122</v>
      </c>
      <c r="B126" s="22">
        <v>3000002700</v>
      </c>
      <c r="C126" t="s">
        <v>135</v>
      </c>
      <c r="D126" s="22" t="s">
        <v>12</v>
      </c>
      <c r="F126" s="22">
        <v>6055</v>
      </c>
      <c r="H126" s="22">
        <v>8</v>
      </c>
      <c r="O126" s="22">
        <v>30</v>
      </c>
      <c r="R126" s="22">
        <v>24</v>
      </c>
      <c r="T126" s="22">
        <v>35</v>
      </c>
      <c r="Z126" s="22">
        <v>12</v>
      </c>
      <c r="AB126" s="22">
        <v>6</v>
      </c>
      <c r="AE126" s="22">
        <v>58</v>
      </c>
      <c r="AG126" s="22">
        <v>34</v>
      </c>
      <c r="AH126" s="22">
        <v>348</v>
      </c>
      <c r="AK126" s="22">
        <v>18</v>
      </c>
      <c r="AM126" s="22">
        <v>12</v>
      </c>
      <c r="AP126" s="22">
        <v>28</v>
      </c>
      <c r="AR126" s="22">
        <v>7</v>
      </c>
      <c r="AT126" s="22">
        <v>28</v>
      </c>
      <c r="AX126" s="22">
        <v>34</v>
      </c>
      <c r="BE126" s="22">
        <v>32</v>
      </c>
      <c r="BJ126" s="22">
        <v>18</v>
      </c>
      <c r="BN126" s="22">
        <v>20</v>
      </c>
      <c r="BO126" s="22">
        <v>12</v>
      </c>
      <c r="CG126" s="22">
        <v>30</v>
      </c>
      <c r="CN126" s="22">
        <v>20</v>
      </c>
      <c r="CS126" s="22">
        <v>6</v>
      </c>
      <c r="CV126" s="22">
        <v>20</v>
      </c>
      <c r="CY126" s="22">
        <v>20</v>
      </c>
      <c r="DA126" s="22">
        <v>20</v>
      </c>
      <c r="DD126" s="22">
        <v>20</v>
      </c>
      <c r="DJ126" s="22">
        <v>20</v>
      </c>
      <c r="DK126" s="22">
        <v>20</v>
      </c>
      <c r="DL126" s="22">
        <v>20</v>
      </c>
      <c r="DO126" s="22">
        <v>20</v>
      </c>
      <c r="DQ126" s="22">
        <v>80</v>
      </c>
      <c r="DR126" s="22">
        <v>28</v>
      </c>
      <c r="DU126" s="22">
        <v>28</v>
      </c>
      <c r="DX126" s="22">
        <v>42</v>
      </c>
      <c r="EC126" s="22">
        <v>60</v>
      </c>
      <c r="EE126" s="22">
        <v>24</v>
      </c>
      <c r="EF126" s="22">
        <v>16</v>
      </c>
      <c r="EG126" s="22">
        <v>48</v>
      </c>
      <c r="EH126" s="22">
        <v>32</v>
      </c>
      <c r="EI126" s="22">
        <v>68</v>
      </c>
      <c r="EJ126" s="22">
        <v>18</v>
      </c>
      <c r="EK126" s="22">
        <v>12</v>
      </c>
      <c r="EL126" s="22">
        <v>24</v>
      </c>
      <c r="EO126" s="22">
        <v>108</v>
      </c>
      <c r="ET126" s="22">
        <v>38</v>
      </c>
      <c r="EU126" s="22">
        <v>18</v>
      </c>
      <c r="EV126" s="22">
        <v>34</v>
      </c>
      <c r="EW126" s="22">
        <v>65</v>
      </c>
      <c r="EX126" s="22">
        <v>36</v>
      </c>
      <c r="EY126" s="22">
        <v>20</v>
      </c>
      <c r="EZ126" s="22">
        <v>42</v>
      </c>
      <c r="FB126" s="22">
        <v>30</v>
      </c>
      <c r="FC126" s="22">
        <v>30</v>
      </c>
      <c r="FF126" s="22">
        <v>20</v>
      </c>
      <c r="FG126" s="22">
        <v>20</v>
      </c>
      <c r="FJ126" s="22">
        <v>892</v>
      </c>
      <c r="FK126" s="22">
        <v>20</v>
      </c>
      <c r="FL126" s="22">
        <v>20</v>
      </c>
      <c r="FN126" s="22">
        <v>38</v>
      </c>
      <c r="FO126" s="22">
        <v>34</v>
      </c>
      <c r="FP126" s="22">
        <v>20</v>
      </c>
      <c r="FQ126" s="22">
        <v>36</v>
      </c>
      <c r="FS126" s="22">
        <v>44</v>
      </c>
      <c r="FU126" s="22">
        <v>20</v>
      </c>
      <c r="FV126" s="22">
        <v>20</v>
      </c>
      <c r="FW126" s="22">
        <v>14</v>
      </c>
      <c r="FX126" s="22">
        <v>57</v>
      </c>
      <c r="FY126" s="22">
        <v>20</v>
      </c>
      <c r="FZ126" s="22">
        <v>90</v>
      </c>
      <c r="GA126" s="22">
        <v>20</v>
      </c>
      <c r="GB126" s="22">
        <v>20</v>
      </c>
      <c r="GC126" s="22">
        <v>42</v>
      </c>
      <c r="GF126" s="22">
        <v>28</v>
      </c>
      <c r="GG126" s="22">
        <v>75</v>
      </c>
      <c r="GH126" s="22">
        <v>556</v>
      </c>
      <c r="GJ126" s="22">
        <v>62</v>
      </c>
      <c r="GL126" s="22">
        <v>68</v>
      </c>
      <c r="GM126" s="22">
        <v>74</v>
      </c>
      <c r="GN126" s="22">
        <v>36</v>
      </c>
      <c r="GR126" s="22">
        <v>20</v>
      </c>
      <c r="GT126" s="22">
        <v>71</v>
      </c>
      <c r="GU126" s="22">
        <v>136</v>
      </c>
      <c r="GV126" s="22">
        <v>84</v>
      </c>
      <c r="GW126" s="22">
        <v>17</v>
      </c>
      <c r="GX126" s="22">
        <v>114</v>
      </c>
      <c r="HA126" s="22">
        <v>638</v>
      </c>
      <c r="HB126" s="22">
        <v>68</v>
      </c>
      <c r="HC126" s="22">
        <v>20</v>
      </c>
      <c r="HD126" s="22">
        <v>683</v>
      </c>
      <c r="HE126" s="22">
        <v>20</v>
      </c>
      <c r="HG126" s="22">
        <v>20</v>
      </c>
      <c r="HK126" s="22">
        <v>50</v>
      </c>
      <c r="HL126" s="22">
        <v>26</v>
      </c>
      <c r="HN126" s="22">
        <v>60</v>
      </c>
      <c r="HO126" s="22">
        <v>64</v>
      </c>
      <c r="HP126" s="22">
        <v>62</v>
      </c>
      <c r="HQ126" s="22">
        <v>20</v>
      </c>
      <c r="HR126" s="22">
        <v>20</v>
      </c>
      <c r="HT126" s="22">
        <v>52</v>
      </c>
      <c r="HV126" s="22">
        <v>52</v>
      </c>
      <c r="HW126" s="22">
        <v>12</v>
      </c>
      <c r="HX126" s="22">
        <v>24</v>
      </c>
      <c r="IA126" s="22">
        <v>42</v>
      </c>
      <c r="IB126" s="22">
        <v>60</v>
      </c>
      <c r="IC126" s="22">
        <v>925</v>
      </c>
      <c r="IF126" s="22">
        <v>62</v>
      </c>
      <c r="IH126" s="22">
        <v>30</v>
      </c>
      <c r="IK126" s="22">
        <v>36</v>
      </c>
      <c r="IM126" s="22">
        <v>20</v>
      </c>
      <c r="IN126" s="22">
        <v>20</v>
      </c>
      <c r="IO126" s="22">
        <v>40</v>
      </c>
      <c r="IR126" s="22">
        <v>20</v>
      </c>
      <c r="IT126" s="22">
        <v>20</v>
      </c>
      <c r="IW126" s="22">
        <v>46</v>
      </c>
      <c r="IX126" s="22">
        <v>50</v>
      </c>
      <c r="IZ126" s="22">
        <v>80</v>
      </c>
      <c r="JA126" s="22">
        <v>647</v>
      </c>
      <c r="JG126" s="22">
        <v>56</v>
      </c>
      <c r="JH126" s="22">
        <v>1782</v>
      </c>
      <c r="JJ126" s="22">
        <v>76</v>
      </c>
      <c r="JK126" s="22">
        <v>89</v>
      </c>
      <c r="JL126" s="22">
        <v>100</v>
      </c>
      <c r="JM126" s="22">
        <v>673</v>
      </c>
      <c r="JO126" s="22">
        <v>20</v>
      </c>
      <c r="JP126" s="22">
        <v>58</v>
      </c>
      <c r="JQ126" s="22">
        <v>36</v>
      </c>
      <c r="JR126" s="22">
        <v>44</v>
      </c>
      <c r="JT126" s="22">
        <v>56</v>
      </c>
      <c r="JV126" s="22">
        <v>12</v>
      </c>
      <c r="JW126" s="22">
        <v>588</v>
      </c>
      <c r="JY126" s="22">
        <v>32</v>
      </c>
      <c r="JZ126" s="22">
        <v>73</v>
      </c>
      <c r="KA126" s="22">
        <v>78</v>
      </c>
      <c r="KB126" s="22">
        <v>648</v>
      </c>
      <c r="KC126" s="22">
        <v>58</v>
      </c>
      <c r="KE126" s="22">
        <v>40</v>
      </c>
      <c r="KF126" s="22">
        <v>71</v>
      </c>
      <c r="KG126" s="22">
        <v>20</v>
      </c>
      <c r="KH126" s="22">
        <v>43</v>
      </c>
      <c r="KI126" s="22">
        <v>20</v>
      </c>
      <c r="KJ126" s="22">
        <v>38</v>
      </c>
      <c r="KK126" s="22">
        <v>20</v>
      </c>
      <c r="KL126" s="22">
        <v>98</v>
      </c>
      <c r="KM126" s="22">
        <v>1268</v>
      </c>
      <c r="KN126" s="22">
        <v>130</v>
      </c>
      <c r="KO126" s="22">
        <v>40</v>
      </c>
      <c r="KP126" s="22">
        <v>84</v>
      </c>
      <c r="KQ126" s="22">
        <v>20</v>
      </c>
      <c r="KR126" s="22">
        <v>46</v>
      </c>
      <c r="KT126" s="22">
        <v>684</v>
      </c>
      <c r="LA126" s="22">
        <v>26</v>
      </c>
      <c r="LB126" s="22">
        <v>58</v>
      </c>
      <c r="LC126" s="22">
        <v>44</v>
      </c>
      <c r="LE126" s="22">
        <v>20</v>
      </c>
      <c r="LP126" s="22">
        <v>33</v>
      </c>
      <c r="LQ126" s="22">
        <v>71</v>
      </c>
      <c r="LR126" s="22">
        <v>596</v>
      </c>
      <c r="LS126" s="22">
        <v>637</v>
      </c>
      <c r="LT126" s="22">
        <v>42</v>
      </c>
      <c r="LU126" s="22">
        <v>30</v>
      </c>
      <c r="LV126" s="22">
        <v>50</v>
      </c>
      <c r="LW126" s="22">
        <v>34</v>
      </c>
      <c r="LX126" s="22">
        <v>42</v>
      </c>
      <c r="MI126" s="22">
        <v>38</v>
      </c>
      <c r="MJ126" s="22">
        <v>44</v>
      </c>
      <c r="MP126" s="22">
        <v>48</v>
      </c>
      <c r="MS126" s="22">
        <v>38</v>
      </c>
      <c r="MU126" s="22">
        <f>613+35</f>
        <v>648</v>
      </c>
      <c r="MV126" s="22">
        <v>34</v>
      </c>
      <c r="MX126" s="22">
        <v>63</v>
      </c>
      <c r="MZ126" s="22">
        <v>51</v>
      </c>
      <c r="NE126" s="22">
        <v>138</v>
      </c>
      <c r="NF126" s="22">
        <v>620</v>
      </c>
      <c r="NG126" s="22">
        <v>56</v>
      </c>
      <c r="NH126" s="22">
        <v>42</v>
      </c>
      <c r="NI126" s="22">
        <v>42</v>
      </c>
      <c r="NJ126" s="22">
        <v>22</v>
      </c>
      <c r="NL126" s="22">
        <v>42</v>
      </c>
      <c r="NM126" s="22">
        <v>30</v>
      </c>
      <c r="NN126" s="22">
        <v>28</v>
      </c>
      <c r="NO126" s="22">
        <v>1576</v>
      </c>
      <c r="NP126" s="22">
        <v>88</v>
      </c>
      <c r="NQ126" s="22">
        <v>493</v>
      </c>
      <c r="NR126" s="22">
        <v>36</v>
      </c>
      <c r="NS126" s="22">
        <v>1403</v>
      </c>
      <c r="NT126" s="22">
        <v>36</v>
      </c>
      <c r="NU126" s="22">
        <v>505</v>
      </c>
      <c r="NV126" s="22">
        <v>52</v>
      </c>
      <c r="NW126" s="22">
        <v>132</v>
      </c>
      <c r="NX126" s="22">
        <v>32</v>
      </c>
      <c r="NY126" s="22">
        <v>46</v>
      </c>
      <c r="NZ126" s="22">
        <v>46</v>
      </c>
      <c r="OA126" s="22">
        <f>544+132</f>
        <v>676</v>
      </c>
      <c r="OB126" s="22">
        <v>34</v>
      </c>
      <c r="OC126" s="22">
        <v>922</v>
      </c>
      <c r="OD126" s="22">
        <v>20</v>
      </c>
      <c r="OE126" s="22">
        <v>54</v>
      </c>
      <c r="OF126" s="22">
        <v>98</v>
      </c>
      <c r="OG126" s="22">
        <v>34</v>
      </c>
      <c r="OH126" s="22">
        <v>10</v>
      </c>
      <c r="OI126" s="22">
        <v>654</v>
      </c>
      <c r="OJ126" s="22">
        <v>674</v>
      </c>
      <c r="OK126" s="22">
        <v>14</v>
      </c>
      <c r="OL126" s="22">
        <v>19</v>
      </c>
      <c r="OM126" s="22">
        <v>36</v>
      </c>
      <c r="ON126" s="22">
        <v>700</v>
      </c>
      <c r="OO126" s="22">
        <v>58</v>
      </c>
      <c r="OP126" s="22">
        <v>24</v>
      </c>
      <c r="OQ126" s="22">
        <v>61</v>
      </c>
      <c r="OR126" s="22">
        <v>104</v>
      </c>
      <c r="OS126" s="22">
        <v>68</v>
      </c>
      <c r="OT126" s="22">
        <v>734</v>
      </c>
      <c r="OV126" s="22">
        <v>66</v>
      </c>
      <c r="OX126" s="22">
        <v>40</v>
      </c>
      <c r="OY126" s="22">
        <v>22</v>
      </c>
      <c r="OZ126" s="22">
        <v>64</v>
      </c>
      <c r="PA126" s="22">
        <v>446</v>
      </c>
      <c r="PB126" s="22">
        <v>66</v>
      </c>
      <c r="PC126" s="22">
        <v>38</v>
      </c>
      <c r="PD126" s="22">
        <v>18</v>
      </c>
      <c r="PE126" s="22">
        <v>50</v>
      </c>
      <c r="PF126" s="22">
        <v>50</v>
      </c>
      <c r="PG126" s="22">
        <v>74</v>
      </c>
      <c r="PH126" s="22">
        <v>60</v>
      </c>
      <c r="PI126" s="22">
        <v>58</v>
      </c>
      <c r="PJ126" s="22">
        <v>62</v>
      </c>
      <c r="PK126" s="22">
        <v>64</v>
      </c>
      <c r="PL126" s="22">
        <v>56</v>
      </c>
      <c r="PM126" s="22">
        <v>62</v>
      </c>
      <c r="PN126" s="22">
        <v>62</v>
      </c>
      <c r="PO126" s="22">
        <v>62</v>
      </c>
      <c r="PP126" s="22">
        <v>62</v>
      </c>
      <c r="PQ126" s="22">
        <v>74</v>
      </c>
      <c r="PR126" s="22">
        <v>74</v>
      </c>
      <c r="PY126" s="22">
        <v>36550</v>
      </c>
    </row>
    <row r="127" spans="1:441" x14ac:dyDescent="0.25">
      <c r="A127" s="22">
        <v>123</v>
      </c>
      <c r="B127" s="22">
        <v>3000002699</v>
      </c>
      <c r="C127" t="s">
        <v>136</v>
      </c>
      <c r="D127" s="22" t="s">
        <v>12</v>
      </c>
      <c r="F127" s="22">
        <v>3270</v>
      </c>
      <c r="I127" s="22">
        <v>4</v>
      </c>
      <c r="O127" s="22">
        <v>2</v>
      </c>
      <c r="AB127" s="22">
        <v>4</v>
      </c>
      <c r="AG127" s="22">
        <v>2</v>
      </c>
      <c r="AH127" s="22">
        <v>2</v>
      </c>
      <c r="AK127" s="22">
        <v>6</v>
      </c>
      <c r="AM127" s="22">
        <v>12</v>
      </c>
      <c r="AP127" s="22">
        <v>4</v>
      </c>
      <c r="AR127" s="22">
        <v>8</v>
      </c>
      <c r="AT127" s="22">
        <v>6</v>
      </c>
      <c r="AX127" s="22">
        <v>4</v>
      </c>
      <c r="BE127" s="22">
        <v>10</v>
      </c>
      <c r="BJ127" s="22">
        <v>16</v>
      </c>
      <c r="CS127" s="22">
        <v>6</v>
      </c>
      <c r="DQ127" s="22">
        <v>2384</v>
      </c>
      <c r="DR127" s="22">
        <v>16</v>
      </c>
      <c r="DU127" s="22">
        <v>19</v>
      </c>
      <c r="DX127" s="22">
        <v>24</v>
      </c>
      <c r="EE127" s="22">
        <v>703</v>
      </c>
      <c r="EF127" s="22">
        <v>6</v>
      </c>
      <c r="EG127" s="22">
        <v>540</v>
      </c>
      <c r="EH127" s="22">
        <v>14</v>
      </c>
      <c r="EI127" s="22">
        <v>1171</v>
      </c>
      <c r="EJ127" s="22">
        <v>2</v>
      </c>
      <c r="EK127" s="22">
        <v>12</v>
      </c>
      <c r="EL127" s="22">
        <v>1677</v>
      </c>
      <c r="EO127" s="22">
        <v>1225</v>
      </c>
      <c r="ET127" s="22">
        <v>736</v>
      </c>
      <c r="EU127" s="22">
        <v>2</v>
      </c>
      <c r="EV127" s="22">
        <v>274</v>
      </c>
      <c r="EW127" s="22">
        <v>69</v>
      </c>
      <c r="EX127" s="22">
        <v>1455</v>
      </c>
      <c r="EZ127" s="22">
        <v>364</v>
      </c>
      <c r="FB127" s="22">
        <v>30</v>
      </c>
      <c r="FC127" s="22">
        <v>1056</v>
      </c>
      <c r="FJ127" s="22">
        <v>22</v>
      </c>
      <c r="FN127" s="22">
        <v>2015</v>
      </c>
      <c r="FO127" s="22">
        <v>2080</v>
      </c>
      <c r="FP127" s="22">
        <v>31</v>
      </c>
      <c r="FQ127" s="22">
        <v>4</v>
      </c>
      <c r="FS127" s="22">
        <v>1046</v>
      </c>
      <c r="FW127" s="22">
        <v>24</v>
      </c>
      <c r="FX127" s="22">
        <v>58</v>
      </c>
      <c r="FZ127" s="22">
        <v>3021</v>
      </c>
      <c r="GC127" s="22">
        <v>1508</v>
      </c>
      <c r="GF127" s="22">
        <v>30</v>
      </c>
      <c r="GG127" s="22">
        <v>79</v>
      </c>
      <c r="GH127" s="22">
        <v>626</v>
      </c>
      <c r="GJ127" s="22">
        <v>50</v>
      </c>
      <c r="GL127" s="22">
        <v>69</v>
      </c>
      <c r="GM127" s="22">
        <v>833</v>
      </c>
      <c r="GN127" s="22">
        <v>763</v>
      </c>
      <c r="GT127" s="22">
        <v>79</v>
      </c>
      <c r="GV127" s="22">
        <v>746</v>
      </c>
      <c r="GX127" s="22">
        <v>800</v>
      </c>
      <c r="HA127" s="22">
        <v>1194</v>
      </c>
      <c r="HB127" s="22">
        <v>69</v>
      </c>
      <c r="HD127" s="22">
        <v>766</v>
      </c>
      <c r="HK127" s="22">
        <v>53</v>
      </c>
      <c r="HL127" s="22">
        <v>18</v>
      </c>
      <c r="HN127" s="22">
        <v>68</v>
      </c>
      <c r="HO127" s="22">
        <v>66</v>
      </c>
      <c r="HP127" s="22">
        <v>66</v>
      </c>
      <c r="HT127" s="22">
        <v>36</v>
      </c>
      <c r="HU127" s="22">
        <v>624</v>
      </c>
      <c r="HW127" s="22">
        <v>12</v>
      </c>
      <c r="HX127" s="22">
        <v>24</v>
      </c>
      <c r="IA127" s="22">
        <v>42</v>
      </c>
      <c r="IB127" s="22">
        <v>54</v>
      </c>
      <c r="IC127" s="22">
        <v>4</v>
      </c>
      <c r="IF127" s="22">
        <v>66</v>
      </c>
      <c r="IH127" s="22">
        <v>31</v>
      </c>
      <c r="IK127" s="22">
        <v>20</v>
      </c>
      <c r="IO127" s="22">
        <v>1160</v>
      </c>
      <c r="IW127" s="22">
        <v>714</v>
      </c>
      <c r="IX127" s="22">
        <v>1328</v>
      </c>
      <c r="IZ127" s="22">
        <v>69</v>
      </c>
      <c r="JA127" s="22">
        <v>48</v>
      </c>
      <c r="JG127" s="22">
        <v>1470</v>
      </c>
      <c r="JH127" s="22">
        <v>6</v>
      </c>
      <c r="JJ127" s="22">
        <v>12</v>
      </c>
      <c r="JK127" s="22">
        <v>1198</v>
      </c>
      <c r="JL127" s="22">
        <v>551</v>
      </c>
      <c r="JM127" s="22">
        <v>12</v>
      </c>
      <c r="JP127" s="22">
        <v>532</v>
      </c>
      <c r="JQ127" s="22">
        <v>595</v>
      </c>
      <c r="JR127" s="22">
        <v>1258</v>
      </c>
      <c r="JT127" s="22">
        <v>596</v>
      </c>
      <c r="JV127" s="22">
        <v>14</v>
      </c>
      <c r="JW127" s="22">
        <v>24</v>
      </c>
      <c r="JY127" s="22">
        <v>740</v>
      </c>
      <c r="JZ127" s="22">
        <v>74</v>
      </c>
      <c r="KA127" s="22">
        <v>71</v>
      </c>
      <c r="KB127" s="22">
        <v>26</v>
      </c>
      <c r="KC127" s="22">
        <v>1117</v>
      </c>
      <c r="KF127" s="22">
        <v>14</v>
      </c>
      <c r="KH127" s="22">
        <v>44</v>
      </c>
      <c r="KJ127" s="22">
        <v>759</v>
      </c>
      <c r="KL127" s="22">
        <v>6</v>
      </c>
      <c r="KM127" s="22">
        <v>596</v>
      </c>
      <c r="KN127" s="22">
        <v>894</v>
      </c>
      <c r="KO127" s="22">
        <v>32</v>
      </c>
      <c r="KP127" s="22">
        <v>777</v>
      </c>
      <c r="KR127" s="22">
        <v>602</v>
      </c>
      <c r="KT127" s="22">
        <v>6</v>
      </c>
      <c r="LA127" s="22">
        <v>752</v>
      </c>
      <c r="LB127" s="22">
        <v>46</v>
      </c>
      <c r="LC127" s="22">
        <v>42</v>
      </c>
      <c r="LP127" s="22">
        <v>10</v>
      </c>
      <c r="LQ127" s="22">
        <v>63</v>
      </c>
      <c r="LR127" s="22">
        <v>56</v>
      </c>
      <c r="LS127" s="22">
        <v>1070</v>
      </c>
      <c r="LT127" s="22">
        <v>406</v>
      </c>
      <c r="LU127" s="22">
        <v>433</v>
      </c>
      <c r="LV127" s="22">
        <v>48</v>
      </c>
      <c r="LW127" s="22">
        <v>288</v>
      </c>
      <c r="LX127" s="22">
        <v>42</v>
      </c>
      <c r="MI127" s="22">
        <v>26</v>
      </c>
      <c r="MJ127" s="22">
        <v>20</v>
      </c>
      <c r="MP127" s="22">
        <v>855</v>
      </c>
      <c r="MS127" s="22">
        <v>843</v>
      </c>
      <c r="MV127" s="22">
        <v>24</v>
      </c>
      <c r="MX127" s="22">
        <v>60</v>
      </c>
      <c r="MZ127" s="22">
        <v>35</v>
      </c>
      <c r="NE127" s="22">
        <v>2579</v>
      </c>
      <c r="NF127" s="22">
        <v>30</v>
      </c>
      <c r="NG127" s="22">
        <v>38</v>
      </c>
      <c r="NH127" s="22">
        <v>28</v>
      </c>
      <c r="NI127" s="22">
        <v>1019</v>
      </c>
      <c r="NL127" s="22">
        <v>1617</v>
      </c>
      <c r="NM127" s="22">
        <v>30</v>
      </c>
      <c r="NN127" s="22">
        <v>16</v>
      </c>
      <c r="NO127" s="22">
        <v>1398</v>
      </c>
      <c r="NP127" s="22">
        <v>1430</v>
      </c>
      <c r="NQ127" s="22">
        <v>4</v>
      </c>
      <c r="NS127" s="22">
        <v>24</v>
      </c>
      <c r="NT127" s="22">
        <v>10</v>
      </c>
      <c r="NU127" s="22">
        <v>27</v>
      </c>
      <c r="NV127" s="22">
        <v>786</v>
      </c>
      <c r="NW127" s="22">
        <v>1460</v>
      </c>
      <c r="NX127" s="22">
        <v>12</v>
      </c>
      <c r="NY127" s="22">
        <v>618</v>
      </c>
      <c r="NZ127" s="22">
        <v>759</v>
      </c>
      <c r="OA127" s="22">
        <v>36</v>
      </c>
      <c r="OB127" s="22">
        <v>302</v>
      </c>
      <c r="OC127" s="22">
        <v>835</v>
      </c>
      <c r="OE127" s="22">
        <v>34</v>
      </c>
      <c r="OF127" s="22">
        <v>1702</v>
      </c>
      <c r="OG127" s="22">
        <v>12</v>
      </c>
      <c r="OI127" s="22">
        <v>596</v>
      </c>
      <c r="OJ127" s="22">
        <v>596</v>
      </c>
      <c r="OK127" s="22">
        <v>10</v>
      </c>
      <c r="OL127" s="22">
        <v>18</v>
      </c>
      <c r="OM127" s="22">
        <v>8</v>
      </c>
      <c r="ON127" s="22">
        <v>896</v>
      </c>
      <c r="OO127" s="22">
        <v>32</v>
      </c>
      <c r="OQ127" s="22">
        <v>28</v>
      </c>
      <c r="OR127" s="22">
        <v>614</v>
      </c>
      <c r="OS127" s="22">
        <v>12</v>
      </c>
      <c r="OV127" s="22">
        <v>10</v>
      </c>
      <c r="OX127" s="22">
        <v>596</v>
      </c>
      <c r="OZ127" s="22">
        <v>59</v>
      </c>
      <c r="PA127" s="22">
        <v>731</v>
      </c>
      <c r="PB127" s="22">
        <v>59</v>
      </c>
      <c r="PC127" s="22">
        <v>35</v>
      </c>
      <c r="PD127" s="22">
        <v>2</v>
      </c>
      <c r="PE127" s="22">
        <v>47</v>
      </c>
      <c r="PF127" s="22">
        <v>47</v>
      </c>
      <c r="PG127" s="22">
        <v>71</v>
      </c>
      <c r="PH127" s="22">
        <v>46</v>
      </c>
      <c r="PI127" s="22">
        <v>610</v>
      </c>
      <c r="PJ127" s="22">
        <v>606</v>
      </c>
      <c r="PK127" s="22">
        <v>61</v>
      </c>
      <c r="PL127" s="22">
        <v>53</v>
      </c>
      <c r="PM127" s="22">
        <v>58</v>
      </c>
      <c r="PN127" s="22">
        <v>69</v>
      </c>
      <c r="PO127" s="22">
        <v>65</v>
      </c>
      <c r="PP127" s="22">
        <v>61</v>
      </c>
      <c r="PQ127" s="22">
        <v>59</v>
      </c>
      <c r="PR127" s="22">
        <v>71</v>
      </c>
      <c r="PY127" s="22">
        <v>73728</v>
      </c>
    </row>
    <row r="128" spans="1:441" x14ac:dyDescent="0.25">
      <c r="A128" s="22">
        <v>124</v>
      </c>
      <c r="B128" s="22">
        <v>3000002698</v>
      </c>
      <c r="C128" t="s">
        <v>137</v>
      </c>
      <c r="D128" s="22" t="s">
        <v>12</v>
      </c>
      <c r="F128" s="22">
        <v>6186</v>
      </c>
      <c r="CG128" s="22">
        <v>298</v>
      </c>
      <c r="DR128" s="22">
        <v>12</v>
      </c>
      <c r="DU128" s="22">
        <v>9</v>
      </c>
      <c r="DX128" s="22">
        <v>18</v>
      </c>
      <c r="EC128" s="22">
        <v>1788</v>
      </c>
      <c r="EE128" s="22">
        <v>639</v>
      </c>
      <c r="EH128" s="22">
        <v>704</v>
      </c>
      <c r="EO128" s="22">
        <v>564</v>
      </c>
      <c r="ET128" s="22">
        <v>1377</v>
      </c>
      <c r="EV128" s="22">
        <v>281</v>
      </c>
      <c r="EW128" s="22">
        <v>4</v>
      </c>
      <c r="EX128" s="22">
        <v>759</v>
      </c>
      <c r="FC128" s="22">
        <v>647</v>
      </c>
      <c r="FJ128" s="22">
        <v>1386</v>
      </c>
      <c r="FP128" s="22">
        <v>3</v>
      </c>
      <c r="FS128" s="22">
        <v>960</v>
      </c>
      <c r="FW128" s="22">
        <v>388</v>
      </c>
      <c r="FX128" s="22">
        <v>643</v>
      </c>
      <c r="GC128" s="22">
        <v>1469</v>
      </c>
      <c r="GH128" s="22">
        <v>559</v>
      </c>
      <c r="GN128" s="22">
        <v>1402</v>
      </c>
      <c r="GU128" s="22">
        <v>1192</v>
      </c>
      <c r="HA128" s="22">
        <v>579</v>
      </c>
      <c r="HD128" s="22">
        <v>374</v>
      </c>
      <c r="HT128" s="22">
        <v>2214</v>
      </c>
      <c r="IA128" s="22">
        <v>1818</v>
      </c>
      <c r="IB128" s="22">
        <v>8</v>
      </c>
      <c r="IO128" s="22">
        <v>1032</v>
      </c>
      <c r="IW128" s="22">
        <v>1722</v>
      </c>
      <c r="IX128" s="22">
        <v>1110</v>
      </c>
      <c r="JG128" s="22">
        <v>1338</v>
      </c>
      <c r="JH128" s="22">
        <v>578</v>
      </c>
      <c r="JJ128" s="22">
        <v>712</v>
      </c>
      <c r="JK128" s="22">
        <v>1192</v>
      </c>
      <c r="JM128" s="22">
        <v>547</v>
      </c>
      <c r="JO128" s="22">
        <v>579</v>
      </c>
      <c r="JP128" s="22">
        <v>544</v>
      </c>
      <c r="JQ128" s="22">
        <v>1425</v>
      </c>
      <c r="JR128" s="22">
        <v>1462</v>
      </c>
      <c r="JZ128" s="22">
        <v>3</v>
      </c>
      <c r="KA128" s="22">
        <v>5</v>
      </c>
      <c r="KB128" s="22">
        <v>643</v>
      </c>
      <c r="KE128" s="22">
        <v>1192</v>
      </c>
      <c r="KF128" s="22">
        <v>817</v>
      </c>
      <c r="KJ128" s="22">
        <v>1480</v>
      </c>
      <c r="KO128" s="22">
        <v>1474</v>
      </c>
      <c r="KP128" s="22">
        <v>1290</v>
      </c>
      <c r="KT128" s="22">
        <v>596</v>
      </c>
      <c r="LB128" s="22">
        <v>9</v>
      </c>
      <c r="LP128" s="22">
        <v>2</v>
      </c>
      <c r="LQ128" s="22">
        <v>7</v>
      </c>
      <c r="LS128" s="22">
        <v>1355</v>
      </c>
      <c r="LT128" s="22">
        <v>1441</v>
      </c>
      <c r="LU128" s="22">
        <v>1449</v>
      </c>
      <c r="LV128" s="22">
        <v>3</v>
      </c>
      <c r="LX128" s="22">
        <v>1675</v>
      </c>
      <c r="MS128" s="22">
        <v>421</v>
      </c>
      <c r="MU128" s="22">
        <v>2</v>
      </c>
      <c r="MV128" s="22">
        <v>1070</v>
      </c>
      <c r="MX128" s="22">
        <v>4</v>
      </c>
      <c r="NF128" s="22">
        <v>1357</v>
      </c>
      <c r="NH128" s="22">
        <v>1504</v>
      </c>
      <c r="NI128" s="22">
        <v>1404</v>
      </c>
      <c r="NJ128" s="22">
        <v>2</v>
      </c>
      <c r="NL128" s="22">
        <v>1052</v>
      </c>
      <c r="NN128" s="22">
        <v>778</v>
      </c>
      <c r="NO128" s="22">
        <v>232</v>
      </c>
      <c r="NP128" s="22">
        <v>842</v>
      </c>
      <c r="NS128" s="22">
        <v>625</v>
      </c>
      <c r="NT128" s="22">
        <v>818</v>
      </c>
      <c r="NV128" s="22">
        <v>1819</v>
      </c>
      <c r="NW128" s="22">
        <v>743</v>
      </c>
      <c r="NX128" s="22">
        <v>771</v>
      </c>
      <c r="OA128" s="22">
        <v>1391</v>
      </c>
      <c r="OC128" s="22">
        <v>1272</v>
      </c>
      <c r="OE128" s="22">
        <v>648</v>
      </c>
      <c r="OF128" s="22">
        <v>728</v>
      </c>
      <c r="OG128" s="22">
        <v>649</v>
      </c>
      <c r="OK128" s="22">
        <v>4</v>
      </c>
      <c r="ON128" s="22">
        <v>1490</v>
      </c>
      <c r="OO128" s="22">
        <v>6</v>
      </c>
      <c r="OP128" s="22">
        <v>4</v>
      </c>
      <c r="OQ128" s="22">
        <v>596</v>
      </c>
      <c r="OR128" s="22">
        <v>2</v>
      </c>
      <c r="OS128" s="22">
        <v>833</v>
      </c>
      <c r="OT128" s="22">
        <v>2</v>
      </c>
      <c r="OV128" s="22">
        <v>781</v>
      </c>
      <c r="OY128" s="22">
        <v>2</v>
      </c>
      <c r="OZ128" s="22">
        <v>6</v>
      </c>
      <c r="PB128" s="22">
        <v>5</v>
      </c>
      <c r="PC128" s="22">
        <v>6</v>
      </c>
      <c r="PE128" s="22">
        <v>6</v>
      </c>
      <c r="PF128" s="22">
        <v>7</v>
      </c>
      <c r="PG128" s="22">
        <v>5</v>
      </c>
      <c r="PH128" s="22">
        <v>11</v>
      </c>
      <c r="PJ128" s="22">
        <v>596</v>
      </c>
      <c r="PK128" s="22">
        <v>9</v>
      </c>
      <c r="PL128" s="22">
        <v>6</v>
      </c>
      <c r="PM128" s="22">
        <v>6</v>
      </c>
      <c r="PO128" s="22">
        <v>4</v>
      </c>
      <c r="PQ128" s="22">
        <v>13</v>
      </c>
      <c r="PR128" s="22">
        <v>6</v>
      </c>
      <c r="PY128" s="22">
        <v>74501</v>
      </c>
    </row>
    <row r="129" spans="1:441" x14ac:dyDescent="0.25">
      <c r="A129" s="22">
        <v>125</v>
      </c>
      <c r="B129" s="22">
        <v>1000006677</v>
      </c>
      <c r="C129" t="s">
        <v>138</v>
      </c>
      <c r="D129" s="22" t="s">
        <v>12</v>
      </c>
      <c r="F129" s="22">
        <v>2748</v>
      </c>
      <c r="EV129" s="22">
        <v>248</v>
      </c>
      <c r="IA129" s="22">
        <v>500</v>
      </c>
      <c r="IH129" s="22">
        <v>353</v>
      </c>
      <c r="IO129" s="22">
        <v>288</v>
      </c>
      <c r="JM129" s="22">
        <v>596</v>
      </c>
      <c r="JW129" s="22">
        <v>644</v>
      </c>
      <c r="KB129" s="22">
        <v>615</v>
      </c>
      <c r="KC129" s="22">
        <v>298</v>
      </c>
      <c r="KL129" s="22">
        <v>596</v>
      </c>
      <c r="KN129" s="22">
        <v>298</v>
      </c>
      <c r="KO129" s="22">
        <v>342</v>
      </c>
      <c r="LP129" s="22">
        <v>596</v>
      </c>
      <c r="LT129" s="22">
        <v>593</v>
      </c>
      <c r="LW129" s="22">
        <v>748</v>
      </c>
      <c r="LX129" s="22">
        <v>265</v>
      </c>
      <c r="MU129" s="22">
        <v>298</v>
      </c>
      <c r="MZ129" s="22">
        <v>719</v>
      </c>
      <c r="NF129" s="22">
        <v>753</v>
      </c>
      <c r="NM129" s="22">
        <v>761</v>
      </c>
      <c r="NU129" s="22">
        <v>760</v>
      </c>
      <c r="NZ129" s="22">
        <v>728</v>
      </c>
      <c r="OH129" s="22">
        <v>298</v>
      </c>
      <c r="OJ129" s="22">
        <v>596</v>
      </c>
      <c r="OM129" s="22">
        <v>596</v>
      </c>
      <c r="ON129" s="22">
        <v>298</v>
      </c>
      <c r="PI129" s="22">
        <v>596</v>
      </c>
      <c r="PY129" s="22">
        <v>16131</v>
      </c>
    </row>
    <row r="130" spans="1:441" x14ac:dyDescent="0.25">
      <c r="A130" s="22">
        <v>126</v>
      </c>
      <c r="B130" s="22">
        <v>3000002697</v>
      </c>
      <c r="C130" t="s">
        <v>139</v>
      </c>
      <c r="D130" s="22" t="s">
        <v>12</v>
      </c>
      <c r="F130" s="22">
        <v>2974</v>
      </c>
      <c r="AT130" s="22">
        <v>1050</v>
      </c>
      <c r="CG130" s="22">
        <v>281</v>
      </c>
      <c r="DF130" s="22">
        <v>1400</v>
      </c>
      <c r="EO130" s="22">
        <v>268</v>
      </c>
      <c r="EV130" s="22">
        <v>629</v>
      </c>
      <c r="FC130" s="22">
        <v>314</v>
      </c>
      <c r="HS130" s="22">
        <v>1400</v>
      </c>
      <c r="HX130" s="22">
        <v>1422</v>
      </c>
      <c r="IH130" s="22">
        <v>939</v>
      </c>
      <c r="II130" s="22">
        <v>350</v>
      </c>
      <c r="IK130" s="22">
        <v>1572</v>
      </c>
      <c r="JH130" s="22">
        <v>664</v>
      </c>
      <c r="JP130" s="22">
        <v>4</v>
      </c>
      <c r="JT130" s="22">
        <v>579</v>
      </c>
      <c r="JW130" s="22">
        <v>662</v>
      </c>
      <c r="KD130" s="22">
        <v>1400</v>
      </c>
      <c r="KF130" s="22">
        <v>596</v>
      </c>
      <c r="KM130" s="22">
        <v>596</v>
      </c>
      <c r="KO130" s="22">
        <v>341</v>
      </c>
      <c r="KT130" s="22">
        <v>595</v>
      </c>
      <c r="LA130" s="22">
        <v>728</v>
      </c>
      <c r="LR130" s="22">
        <v>623</v>
      </c>
      <c r="LX130" s="22">
        <v>299</v>
      </c>
      <c r="MU130" s="22">
        <v>298</v>
      </c>
      <c r="MV130" s="22">
        <v>842</v>
      </c>
      <c r="MZ130" s="22">
        <v>298</v>
      </c>
      <c r="NG130" s="22">
        <v>930</v>
      </c>
      <c r="NM130" s="22">
        <v>1086</v>
      </c>
      <c r="NY130" s="22">
        <v>1324</v>
      </c>
      <c r="OE130" s="22">
        <v>1106</v>
      </c>
      <c r="OI130" s="22">
        <v>596</v>
      </c>
      <c r="OJ130" s="22">
        <v>596</v>
      </c>
      <c r="OM130" s="22">
        <v>596</v>
      </c>
      <c r="OQ130" s="22">
        <v>596</v>
      </c>
      <c r="PJ130" s="22">
        <v>596</v>
      </c>
      <c r="PY130" s="22">
        <v>28550</v>
      </c>
    </row>
    <row r="131" spans="1:441" x14ac:dyDescent="0.25">
      <c r="A131" s="22">
        <v>127</v>
      </c>
      <c r="B131" s="22">
        <v>1000006676</v>
      </c>
      <c r="C131" t="s">
        <v>140</v>
      </c>
      <c r="D131" s="22" t="s">
        <v>12</v>
      </c>
      <c r="IO131" s="22">
        <v>51</v>
      </c>
      <c r="JP131" s="22">
        <v>11</v>
      </c>
      <c r="MS131" s="22">
        <v>298</v>
      </c>
      <c r="PY131" s="22">
        <v>360</v>
      </c>
    </row>
    <row r="132" spans="1:441" x14ac:dyDescent="0.25">
      <c r="A132" s="22">
        <v>128</v>
      </c>
      <c r="B132" s="22">
        <v>3000002696</v>
      </c>
      <c r="C132" t="s">
        <v>141</v>
      </c>
      <c r="D132" s="22" t="s">
        <v>12</v>
      </c>
      <c r="F132" s="22">
        <v>1857</v>
      </c>
      <c r="CG132" s="22">
        <v>298</v>
      </c>
      <c r="CS132" s="22">
        <v>281</v>
      </c>
      <c r="EZ132" s="22">
        <v>593</v>
      </c>
      <c r="FQ132" s="22">
        <v>1138</v>
      </c>
      <c r="GV132" s="22">
        <v>628</v>
      </c>
      <c r="HL132" s="22">
        <v>1200</v>
      </c>
      <c r="IZ132" s="22">
        <v>50</v>
      </c>
      <c r="JM132" s="22">
        <v>280</v>
      </c>
      <c r="JP132" s="22">
        <v>646</v>
      </c>
      <c r="KB132" s="22">
        <v>351</v>
      </c>
      <c r="KC132" s="22">
        <v>298</v>
      </c>
      <c r="KL132" s="22">
        <v>562</v>
      </c>
      <c r="KN132" s="22">
        <v>298</v>
      </c>
      <c r="KT132" s="22">
        <v>298</v>
      </c>
      <c r="LR132" s="22">
        <v>596</v>
      </c>
      <c r="LW132" s="22">
        <v>719</v>
      </c>
      <c r="MS132" s="22">
        <v>298</v>
      </c>
      <c r="NH132" s="22">
        <v>563</v>
      </c>
      <c r="NR132" s="22">
        <v>1192</v>
      </c>
      <c r="NU132" s="22">
        <v>667</v>
      </c>
      <c r="NZ132" s="22">
        <v>596</v>
      </c>
      <c r="OB132" s="22">
        <v>1086</v>
      </c>
      <c r="OO132" s="22">
        <v>596</v>
      </c>
      <c r="OR132" s="22">
        <v>618</v>
      </c>
      <c r="PA132" s="22">
        <v>579</v>
      </c>
      <c r="PD132" s="22">
        <v>596</v>
      </c>
      <c r="PI132" s="22">
        <v>596</v>
      </c>
      <c r="PY132" s="22">
        <v>17480</v>
      </c>
    </row>
    <row r="133" spans="1:441" x14ac:dyDescent="0.25">
      <c r="A133" s="22">
        <v>129</v>
      </c>
      <c r="B133" s="22">
        <v>3000002693</v>
      </c>
      <c r="C133" t="s">
        <v>142</v>
      </c>
      <c r="D133" s="22" t="s">
        <v>12</v>
      </c>
      <c r="PY133" s="22">
        <v>0</v>
      </c>
    </row>
    <row r="134" spans="1:441" x14ac:dyDescent="0.25">
      <c r="A134" s="22">
        <v>130</v>
      </c>
      <c r="B134" s="22">
        <v>1000006777</v>
      </c>
      <c r="C134" t="s">
        <v>144</v>
      </c>
      <c r="D134" s="22" t="s">
        <v>12</v>
      </c>
      <c r="PY134" s="22">
        <v>0</v>
      </c>
    </row>
    <row r="135" spans="1:441" x14ac:dyDescent="0.25">
      <c r="A135" s="22">
        <v>131</v>
      </c>
      <c r="B135" s="22">
        <v>3000002692</v>
      </c>
      <c r="C135" t="s">
        <v>145</v>
      </c>
      <c r="D135" s="22" t="s">
        <v>12</v>
      </c>
      <c r="F135" s="22">
        <v>1923</v>
      </c>
      <c r="H135" s="22">
        <v>508</v>
      </c>
      <c r="O135" s="22">
        <v>562</v>
      </c>
      <c r="R135" s="22">
        <v>529</v>
      </c>
      <c r="T135" s="22">
        <v>1124</v>
      </c>
      <c r="Z135" s="22">
        <v>281</v>
      </c>
      <c r="AE135" s="22">
        <v>1405</v>
      </c>
      <c r="AG135" s="22">
        <v>843</v>
      </c>
      <c r="AH135" s="22">
        <v>843</v>
      </c>
      <c r="AK135" s="22">
        <v>578</v>
      </c>
      <c r="AM135" s="22">
        <v>602</v>
      </c>
      <c r="AP135" s="22">
        <v>831</v>
      </c>
      <c r="AT135" s="22">
        <v>833</v>
      </c>
      <c r="AX135" s="22">
        <v>985</v>
      </c>
      <c r="BA135" s="22">
        <v>240</v>
      </c>
      <c r="BE135" s="22">
        <v>1110</v>
      </c>
      <c r="BJ135" s="22">
        <v>746</v>
      </c>
      <c r="BN135" s="22">
        <v>596</v>
      </c>
      <c r="BO135" s="22">
        <v>264</v>
      </c>
      <c r="CN135" s="22">
        <v>596</v>
      </c>
      <c r="CV135" s="22">
        <v>596</v>
      </c>
      <c r="CY135" s="22">
        <v>596</v>
      </c>
      <c r="DA135" s="22">
        <v>596</v>
      </c>
      <c r="DD135" s="22">
        <v>596</v>
      </c>
      <c r="DJ135" s="22">
        <v>596</v>
      </c>
      <c r="DK135" s="22">
        <v>596</v>
      </c>
      <c r="DL135" s="22">
        <v>596</v>
      </c>
      <c r="DO135" s="22">
        <v>596</v>
      </c>
      <c r="EF135" s="22">
        <v>596</v>
      </c>
      <c r="EG135" s="22">
        <v>607</v>
      </c>
      <c r="EH135" s="22">
        <v>526</v>
      </c>
      <c r="EI135" s="22">
        <v>577</v>
      </c>
      <c r="EJ135" s="22">
        <v>561</v>
      </c>
      <c r="EK135" s="22">
        <v>557</v>
      </c>
      <c r="EU135" s="22">
        <v>596</v>
      </c>
      <c r="EY135" s="22">
        <v>596</v>
      </c>
      <c r="FB135" s="22">
        <v>596</v>
      </c>
      <c r="FF135" s="22">
        <v>596</v>
      </c>
      <c r="FG135" s="22">
        <v>596</v>
      </c>
      <c r="FK135" s="22">
        <v>596</v>
      </c>
      <c r="FL135" s="22">
        <v>596</v>
      </c>
      <c r="FU135" s="22">
        <v>596</v>
      </c>
      <c r="FV135" s="22">
        <v>596</v>
      </c>
      <c r="FY135" s="22">
        <v>596</v>
      </c>
      <c r="GA135" s="22">
        <v>596</v>
      </c>
      <c r="GB135" s="22">
        <v>596</v>
      </c>
      <c r="GR135" s="22">
        <v>596</v>
      </c>
      <c r="GW135" s="22">
        <v>596</v>
      </c>
      <c r="HC135" s="22">
        <v>596</v>
      </c>
      <c r="HE135" s="22">
        <v>596</v>
      </c>
      <c r="HG135" s="22">
        <v>596</v>
      </c>
      <c r="HQ135" s="22">
        <v>596</v>
      </c>
      <c r="HR135" s="22">
        <v>596</v>
      </c>
      <c r="IC135" s="22">
        <v>596</v>
      </c>
      <c r="IM135" s="22">
        <v>596</v>
      </c>
      <c r="IN135" s="22">
        <v>596</v>
      </c>
      <c r="IR135" s="22">
        <v>596</v>
      </c>
      <c r="IT135" s="22">
        <v>596</v>
      </c>
      <c r="JV135" s="22">
        <v>608</v>
      </c>
      <c r="JY135" s="22">
        <v>596</v>
      </c>
      <c r="KG135" s="22">
        <v>596</v>
      </c>
      <c r="KI135" s="22">
        <v>596</v>
      </c>
      <c r="KK135" s="22">
        <v>596</v>
      </c>
      <c r="KQ135" s="22">
        <v>596</v>
      </c>
      <c r="KR135" s="22">
        <v>596</v>
      </c>
      <c r="LE135" s="22">
        <v>596</v>
      </c>
      <c r="MI135" s="22">
        <v>610</v>
      </c>
      <c r="MP135" s="22">
        <v>596</v>
      </c>
      <c r="MU135" s="22">
        <v>281</v>
      </c>
      <c r="NJ135" s="22">
        <v>596</v>
      </c>
      <c r="NN135" s="22">
        <v>598</v>
      </c>
      <c r="NQ135" s="22">
        <v>596</v>
      </c>
      <c r="NT135" s="22">
        <v>596</v>
      </c>
      <c r="NX135" s="22">
        <v>596</v>
      </c>
      <c r="OD135" s="22">
        <v>596</v>
      </c>
      <c r="OG135" s="22">
        <v>596</v>
      </c>
      <c r="OP135" s="22">
        <v>596</v>
      </c>
      <c r="OS135" s="22">
        <v>579</v>
      </c>
      <c r="OT135" s="22">
        <v>526</v>
      </c>
      <c r="OV135" s="22">
        <v>596</v>
      </c>
      <c r="OX135" s="22">
        <v>596</v>
      </c>
      <c r="OY135" s="22">
        <v>596</v>
      </c>
      <c r="PY135" s="22">
        <v>51825</v>
      </c>
    </row>
    <row r="136" spans="1:441" x14ac:dyDescent="0.25">
      <c r="A136" s="22">
        <v>132</v>
      </c>
      <c r="B136" s="22">
        <v>3000002334</v>
      </c>
      <c r="C136" t="s">
        <v>146</v>
      </c>
      <c r="D136" s="22" t="s">
        <v>12</v>
      </c>
      <c r="PY136" s="22">
        <v>0</v>
      </c>
    </row>
    <row r="137" spans="1:441" x14ac:dyDescent="0.25">
      <c r="A137" s="22">
        <v>133</v>
      </c>
      <c r="B137" s="22">
        <v>3000003828</v>
      </c>
      <c r="C137" t="s">
        <v>147</v>
      </c>
      <c r="D137" s="22" t="s">
        <v>12</v>
      </c>
      <c r="PY137" s="22">
        <v>0</v>
      </c>
    </row>
    <row r="138" spans="1:441" x14ac:dyDescent="0.25">
      <c r="A138" s="22">
        <v>134</v>
      </c>
      <c r="B138" s="22">
        <v>3000000358</v>
      </c>
      <c r="C138" t="s">
        <v>148</v>
      </c>
      <c r="D138" s="22" t="s">
        <v>12</v>
      </c>
      <c r="PY138" s="22">
        <v>0</v>
      </c>
    </row>
    <row r="139" spans="1:441" x14ac:dyDescent="0.25">
      <c r="A139" s="22">
        <v>135</v>
      </c>
      <c r="B139" s="22">
        <v>3000000359</v>
      </c>
      <c r="C139" t="s">
        <v>149</v>
      </c>
      <c r="D139" s="22" t="s">
        <v>12</v>
      </c>
      <c r="PY139" s="22">
        <v>0</v>
      </c>
    </row>
    <row r="140" spans="1:441" x14ac:dyDescent="0.25">
      <c r="A140" s="22">
        <v>136</v>
      </c>
      <c r="B140" s="22">
        <v>3000000361</v>
      </c>
      <c r="C140" t="s">
        <v>150</v>
      </c>
      <c r="D140" s="22" t="s">
        <v>12</v>
      </c>
      <c r="PY140" s="22">
        <v>0</v>
      </c>
    </row>
    <row r="141" spans="1:441" x14ac:dyDescent="0.25">
      <c r="A141" s="22">
        <v>137</v>
      </c>
      <c r="B141" s="22">
        <v>3000000363</v>
      </c>
      <c r="C141" t="s">
        <v>151</v>
      </c>
      <c r="D141" s="22" t="s">
        <v>12</v>
      </c>
      <c r="PY141" s="22">
        <v>0</v>
      </c>
    </row>
    <row r="142" spans="1:441" x14ac:dyDescent="0.25">
      <c r="A142" s="22">
        <v>138</v>
      </c>
      <c r="B142" s="22">
        <v>3000000364</v>
      </c>
      <c r="C142" t="s">
        <v>152</v>
      </c>
      <c r="D142" s="22" t="s">
        <v>12</v>
      </c>
      <c r="PY142" s="22">
        <v>0</v>
      </c>
    </row>
    <row r="143" spans="1:441" x14ac:dyDescent="0.25">
      <c r="A143" s="22">
        <v>139</v>
      </c>
      <c r="B143" s="22">
        <v>3000001229</v>
      </c>
      <c r="C143" t="s">
        <v>153</v>
      </c>
      <c r="D143" s="22" t="s">
        <v>12</v>
      </c>
      <c r="F143" s="22">
        <v>4114</v>
      </c>
      <c r="AD143" s="22">
        <v>1750</v>
      </c>
      <c r="AJ143" s="22">
        <v>1500</v>
      </c>
      <c r="AR143" s="22">
        <v>2000</v>
      </c>
      <c r="DR143" s="22">
        <v>8</v>
      </c>
      <c r="DU143" s="22">
        <v>8</v>
      </c>
      <c r="DX143" s="22">
        <v>10</v>
      </c>
      <c r="EW143" s="22">
        <v>8</v>
      </c>
      <c r="FP143" s="22">
        <v>2</v>
      </c>
      <c r="GG143" s="22">
        <v>4</v>
      </c>
      <c r="GT143" s="22">
        <v>2</v>
      </c>
      <c r="HK143" s="22">
        <v>2</v>
      </c>
      <c r="HW143" s="22">
        <v>2000</v>
      </c>
      <c r="IB143" s="22">
        <v>11</v>
      </c>
      <c r="IH143" s="22">
        <v>1500</v>
      </c>
      <c r="IZ143" s="22">
        <v>2</v>
      </c>
      <c r="KA143" s="22">
        <v>4</v>
      </c>
      <c r="KR143" s="22">
        <v>1800</v>
      </c>
      <c r="LB143" s="22">
        <v>1800</v>
      </c>
      <c r="LC143" s="22">
        <v>1800</v>
      </c>
      <c r="LQ143" s="22">
        <v>1500</v>
      </c>
      <c r="LV143" s="22">
        <v>2050</v>
      </c>
      <c r="MU143" s="22">
        <v>1550</v>
      </c>
      <c r="MX143" s="22">
        <v>1940</v>
      </c>
      <c r="MZ143" s="22">
        <v>1600</v>
      </c>
      <c r="OI143" s="22">
        <v>1890</v>
      </c>
      <c r="PB143" s="22">
        <v>4</v>
      </c>
      <c r="PE143" s="22">
        <v>4</v>
      </c>
      <c r="PF143" s="22">
        <v>4</v>
      </c>
      <c r="PH143" s="22">
        <v>1452</v>
      </c>
      <c r="PK143" s="22">
        <v>2</v>
      </c>
      <c r="PN143" s="22">
        <v>2</v>
      </c>
      <c r="PP143" s="22">
        <v>4</v>
      </c>
      <c r="PR143" s="22">
        <v>4</v>
      </c>
      <c r="PY143" s="22">
        <v>30331</v>
      </c>
    </row>
    <row r="144" spans="1:441" x14ac:dyDescent="0.25">
      <c r="A144" s="22">
        <v>140</v>
      </c>
      <c r="B144" s="22">
        <v>3000001060</v>
      </c>
      <c r="C144" t="s">
        <v>154</v>
      </c>
      <c r="D144" s="22" t="s">
        <v>12</v>
      </c>
      <c r="PY144" s="22">
        <v>0</v>
      </c>
    </row>
    <row r="145" spans="1:441" x14ac:dyDescent="0.25">
      <c r="A145" s="22">
        <v>141</v>
      </c>
      <c r="B145" s="22">
        <v>3000001061</v>
      </c>
      <c r="C145" t="s">
        <v>155</v>
      </c>
      <c r="D145" s="22" t="s">
        <v>12</v>
      </c>
      <c r="GH145" s="22">
        <v>3</v>
      </c>
      <c r="HV145" s="22">
        <v>3</v>
      </c>
      <c r="MJ145" s="22">
        <v>44</v>
      </c>
      <c r="PY145" s="22">
        <v>50</v>
      </c>
    </row>
    <row r="146" spans="1:441" x14ac:dyDescent="0.25">
      <c r="A146" s="22">
        <v>142</v>
      </c>
      <c r="B146" s="22">
        <v>3000001062</v>
      </c>
      <c r="C146" t="s">
        <v>156</v>
      </c>
      <c r="D146" s="22" t="s">
        <v>12</v>
      </c>
      <c r="AB146" s="22">
        <v>871</v>
      </c>
      <c r="GF146" s="22">
        <v>24</v>
      </c>
      <c r="HV146" s="22">
        <v>3</v>
      </c>
      <c r="MJ146" s="22">
        <v>2</v>
      </c>
      <c r="NG146" s="22">
        <v>4</v>
      </c>
      <c r="PY146" s="22">
        <v>904</v>
      </c>
    </row>
    <row r="147" spans="1:441" x14ac:dyDescent="0.25">
      <c r="A147" s="22">
        <v>143</v>
      </c>
      <c r="B147" s="22">
        <v>3000000000</v>
      </c>
      <c r="C147" t="s">
        <v>157</v>
      </c>
      <c r="D147" s="22" t="s">
        <v>12</v>
      </c>
      <c r="PY147" s="22">
        <v>0</v>
      </c>
    </row>
    <row r="148" spans="1:441" x14ac:dyDescent="0.25">
      <c r="A148" s="22">
        <v>144</v>
      </c>
      <c r="B148" s="22">
        <v>3000002634</v>
      </c>
      <c r="C148" t="s">
        <v>158</v>
      </c>
      <c r="D148" s="22" t="s">
        <v>12</v>
      </c>
      <c r="AB148" s="22">
        <v>210</v>
      </c>
      <c r="GF148" s="22">
        <v>18</v>
      </c>
      <c r="HU148" s="22">
        <v>3</v>
      </c>
      <c r="MJ148" s="22">
        <v>8</v>
      </c>
      <c r="NG148" s="22">
        <v>6</v>
      </c>
      <c r="PY148" s="22">
        <v>245</v>
      </c>
    </row>
    <row r="149" spans="1:441" x14ac:dyDescent="0.25">
      <c r="A149" s="22">
        <v>145</v>
      </c>
      <c r="B149" s="22">
        <v>3000002636</v>
      </c>
      <c r="C149" t="s">
        <v>159</v>
      </c>
      <c r="D149" s="22" t="s">
        <v>12</v>
      </c>
      <c r="AB149" s="22">
        <v>67</v>
      </c>
      <c r="GF149" s="22">
        <v>4</v>
      </c>
      <c r="MJ149" s="22">
        <v>1</v>
      </c>
      <c r="PY149" s="22">
        <v>72</v>
      </c>
    </row>
    <row r="150" spans="1:441" x14ac:dyDescent="0.25">
      <c r="A150" s="22">
        <v>146</v>
      </c>
      <c r="B150" s="22">
        <v>3000001063</v>
      </c>
      <c r="C150" t="s">
        <v>160</v>
      </c>
      <c r="D150" s="22" t="s">
        <v>12</v>
      </c>
      <c r="H150" s="22">
        <v>226</v>
      </c>
      <c r="I150" s="22">
        <v>229</v>
      </c>
      <c r="AB150" s="22">
        <v>19</v>
      </c>
      <c r="GE150" s="22">
        <v>21</v>
      </c>
      <c r="HU150" s="22">
        <v>12</v>
      </c>
      <c r="MJ150" s="22">
        <v>25</v>
      </c>
      <c r="NG150" s="22">
        <v>14</v>
      </c>
      <c r="PY150" s="22">
        <v>546</v>
      </c>
    </row>
    <row r="151" spans="1:441" x14ac:dyDescent="0.25">
      <c r="A151" s="22">
        <v>147</v>
      </c>
      <c r="B151" s="22">
        <v>3000003972</v>
      </c>
      <c r="C151" t="s">
        <v>161</v>
      </c>
      <c r="D151" s="22" t="s">
        <v>12</v>
      </c>
      <c r="AB151" s="22">
        <v>66</v>
      </c>
      <c r="GF151" s="22">
        <v>41</v>
      </c>
      <c r="HU151" s="22">
        <v>2</v>
      </c>
      <c r="MJ151" s="22">
        <v>18</v>
      </c>
      <c r="NG151" s="22">
        <v>1</v>
      </c>
      <c r="PY151" s="22">
        <v>128</v>
      </c>
    </row>
    <row r="152" spans="1:441" x14ac:dyDescent="0.25">
      <c r="A152" s="22">
        <v>148</v>
      </c>
      <c r="B152" s="22">
        <v>3000001064</v>
      </c>
      <c r="C152" t="s">
        <v>162</v>
      </c>
      <c r="D152" s="22" t="s">
        <v>12</v>
      </c>
      <c r="H152" s="22">
        <v>180</v>
      </c>
      <c r="I152" s="22">
        <v>239</v>
      </c>
      <c r="AB152" s="22">
        <v>33</v>
      </c>
      <c r="GE152" s="22">
        <v>24</v>
      </c>
      <c r="HU152" s="22">
        <v>46</v>
      </c>
      <c r="MI152" s="22">
        <v>72</v>
      </c>
      <c r="NG152" s="22">
        <v>7</v>
      </c>
      <c r="PY152" s="22">
        <v>601</v>
      </c>
    </row>
    <row r="153" spans="1:441" x14ac:dyDescent="0.25">
      <c r="A153" s="22">
        <v>149</v>
      </c>
      <c r="B153" s="22">
        <v>3000001065</v>
      </c>
      <c r="C153" t="s">
        <v>163</v>
      </c>
      <c r="D153" s="22" t="s">
        <v>12</v>
      </c>
      <c r="H153" s="22">
        <v>169</v>
      </c>
      <c r="AA153" s="22">
        <v>204</v>
      </c>
      <c r="GH153" s="22">
        <v>3</v>
      </c>
      <c r="PY153" s="22">
        <v>376</v>
      </c>
    </row>
    <row r="154" spans="1:441" x14ac:dyDescent="0.25">
      <c r="A154" s="22">
        <v>150</v>
      </c>
      <c r="B154" s="22">
        <v>5000000009</v>
      </c>
      <c r="C154" t="s">
        <v>164</v>
      </c>
      <c r="D154" s="22" t="s">
        <v>12</v>
      </c>
      <c r="PY154" s="22">
        <v>0</v>
      </c>
    </row>
    <row r="155" spans="1:441" x14ac:dyDescent="0.25">
      <c r="A155" s="22">
        <v>151</v>
      </c>
      <c r="B155" s="22">
        <v>5000000003</v>
      </c>
      <c r="C155" t="s">
        <v>165</v>
      </c>
      <c r="D155" s="22" t="s">
        <v>12</v>
      </c>
      <c r="PY155" s="22">
        <v>0</v>
      </c>
    </row>
    <row r="156" spans="1:441" x14ac:dyDescent="0.25">
      <c r="A156" s="22">
        <v>152</v>
      </c>
      <c r="B156" s="22">
        <v>5000000002</v>
      </c>
      <c r="C156" t="s">
        <v>166</v>
      </c>
      <c r="D156" s="22" t="s">
        <v>12</v>
      </c>
      <c r="PY156" s="22">
        <v>0</v>
      </c>
    </row>
    <row r="157" spans="1:441" x14ac:dyDescent="0.25">
      <c r="A157" s="22">
        <v>153</v>
      </c>
      <c r="B157" s="22">
        <v>5000000001</v>
      </c>
      <c r="C157" t="s">
        <v>167</v>
      </c>
      <c r="D157" s="22" t="s">
        <v>12</v>
      </c>
      <c r="PY157" s="22">
        <v>0</v>
      </c>
    </row>
    <row r="158" spans="1:441" x14ac:dyDescent="0.25">
      <c r="A158" s="22">
        <v>154</v>
      </c>
      <c r="B158" s="22">
        <v>1000006666</v>
      </c>
      <c r="C158" t="s">
        <v>168</v>
      </c>
      <c r="D158" s="22" t="s">
        <v>12</v>
      </c>
      <c r="MS158" s="22">
        <v>200</v>
      </c>
      <c r="PY158" s="22">
        <v>200</v>
      </c>
    </row>
    <row r="159" spans="1:441" x14ac:dyDescent="0.25">
      <c r="A159" s="22">
        <v>155</v>
      </c>
      <c r="B159" s="22">
        <v>4000015675</v>
      </c>
      <c r="C159" t="s">
        <v>169</v>
      </c>
      <c r="D159" s="22" t="s">
        <v>12</v>
      </c>
      <c r="AR159" s="22">
        <v>6</v>
      </c>
      <c r="DR159" s="22">
        <v>24</v>
      </c>
      <c r="DU159" s="22">
        <v>37</v>
      </c>
      <c r="DX159" s="22">
        <v>36</v>
      </c>
      <c r="EW159" s="22">
        <v>6</v>
      </c>
      <c r="FP159" s="22">
        <v>6</v>
      </c>
      <c r="HF159" s="22">
        <v>400</v>
      </c>
      <c r="HO159" s="22">
        <v>1</v>
      </c>
      <c r="IB159" s="22">
        <v>36</v>
      </c>
      <c r="JA159" s="22">
        <v>6</v>
      </c>
      <c r="JZ159" s="22">
        <v>12</v>
      </c>
      <c r="KA159" s="22">
        <v>16</v>
      </c>
      <c r="LB159" s="22">
        <v>24</v>
      </c>
      <c r="LC159" s="22">
        <v>2</v>
      </c>
      <c r="LP159" s="22">
        <v>6</v>
      </c>
      <c r="LQ159" s="22">
        <v>22</v>
      </c>
      <c r="LU159" s="22">
        <v>175</v>
      </c>
      <c r="LV159" s="22">
        <v>6</v>
      </c>
      <c r="MX159" s="22">
        <v>27</v>
      </c>
      <c r="MZ159" s="22">
        <v>18</v>
      </c>
      <c r="NI159" s="22">
        <v>307</v>
      </c>
      <c r="OK159" s="22">
        <v>12</v>
      </c>
      <c r="OL159" s="22">
        <v>19</v>
      </c>
      <c r="OO159" s="22">
        <v>36</v>
      </c>
      <c r="OZ159" s="22">
        <v>14</v>
      </c>
      <c r="PB159" s="22">
        <v>12</v>
      </c>
      <c r="PC159" s="22">
        <v>12</v>
      </c>
      <c r="PE159" s="22">
        <v>31</v>
      </c>
      <c r="PF159" s="22">
        <v>12</v>
      </c>
      <c r="PG159" s="22">
        <v>10</v>
      </c>
      <c r="PH159" s="22">
        <v>24</v>
      </c>
      <c r="PK159" s="22">
        <v>19</v>
      </c>
      <c r="PL159" s="22">
        <v>31</v>
      </c>
      <c r="PM159" s="22">
        <v>15</v>
      </c>
      <c r="PO159" s="22">
        <v>32</v>
      </c>
      <c r="PP159" s="22">
        <v>45</v>
      </c>
      <c r="PQ159" s="22">
        <v>53</v>
      </c>
      <c r="PR159" s="22">
        <v>13</v>
      </c>
      <c r="PY159" s="22">
        <v>1563</v>
      </c>
    </row>
    <row r="160" spans="1:441" x14ac:dyDescent="0.25">
      <c r="A160" s="22">
        <v>156</v>
      </c>
      <c r="B160" s="22">
        <v>4000017082</v>
      </c>
      <c r="C160" t="s">
        <v>170</v>
      </c>
      <c r="D160" s="22" t="s">
        <v>12</v>
      </c>
      <c r="AR160" s="22">
        <v>14</v>
      </c>
      <c r="DR160" s="22">
        <v>52</v>
      </c>
      <c r="DU160" s="22">
        <v>39</v>
      </c>
      <c r="DX160" s="22">
        <v>78</v>
      </c>
      <c r="EW160" s="22">
        <v>13</v>
      </c>
      <c r="FP160" s="22">
        <v>13</v>
      </c>
      <c r="IB160" s="22">
        <v>40</v>
      </c>
      <c r="JZ160" s="22">
        <v>13</v>
      </c>
      <c r="KA160" s="22">
        <v>23</v>
      </c>
      <c r="LB160" s="22">
        <v>25</v>
      </c>
      <c r="LP160" s="22">
        <v>13</v>
      </c>
      <c r="LQ160" s="22">
        <v>39</v>
      </c>
      <c r="LV160" s="22">
        <v>91</v>
      </c>
      <c r="MX160" s="22">
        <v>16</v>
      </c>
      <c r="OK160" s="22">
        <v>26</v>
      </c>
      <c r="OO160" s="22">
        <v>25</v>
      </c>
      <c r="OZ160" s="22">
        <v>25</v>
      </c>
      <c r="PB160" s="22">
        <v>26</v>
      </c>
      <c r="PC160" s="22">
        <v>26</v>
      </c>
      <c r="PE160" s="22">
        <v>26</v>
      </c>
      <c r="PF160" s="22">
        <v>26</v>
      </c>
      <c r="PG160" s="22">
        <v>20</v>
      </c>
      <c r="PH160" s="22">
        <v>51</v>
      </c>
      <c r="PJ160" s="22">
        <v>100</v>
      </c>
      <c r="PK160" s="22">
        <v>34</v>
      </c>
      <c r="PL160" s="22">
        <v>16</v>
      </c>
      <c r="PM160" s="22">
        <v>26</v>
      </c>
      <c r="PO160" s="22">
        <v>26</v>
      </c>
      <c r="PQ160" s="22">
        <v>71</v>
      </c>
      <c r="PR160" s="22">
        <v>26</v>
      </c>
      <c r="PY160" s="22">
        <v>1019</v>
      </c>
    </row>
    <row r="161" spans="1:441" x14ac:dyDescent="0.25">
      <c r="A161" s="22">
        <v>157</v>
      </c>
      <c r="B161" s="22">
        <v>4000017083</v>
      </c>
      <c r="C161" t="s">
        <v>171</v>
      </c>
      <c r="D161" s="22" t="s">
        <v>12</v>
      </c>
      <c r="PY161" s="22">
        <v>0</v>
      </c>
    </row>
    <row r="162" spans="1:441" x14ac:dyDescent="0.25">
      <c r="A162" s="22">
        <v>158</v>
      </c>
      <c r="B162" s="22">
        <v>4000015873</v>
      </c>
      <c r="C162" t="s">
        <v>172</v>
      </c>
      <c r="D162" s="22" t="s">
        <v>12</v>
      </c>
      <c r="F162" s="22">
        <v>107</v>
      </c>
      <c r="IG162" s="22">
        <v>100</v>
      </c>
      <c r="LU162" s="22">
        <v>175</v>
      </c>
      <c r="LV162" s="22">
        <v>75</v>
      </c>
      <c r="PY162" s="22">
        <v>457</v>
      </c>
    </row>
    <row r="163" spans="1:441" x14ac:dyDescent="0.25">
      <c r="A163" s="22">
        <v>159</v>
      </c>
      <c r="B163" s="22">
        <v>4000017084</v>
      </c>
      <c r="C163" t="s">
        <v>173</v>
      </c>
      <c r="D163" s="22" t="s">
        <v>12</v>
      </c>
      <c r="IH163" s="22">
        <v>41</v>
      </c>
      <c r="PY163" s="22">
        <v>41</v>
      </c>
    </row>
    <row r="164" spans="1:441" x14ac:dyDescent="0.25">
      <c r="A164" s="22">
        <v>160</v>
      </c>
      <c r="B164" s="22">
        <v>3000003029</v>
      </c>
      <c r="C164" t="s">
        <v>211</v>
      </c>
      <c r="D164" s="22" t="s">
        <v>12</v>
      </c>
      <c r="NR164" s="22">
        <v>4</v>
      </c>
      <c r="NS164" s="22">
        <v>16</v>
      </c>
      <c r="PY164" s="22">
        <v>20</v>
      </c>
    </row>
    <row r="165" spans="1:441" x14ac:dyDescent="0.25">
      <c r="A165" s="22">
        <v>161</v>
      </c>
      <c r="B165" s="22" t="s">
        <v>296</v>
      </c>
      <c r="C165" t="s">
        <v>297</v>
      </c>
      <c r="D165" s="22" t="s">
        <v>12</v>
      </c>
      <c r="PY165" s="22">
        <v>0</v>
      </c>
    </row>
    <row r="166" spans="1:441" x14ac:dyDescent="0.25">
      <c r="A166" s="22">
        <v>162</v>
      </c>
      <c r="B166" s="22">
        <v>1000006010</v>
      </c>
      <c r="C166" t="s">
        <v>298</v>
      </c>
      <c r="D166" s="22" t="s">
        <v>12</v>
      </c>
      <c r="PY166" s="22">
        <v>0</v>
      </c>
    </row>
    <row r="167" spans="1:441" x14ac:dyDescent="0.25">
      <c r="A167" s="22">
        <v>163</v>
      </c>
      <c r="B167" s="22" t="s">
        <v>299</v>
      </c>
      <c r="C167" t="s">
        <v>300</v>
      </c>
      <c r="D167" s="22" t="s">
        <v>12</v>
      </c>
      <c r="PY167" s="22">
        <v>0</v>
      </c>
    </row>
    <row r="168" spans="1:441" x14ac:dyDescent="0.25">
      <c r="A168" s="22">
        <v>164</v>
      </c>
      <c r="B168" s="22" t="s">
        <v>301</v>
      </c>
      <c r="C168" t="s">
        <v>302</v>
      </c>
      <c r="D168" s="22" t="s">
        <v>12</v>
      </c>
      <c r="PY168" s="22">
        <v>0</v>
      </c>
    </row>
    <row r="169" spans="1:441" x14ac:dyDescent="0.25">
      <c r="A169" s="22">
        <v>165</v>
      </c>
      <c r="B169" s="22" t="s">
        <v>303</v>
      </c>
      <c r="C169" t="s">
        <v>304</v>
      </c>
      <c r="D169" s="22" t="s">
        <v>12</v>
      </c>
      <c r="PY169" s="22">
        <v>0</v>
      </c>
    </row>
    <row r="170" spans="1:441" x14ac:dyDescent="0.25">
      <c r="A170" s="22">
        <v>166</v>
      </c>
      <c r="B170" s="22" t="s">
        <v>305</v>
      </c>
      <c r="C170" t="s">
        <v>306</v>
      </c>
      <c r="D170" s="22" t="s">
        <v>12</v>
      </c>
      <c r="PY170" s="22">
        <v>0</v>
      </c>
    </row>
    <row r="171" spans="1:441" x14ac:dyDescent="0.25">
      <c r="A171" s="22">
        <v>167</v>
      </c>
      <c r="B171" s="22" t="s">
        <v>35</v>
      </c>
      <c r="C171" t="s">
        <v>446</v>
      </c>
      <c r="D171" s="22" t="s">
        <v>12</v>
      </c>
      <c r="PY171" s="22">
        <v>0</v>
      </c>
    </row>
    <row r="172" spans="1:441" x14ac:dyDescent="0.25">
      <c r="A172" s="22">
        <v>168</v>
      </c>
      <c r="B172" s="22" t="s">
        <v>447</v>
      </c>
      <c r="C172" t="s">
        <v>448</v>
      </c>
      <c r="D172" s="22" t="s">
        <v>12</v>
      </c>
      <c r="PY172" s="22">
        <v>0</v>
      </c>
    </row>
    <row r="173" spans="1:441" x14ac:dyDescent="0.25">
      <c r="A173" s="22">
        <v>169</v>
      </c>
      <c r="B173" s="22" t="s">
        <v>35</v>
      </c>
      <c r="C173" t="s">
        <v>449</v>
      </c>
      <c r="D173" s="22" t="s">
        <v>12</v>
      </c>
      <c r="PY173" s="22">
        <v>0</v>
      </c>
    </row>
    <row r="174" spans="1:441" x14ac:dyDescent="0.25">
      <c r="A174" s="22">
        <v>170</v>
      </c>
      <c r="B174" s="22" t="s">
        <v>35</v>
      </c>
      <c r="C174" t="s">
        <v>450</v>
      </c>
      <c r="D174" s="22" t="s">
        <v>12</v>
      </c>
      <c r="PY174" s="22">
        <v>0</v>
      </c>
    </row>
    <row r="175" spans="1:441" x14ac:dyDescent="0.25">
      <c r="A175" s="22">
        <v>171</v>
      </c>
      <c r="B175" s="22" t="s">
        <v>35</v>
      </c>
      <c r="C175" t="s">
        <v>510</v>
      </c>
      <c r="D175" s="22" t="s">
        <v>12</v>
      </c>
      <c r="PY175" s="22">
        <v>0</v>
      </c>
    </row>
    <row r="176" spans="1:441" x14ac:dyDescent="0.25">
      <c r="A176" s="22">
        <v>172</v>
      </c>
      <c r="B176" s="22" t="s">
        <v>35</v>
      </c>
      <c r="C176" t="s">
        <v>516</v>
      </c>
      <c r="D176" s="22" t="s">
        <v>12</v>
      </c>
      <c r="PY176" s="22">
        <v>0</v>
      </c>
    </row>
    <row r="177" spans="1:443" x14ac:dyDescent="0.25">
      <c r="A177" s="22">
        <v>173</v>
      </c>
      <c r="B177" s="22" t="s">
        <v>35</v>
      </c>
      <c r="C177" t="s">
        <v>600</v>
      </c>
      <c r="D177" s="22" t="s">
        <v>12</v>
      </c>
      <c r="PY177" s="22">
        <v>0</v>
      </c>
    </row>
    <row r="178" spans="1:443" x14ac:dyDescent="0.25">
      <c r="A178" s="22">
        <v>174</v>
      </c>
      <c r="B178" s="22" t="s">
        <v>35</v>
      </c>
      <c r="C178" t="s">
        <v>601</v>
      </c>
      <c r="D178" s="22" t="s">
        <v>12</v>
      </c>
      <c r="PY178" s="22">
        <v>0</v>
      </c>
    </row>
    <row r="179" spans="1:443" x14ac:dyDescent="0.25">
      <c r="A179" s="22">
        <v>99</v>
      </c>
      <c r="B179" s="22" t="s">
        <v>35</v>
      </c>
      <c r="C179" t="s">
        <v>1383</v>
      </c>
      <c r="D179" s="22" t="s">
        <v>12</v>
      </c>
      <c r="PY179">
        <v>0</v>
      </c>
    </row>
    <row r="180" spans="1:443" x14ac:dyDescent="0.25">
      <c r="A180" s="22">
        <v>99</v>
      </c>
      <c r="B180" s="22" t="s">
        <v>35</v>
      </c>
      <c r="C180" t="s">
        <v>1557</v>
      </c>
      <c r="D180" s="22" t="s">
        <v>12</v>
      </c>
      <c r="PY180">
        <v>0</v>
      </c>
    </row>
    <row r="181" spans="1:443" x14ac:dyDescent="0.25">
      <c r="A181" s="22">
        <v>101</v>
      </c>
      <c r="B181" s="22">
        <v>3000000008</v>
      </c>
      <c r="C181" t="s">
        <v>1565</v>
      </c>
      <c r="D181" s="22" t="s">
        <v>12</v>
      </c>
      <c r="PY181">
        <v>0</v>
      </c>
    </row>
    <row r="182" spans="1:443" x14ac:dyDescent="0.25">
      <c r="A182" s="22">
        <v>178</v>
      </c>
      <c r="B182" s="22" t="s">
        <v>35</v>
      </c>
      <c r="C182" t="s">
        <v>1662</v>
      </c>
      <c r="D182" s="22" t="s">
        <v>12</v>
      </c>
      <c r="PY182">
        <v>0</v>
      </c>
      <c r="QA182" s="52"/>
    </row>
    <row r="183" spans="1:443" x14ac:dyDescent="0.25">
      <c r="A183" s="22">
        <v>80</v>
      </c>
      <c r="B183" s="22" t="s">
        <v>35</v>
      </c>
      <c r="C183" t="s">
        <v>1574</v>
      </c>
      <c r="D183" s="22" t="s">
        <v>12</v>
      </c>
      <c r="PY183">
        <v>0</v>
      </c>
    </row>
    <row r="184" spans="1:443" x14ac:dyDescent="0.25">
      <c r="A184" s="22">
        <v>81</v>
      </c>
      <c r="B184" s="22">
        <v>1000014673</v>
      </c>
      <c r="C184" t="s">
        <v>1575</v>
      </c>
      <c r="D184" s="22" t="s">
        <v>12</v>
      </c>
      <c r="PY184">
        <v>0</v>
      </c>
    </row>
    <row r="185" spans="1:443" x14ac:dyDescent="0.25">
      <c r="A185" s="22">
        <v>181</v>
      </c>
      <c r="B185" s="22">
        <v>4000021502</v>
      </c>
      <c r="C185" t="s">
        <v>1576</v>
      </c>
      <c r="D185" s="22" t="s">
        <v>12</v>
      </c>
      <c r="PY185">
        <v>0</v>
      </c>
    </row>
    <row r="186" spans="1:443" x14ac:dyDescent="0.25">
      <c r="A186" s="22">
        <v>100</v>
      </c>
      <c r="B186" s="22">
        <v>3000002696</v>
      </c>
      <c r="C186" t="s">
        <v>1580</v>
      </c>
      <c r="D186" s="22" t="s">
        <v>12</v>
      </c>
      <c r="PY186">
        <v>0</v>
      </c>
    </row>
    <row r="187" spans="1:443" x14ac:dyDescent="0.25">
      <c r="A187" s="22">
        <v>101</v>
      </c>
      <c r="B187" s="22">
        <v>3000000707</v>
      </c>
      <c r="C187" t="s">
        <v>1618</v>
      </c>
      <c r="D187" s="22" t="s">
        <v>12</v>
      </c>
      <c r="PY187">
        <v>0</v>
      </c>
    </row>
  </sheetData>
  <autoFilter ref="A4:QA187"/>
  <mergeCells count="3">
    <mergeCell ref="A1:A2"/>
    <mergeCell ref="B1:B2"/>
    <mergeCell ref="C1:C2"/>
  </mergeCells>
  <conditionalFormatting sqref="A114:XFD114">
    <cfRule type="expression" dxfId="353" priority="1" stopIfTrue="1">
      <formula>AND(ROW()&gt;=114,ROW()&lt;=114)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YZ790"/>
  <sheetViews>
    <sheetView zoomScaleNormal="100" workbookViewId="0">
      <pane xSplit="4" topLeftCell="YK1" activePane="topRight" state="frozen"/>
      <selection pane="topRight" activeCell="C37" sqref="C37"/>
    </sheetView>
  </sheetViews>
  <sheetFormatPr defaultRowHeight="15" x14ac:dyDescent="0.25"/>
  <cols>
    <col min="1" max="1" width="7.85546875" style="22" bestFit="1" customWidth="1"/>
    <col min="2" max="2" width="14.140625" style="22" customWidth="1"/>
    <col min="3" max="3" width="48" bestFit="1" customWidth="1"/>
    <col min="4" max="4" width="8.140625" style="22" customWidth="1"/>
    <col min="5" max="6" width="9.140625" customWidth="1"/>
    <col min="7" max="7" width="10.42578125" customWidth="1"/>
    <col min="8" max="412" width="9.140625" customWidth="1"/>
    <col min="413" max="415" width="9.7109375" style="114" customWidth="1"/>
    <col min="416" max="667" width="9.140625" style="114" customWidth="1"/>
    <col min="668" max="668" width="9.85546875" style="22" customWidth="1"/>
    <col min="669" max="673" width="9.140625" customWidth="1"/>
    <col min="676" max="676" width="12" bestFit="1" customWidth="1"/>
  </cols>
  <sheetData>
    <row r="1" spans="1:676" ht="38.25" thickBot="1" x14ac:dyDescent="0.3">
      <c r="A1" s="149" t="s">
        <v>990</v>
      </c>
      <c r="B1" s="149" t="s">
        <v>174</v>
      </c>
      <c r="C1" s="149" t="s">
        <v>183</v>
      </c>
      <c r="D1" s="26" t="s">
        <v>176</v>
      </c>
      <c r="E1" s="27" t="s">
        <v>188</v>
      </c>
      <c r="F1" s="26" t="s">
        <v>184</v>
      </c>
      <c r="G1" s="26" t="s">
        <v>184</v>
      </c>
      <c r="H1" s="26" t="s">
        <v>184</v>
      </c>
      <c r="I1" s="26" t="s">
        <v>184</v>
      </c>
      <c r="J1" s="26" t="s">
        <v>184</v>
      </c>
      <c r="K1" s="26" t="s">
        <v>184</v>
      </c>
      <c r="L1" s="26" t="s">
        <v>184</v>
      </c>
      <c r="M1" s="26" t="s">
        <v>184</v>
      </c>
      <c r="N1" s="26" t="s">
        <v>184</v>
      </c>
      <c r="O1" s="26" t="s">
        <v>184</v>
      </c>
      <c r="P1" s="26" t="s">
        <v>184</v>
      </c>
      <c r="Q1" s="26" t="s">
        <v>184</v>
      </c>
      <c r="R1" s="26" t="s">
        <v>184</v>
      </c>
      <c r="S1" s="26" t="s">
        <v>184</v>
      </c>
      <c r="T1" s="26" t="s">
        <v>184</v>
      </c>
      <c r="U1" s="26" t="s">
        <v>184</v>
      </c>
      <c r="V1" s="26" t="s">
        <v>184</v>
      </c>
      <c r="W1" s="26" t="s">
        <v>184</v>
      </c>
      <c r="X1" s="26" t="s">
        <v>184</v>
      </c>
      <c r="Y1" s="26" t="s">
        <v>184</v>
      </c>
      <c r="Z1" s="26" t="s">
        <v>184</v>
      </c>
      <c r="AA1" s="26" t="s">
        <v>184</v>
      </c>
      <c r="AB1" s="26" t="s">
        <v>184</v>
      </c>
      <c r="AC1" s="26" t="s">
        <v>184</v>
      </c>
      <c r="AD1" s="26" t="s">
        <v>184</v>
      </c>
      <c r="AE1" s="26" t="s">
        <v>184</v>
      </c>
      <c r="AF1" s="26" t="s">
        <v>184</v>
      </c>
      <c r="AG1" s="26" t="s">
        <v>184</v>
      </c>
      <c r="AH1" s="26" t="s">
        <v>184</v>
      </c>
      <c r="AI1" s="26" t="s">
        <v>184</v>
      </c>
      <c r="AJ1" s="26" t="s">
        <v>184</v>
      </c>
      <c r="AK1" s="26" t="s">
        <v>184</v>
      </c>
      <c r="AL1" s="26" t="s">
        <v>184</v>
      </c>
      <c r="AM1" s="26" t="s">
        <v>184</v>
      </c>
      <c r="AN1" s="26" t="s">
        <v>184</v>
      </c>
      <c r="AO1" s="26" t="s">
        <v>184</v>
      </c>
      <c r="AP1" s="26" t="s">
        <v>184</v>
      </c>
      <c r="AQ1" s="26" t="s">
        <v>184</v>
      </c>
      <c r="AR1" s="26" t="s">
        <v>184</v>
      </c>
      <c r="AS1" s="26" t="s">
        <v>184</v>
      </c>
      <c r="AT1" s="26" t="s">
        <v>184</v>
      </c>
      <c r="AU1" s="26" t="s">
        <v>184</v>
      </c>
      <c r="AV1" s="26" t="s">
        <v>184</v>
      </c>
      <c r="AW1" s="26" t="s">
        <v>184</v>
      </c>
      <c r="AX1" s="26" t="s">
        <v>184</v>
      </c>
      <c r="AY1" s="26" t="s">
        <v>184</v>
      </c>
      <c r="AZ1" s="26" t="s">
        <v>184</v>
      </c>
      <c r="BA1" s="26" t="s">
        <v>184</v>
      </c>
      <c r="BB1" s="26" t="s">
        <v>184</v>
      </c>
      <c r="BC1" s="26" t="s">
        <v>184</v>
      </c>
      <c r="BD1" s="26" t="s">
        <v>184</v>
      </c>
      <c r="BE1" s="26" t="s">
        <v>184</v>
      </c>
      <c r="BF1" s="26" t="s">
        <v>184</v>
      </c>
      <c r="BG1" s="26" t="s">
        <v>184</v>
      </c>
      <c r="BH1" s="26" t="s">
        <v>184</v>
      </c>
      <c r="BI1" s="26" t="s">
        <v>184</v>
      </c>
      <c r="BJ1" s="26" t="s">
        <v>184</v>
      </c>
      <c r="BK1" s="26" t="s">
        <v>184</v>
      </c>
      <c r="BL1" s="26" t="s">
        <v>184</v>
      </c>
      <c r="BM1" s="26" t="s">
        <v>184</v>
      </c>
      <c r="BN1" s="26" t="s">
        <v>184</v>
      </c>
      <c r="BO1" s="26" t="s">
        <v>184</v>
      </c>
      <c r="BP1" s="26" t="s">
        <v>184</v>
      </c>
      <c r="BQ1" s="26" t="s">
        <v>184</v>
      </c>
      <c r="BR1" s="26" t="s">
        <v>184</v>
      </c>
      <c r="BS1" s="26" t="s">
        <v>184</v>
      </c>
      <c r="BT1" s="26" t="s">
        <v>184</v>
      </c>
      <c r="BU1" s="26" t="s">
        <v>184</v>
      </c>
      <c r="BV1" s="26" t="s">
        <v>184</v>
      </c>
      <c r="BW1" s="26" t="s">
        <v>184</v>
      </c>
      <c r="BX1" s="26" t="s">
        <v>184</v>
      </c>
      <c r="BY1" s="26" t="s">
        <v>184</v>
      </c>
      <c r="BZ1" s="26" t="s">
        <v>184</v>
      </c>
      <c r="CA1" s="26" t="s">
        <v>184</v>
      </c>
      <c r="CB1" s="26" t="s">
        <v>184</v>
      </c>
      <c r="CC1" s="26" t="s">
        <v>184</v>
      </c>
      <c r="CD1" s="26" t="s">
        <v>184</v>
      </c>
      <c r="CE1" s="26" t="s">
        <v>184</v>
      </c>
      <c r="CF1" s="26" t="s">
        <v>184</v>
      </c>
      <c r="CG1" s="26" t="s">
        <v>184</v>
      </c>
      <c r="CH1" s="26" t="s">
        <v>184</v>
      </c>
      <c r="CI1" s="26" t="s">
        <v>184</v>
      </c>
      <c r="CJ1" s="26" t="s">
        <v>184</v>
      </c>
      <c r="CK1" s="26" t="s">
        <v>184</v>
      </c>
      <c r="CL1" s="26" t="s">
        <v>184</v>
      </c>
      <c r="CM1" s="26" t="s">
        <v>184</v>
      </c>
      <c r="CN1" s="26" t="s">
        <v>184</v>
      </c>
      <c r="CO1" s="26" t="s">
        <v>184</v>
      </c>
      <c r="CP1" s="26" t="s">
        <v>184</v>
      </c>
      <c r="CQ1" s="26" t="s">
        <v>184</v>
      </c>
      <c r="CR1" s="26" t="s">
        <v>184</v>
      </c>
      <c r="CS1" s="26" t="s">
        <v>184</v>
      </c>
      <c r="CT1" s="26" t="s">
        <v>184</v>
      </c>
      <c r="CU1" s="26" t="s">
        <v>184</v>
      </c>
      <c r="CV1" s="26" t="s">
        <v>184</v>
      </c>
      <c r="CW1" s="26" t="s">
        <v>184</v>
      </c>
      <c r="CX1" s="26" t="s">
        <v>184</v>
      </c>
      <c r="CY1" s="26" t="s">
        <v>184</v>
      </c>
      <c r="CZ1" s="26" t="s">
        <v>184</v>
      </c>
      <c r="DA1" s="26" t="s">
        <v>184</v>
      </c>
      <c r="DB1" s="26" t="s">
        <v>184</v>
      </c>
      <c r="DC1" s="26" t="s">
        <v>184</v>
      </c>
      <c r="DD1" s="26" t="s">
        <v>184</v>
      </c>
      <c r="DE1" s="26" t="s">
        <v>184</v>
      </c>
      <c r="DF1" s="26" t="s">
        <v>184</v>
      </c>
      <c r="DG1" s="26" t="s">
        <v>184</v>
      </c>
      <c r="DH1" s="26" t="s">
        <v>184</v>
      </c>
      <c r="DI1" s="26" t="s">
        <v>184</v>
      </c>
      <c r="DJ1" s="26" t="s">
        <v>184</v>
      </c>
      <c r="DK1" s="26" t="s">
        <v>184</v>
      </c>
      <c r="DL1" s="26" t="s">
        <v>184</v>
      </c>
      <c r="DM1" s="26" t="s">
        <v>184</v>
      </c>
      <c r="DN1" s="26" t="s">
        <v>184</v>
      </c>
      <c r="DO1" s="26" t="s">
        <v>184</v>
      </c>
      <c r="DP1" s="26" t="s">
        <v>184</v>
      </c>
      <c r="DQ1" s="26" t="s">
        <v>184</v>
      </c>
      <c r="DR1" s="26" t="s">
        <v>184</v>
      </c>
      <c r="DS1" s="26" t="s">
        <v>184</v>
      </c>
      <c r="DT1" s="26" t="s">
        <v>184</v>
      </c>
      <c r="DU1" s="26" t="s">
        <v>184</v>
      </c>
      <c r="DV1" s="26" t="s">
        <v>184</v>
      </c>
      <c r="DW1" s="26" t="s">
        <v>184</v>
      </c>
      <c r="DX1" s="26" t="s">
        <v>184</v>
      </c>
      <c r="DY1" s="26" t="s">
        <v>184</v>
      </c>
      <c r="DZ1" s="26" t="s">
        <v>184</v>
      </c>
      <c r="EA1" s="26" t="s">
        <v>184</v>
      </c>
      <c r="EB1" s="26" t="s">
        <v>184</v>
      </c>
      <c r="EC1" s="26" t="s">
        <v>184</v>
      </c>
      <c r="ED1" s="26" t="s">
        <v>184</v>
      </c>
      <c r="EE1" s="26" t="s">
        <v>184</v>
      </c>
      <c r="EF1" s="26" t="s">
        <v>184</v>
      </c>
      <c r="EG1" s="26" t="s">
        <v>184</v>
      </c>
      <c r="EH1" s="26" t="s">
        <v>184</v>
      </c>
      <c r="EI1" s="26" t="s">
        <v>184</v>
      </c>
      <c r="EJ1" s="26" t="s">
        <v>184</v>
      </c>
      <c r="EK1" s="26" t="s">
        <v>184</v>
      </c>
      <c r="EL1" s="26" t="s">
        <v>184</v>
      </c>
      <c r="EM1" s="26" t="s">
        <v>184</v>
      </c>
      <c r="EN1" s="26" t="s">
        <v>184</v>
      </c>
      <c r="EO1" s="26" t="s">
        <v>184</v>
      </c>
      <c r="EP1" s="26" t="s">
        <v>184</v>
      </c>
      <c r="EQ1" s="26" t="s">
        <v>184</v>
      </c>
      <c r="ER1" s="26" t="s">
        <v>184</v>
      </c>
      <c r="ES1" s="26" t="s">
        <v>184</v>
      </c>
      <c r="ET1" s="26" t="s">
        <v>184</v>
      </c>
      <c r="EU1" s="26" t="s">
        <v>184</v>
      </c>
      <c r="EV1" s="26" t="s">
        <v>184</v>
      </c>
      <c r="EW1" s="26" t="s">
        <v>184</v>
      </c>
      <c r="EX1" s="26" t="s">
        <v>184</v>
      </c>
      <c r="EY1" s="26" t="s">
        <v>184</v>
      </c>
      <c r="EZ1" s="26" t="s">
        <v>184</v>
      </c>
      <c r="FA1" s="26" t="s">
        <v>184</v>
      </c>
      <c r="FB1" s="26" t="s">
        <v>184</v>
      </c>
      <c r="FC1" s="26" t="s">
        <v>184</v>
      </c>
      <c r="FD1" s="26" t="s">
        <v>184</v>
      </c>
      <c r="FE1" s="26" t="s">
        <v>184</v>
      </c>
      <c r="FF1" s="26" t="s">
        <v>184</v>
      </c>
      <c r="FG1" s="26" t="s">
        <v>184</v>
      </c>
      <c r="FH1" s="26" t="s">
        <v>184</v>
      </c>
      <c r="FI1" s="26" t="s">
        <v>184</v>
      </c>
      <c r="FJ1" s="26" t="s">
        <v>184</v>
      </c>
      <c r="FK1" s="26" t="s">
        <v>184</v>
      </c>
      <c r="FL1" s="26" t="s">
        <v>184</v>
      </c>
      <c r="FM1" s="26" t="s">
        <v>184</v>
      </c>
      <c r="FN1" s="26" t="s">
        <v>184</v>
      </c>
      <c r="FO1" s="26" t="s">
        <v>184</v>
      </c>
      <c r="FP1" s="26" t="s">
        <v>184</v>
      </c>
      <c r="FQ1" s="26" t="s">
        <v>184</v>
      </c>
      <c r="FR1" s="26" t="s">
        <v>184</v>
      </c>
      <c r="FS1" s="26" t="s">
        <v>184</v>
      </c>
      <c r="FT1" s="26" t="s">
        <v>184</v>
      </c>
      <c r="FU1" s="26" t="s">
        <v>184</v>
      </c>
      <c r="FV1" s="26" t="s">
        <v>184</v>
      </c>
      <c r="FW1" s="26" t="s">
        <v>184</v>
      </c>
      <c r="FX1" s="26" t="s">
        <v>184</v>
      </c>
      <c r="FY1" s="26" t="s">
        <v>184</v>
      </c>
      <c r="FZ1" s="26" t="s">
        <v>184</v>
      </c>
      <c r="GA1" s="26" t="s">
        <v>184</v>
      </c>
      <c r="GB1" s="26" t="s">
        <v>184</v>
      </c>
      <c r="GC1" s="26" t="s">
        <v>184</v>
      </c>
      <c r="GD1" s="26" t="s">
        <v>184</v>
      </c>
      <c r="GE1" s="26" t="s">
        <v>184</v>
      </c>
      <c r="GF1" s="26" t="s">
        <v>184</v>
      </c>
      <c r="GG1" s="26" t="s">
        <v>184</v>
      </c>
      <c r="GH1" s="26" t="s">
        <v>184</v>
      </c>
      <c r="GI1" s="26" t="s">
        <v>184</v>
      </c>
      <c r="GJ1" s="26" t="s">
        <v>184</v>
      </c>
      <c r="GK1" s="26" t="s">
        <v>184</v>
      </c>
      <c r="GL1" s="26" t="s">
        <v>184</v>
      </c>
      <c r="GM1" s="26" t="s">
        <v>184</v>
      </c>
      <c r="GN1" s="26" t="s">
        <v>184</v>
      </c>
      <c r="GO1" s="26" t="s">
        <v>184</v>
      </c>
      <c r="GP1" s="26" t="s">
        <v>184</v>
      </c>
      <c r="GQ1" s="26" t="s">
        <v>184</v>
      </c>
      <c r="GR1" s="26" t="s">
        <v>184</v>
      </c>
      <c r="GS1" s="26" t="s">
        <v>184</v>
      </c>
      <c r="GT1" s="26" t="s">
        <v>184</v>
      </c>
      <c r="GU1" s="26" t="s">
        <v>184</v>
      </c>
      <c r="GV1" s="26" t="s">
        <v>184</v>
      </c>
      <c r="GW1" s="26" t="s">
        <v>184</v>
      </c>
      <c r="GX1" s="26" t="s">
        <v>184</v>
      </c>
      <c r="GY1" s="26" t="s">
        <v>184</v>
      </c>
      <c r="GZ1" s="26" t="s">
        <v>184</v>
      </c>
      <c r="HA1" s="26" t="s">
        <v>184</v>
      </c>
      <c r="HB1" s="26" t="s">
        <v>184</v>
      </c>
      <c r="HC1" s="26" t="s">
        <v>184</v>
      </c>
      <c r="HD1" s="26" t="s">
        <v>184</v>
      </c>
      <c r="HE1" s="26" t="s">
        <v>184</v>
      </c>
      <c r="HF1" s="26" t="s">
        <v>184</v>
      </c>
      <c r="HG1" s="26" t="s">
        <v>184</v>
      </c>
      <c r="HH1" s="26" t="s">
        <v>184</v>
      </c>
      <c r="HI1" s="26" t="s">
        <v>184</v>
      </c>
      <c r="HJ1" s="26" t="s">
        <v>184</v>
      </c>
      <c r="HK1" s="26" t="s">
        <v>184</v>
      </c>
      <c r="HL1" s="26" t="s">
        <v>184</v>
      </c>
      <c r="HM1" s="26" t="s">
        <v>184</v>
      </c>
      <c r="HN1" s="26" t="s">
        <v>184</v>
      </c>
      <c r="HO1" s="26" t="s">
        <v>184</v>
      </c>
      <c r="HP1" s="26" t="s">
        <v>184</v>
      </c>
      <c r="HQ1" s="26" t="s">
        <v>184</v>
      </c>
      <c r="HR1" s="26" t="s">
        <v>184</v>
      </c>
      <c r="HS1" s="26" t="s">
        <v>184</v>
      </c>
      <c r="HT1" s="26" t="s">
        <v>184</v>
      </c>
      <c r="HU1" s="26" t="s">
        <v>184</v>
      </c>
      <c r="HV1" s="26" t="s">
        <v>184</v>
      </c>
      <c r="HW1" s="26" t="s">
        <v>184</v>
      </c>
      <c r="HX1" s="26" t="s">
        <v>184</v>
      </c>
      <c r="HY1" s="26" t="s">
        <v>184</v>
      </c>
      <c r="HZ1" s="26" t="s">
        <v>184</v>
      </c>
      <c r="IA1" s="26" t="s">
        <v>184</v>
      </c>
      <c r="IB1" s="26" t="s">
        <v>184</v>
      </c>
      <c r="IC1" s="26" t="s">
        <v>184</v>
      </c>
      <c r="ID1" s="26" t="s">
        <v>184</v>
      </c>
      <c r="IE1" s="26" t="s">
        <v>184</v>
      </c>
      <c r="IF1" s="26" t="s">
        <v>184</v>
      </c>
      <c r="IG1" s="26" t="s">
        <v>184</v>
      </c>
      <c r="IH1" s="26" t="s">
        <v>184</v>
      </c>
      <c r="II1" s="26" t="s">
        <v>184</v>
      </c>
      <c r="IJ1" s="26" t="s">
        <v>184</v>
      </c>
      <c r="IK1" s="26" t="s">
        <v>184</v>
      </c>
      <c r="IL1" s="26" t="s">
        <v>184</v>
      </c>
      <c r="IM1" s="26" t="s">
        <v>184</v>
      </c>
      <c r="IN1" s="26" t="s">
        <v>184</v>
      </c>
      <c r="IO1" s="26" t="s">
        <v>184</v>
      </c>
      <c r="IP1" s="26" t="s">
        <v>184</v>
      </c>
      <c r="IQ1" s="26" t="s">
        <v>184</v>
      </c>
      <c r="IR1" s="26" t="s">
        <v>184</v>
      </c>
      <c r="IS1" s="26" t="s">
        <v>184</v>
      </c>
      <c r="IT1" s="26" t="s">
        <v>184</v>
      </c>
      <c r="IU1" s="26" t="s">
        <v>184</v>
      </c>
      <c r="IV1" s="26" t="s">
        <v>184</v>
      </c>
      <c r="IW1" s="26" t="s">
        <v>184</v>
      </c>
      <c r="IX1" s="26" t="s">
        <v>184</v>
      </c>
      <c r="IY1" s="26" t="s">
        <v>184</v>
      </c>
      <c r="IZ1" s="26" t="s">
        <v>184</v>
      </c>
      <c r="JA1" s="26" t="s">
        <v>184</v>
      </c>
      <c r="JB1" s="26" t="s">
        <v>184</v>
      </c>
      <c r="JC1" s="26" t="s">
        <v>184</v>
      </c>
      <c r="JD1" s="26" t="s">
        <v>184</v>
      </c>
      <c r="JE1" s="26" t="s">
        <v>184</v>
      </c>
      <c r="JF1" s="26" t="s">
        <v>184</v>
      </c>
      <c r="JG1" s="26" t="s">
        <v>184</v>
      </c>
      <c r="JH1" s="26" t="s">
        <v>184</v>
      </c>
      <c r="JI1" s="26" t="s">
        <v>184</v>
      </c>
      <c r="JJ1" s="26" t="s">
        <v>184</v>
      </c>
      <c r="JK1" s="26" t="s">
        <v>184</v>
      </c>
      <c r="JL1" s="26" t="s">
        <v>184</v>
      </c>
      <c r="JM1" s="26" t="s">
        <v>184</v>
      </c>
      <c r="JN1" s="26" t="s">
        <v>184</v>
      </c>
      <c r="JO1" s="26" t="s">
        <v>184</v>
      </c>
      <c r="JP1" s="26" t="s">
        <v>184</v>
      </c>
      <c r="JQ1" s="26" t="s">
        <v>184</v>
      </c>
      <c r="JR1" s="26" t="s">
        <v>184</v>
      </c>
      <c r="JS1" s="26" t="s">
        <v>184</v>
      </c>
      <c r="JT1" s="26" t="s">
        <v>184</v>
      </c>
      <c r="JU1" s="26" t="s">
        <v>184</v>
      </c>
      <c r="JV1" s="26" t="s">
        <v>184</v>
      </c>
      <c r="JW1" s="26" t="s">
        <v>184</v>
      </c>
      <c r="JX1" s="26" t="s">
        <v>184</v>
      </c>
      <c r="JY1" s="26" t="s">
        <v>184</v>
      </c>
      <c r="JZ1" s="26" t="s">
        <v>184</v>
      </c>
      <c r="KA1" s="26" t="s">
        <v>184</v>
      </c>
      <c r="KB1" s="26" t="s">
        <v>184</v>
      </c>
      <c r="KC1" s="26" t="s">
        <v>184</v>
      </c>
      <c r="KD1" s="26" t="s">
        <v>184</v>
      </c>
      <c r="KE1" s="26" t="s">
        <v>184</v>
      </c>
      <c r="KF1" s="26" t="s">
        <v>184</v>
      </c>
      <c r="KG1" s="26" t="s">
        <v>184</v>
      </c>
      <c r="KH1" s="26" t="s">
        <v>184</v>
      </c>
      <c r="KI1" s="26" t="s">
        <v>184</v>
      </c>
      <c r="KJ1" s="26" t="s">
        <v>184</v>
      </c>
      <c r="KK1" s="26" t="s">
        <v>184</v>
      </c>
      <c r="KL1" s="26" t="s">
        <v>184</v>
      </c>
      <c r="KM1" s="26" t="s">
        <v>184</v>
      </c>
      <c r="KN1" s="26" t="s">
        <v>184</v>
      </c>
      <c r="KO1" s="26" t="s">
        <v>184</v>
      </c>
      <c r="KP1" s="26" t="s">
        <v>184</v>
      </c>
      <c r="KQ1" s="26" t="s">
        <v>184</v>
      </c>
      <c r="KR1" s="26" t="s">
        <v>184</v>
      </c>
      <c r="KS1" s="26" t="s">
        <v>184</v>
      </c>
      <c r="KT1" s="26" t="s">
        <v>184</v>
      </c>
      <c r="KU1" s="26" t="s">
        <v>184</v>
      </c>
      <c r="KV1" s="26" t="s">
        <v>184</v>
      </c>
      <c r="KW1" s="26" t="s">
        <v>184</v>
      </c>
      <c r="KX1" s="26" t="s">
        <v>184</v>
      </c>
      <c r="KY1" s="26" t="s">
        <v>184</v>
      </c>
      <c r="KZ1" s="26" t="s">
        <v>184</v>
      </c>
      <c r="LA1" s="26" t="s">
        <v>184</v>
      </c>
      <c r="LB1" s="26" t="s">
        <v>184</v>
      </c>
      <c r="LC1" s="26" t="s">
        <v>184</v>
      </c>
      <c r="LD1" s="26" t="s">
        <v>184</v>
      </c>
      <c r="LE1" s="26" t="s">
        <v>184</v>
      </c>
      <c r="LF1" s="26" t="s">
        <v>184</v>
      </c>
      <c r="LG1" s="26" t="s">
        <v>184</v>
      </c>
      <c r="LH1" s="26" t="s">
        <v>184</v>
      </c>
      <c r="LI1" s="26" t="s">
        <v>184</v>
      </c>
      <c r="LJ1" s="26" t="s">
        <v>184</v>
      </c>
      <c r="LK1" s="26" t="s">
        <v>184</v>
      </c>
      <c r="LL1" s="26" t="s">
        <v>184</v>
      </c>
      <c r="LM1" s="26" t="s">
        <v>184</v>
      </c>
      <c r="LN1" s="26" t="s">
        <v>184</v>
      </c>
      <c r="LO1" s="26" t="s">
        <v>184</v>
      </c>
      <c r="LP1" s="26" t="s">
        <v>184</v>
      </c>
      <c r="LQ1" s="26" t="s">
        <v>184</v>
      </c>
      <c r="LR1" s="26" t="s">
        <v>184</v>
      </c>
      <c r="LS1" s="26" t="s">
        <v>184</v>
      </c>
      <c r="LT1" s="26" t="s">
        <v>184</v>
      </c>
      <c r="LU1" s="26" t="s">
        <v>184</v>
      </c>
      <c r="LV1" s="26" t="s">
        <v>184</v>
      </c>
      <c r="LW1" s="26" t="s">
        <v>184</v>
      </c>
      <c r="LX1" s="26" t="s">
        <v>184</v>
      </c>
      <c r="LY1" s="26" t="s">
        <v>184</v>
      </c>
      <c r="LZ1" s="26" t="s">
        <v>184</v>
      </c>
      <c r="MA1" s="26" t="s">
        <v>184</v>
      </c>
      <c r="MB1" s="26" t="s">
        <v>184</v>
      </c>
      <c r="MC1" s="26" t="s">
        <v>184</v>
      </c>
      <c r="MD1" s="26" t="s">
        <v>184</v>
      </c>
      <c r="ME1" s="26" t="s">
        <v>184</v>
      </c>
      <c r="MF1" s="26" t="s">
        <v>184</v>
      </c>
      <c r="MG1" s="26" t="s">
        <v>184</v>
      </c>
      <c r="MH1" s="26" t="s">
        <v>184</v>
      </c>
      <c r="MI1" s="26" t="s">
        <v>184</v>
      </c>
      <c r="MJ1" s="26" t="s">
        <v>184</v>
      </c>
      <c r="MK1" s="26" t="s">
        <v>184</v>
      </c>
      <c r="ML1" s="26" t="s">
        <v>184</v>
      </c>
      <c r="MM1" s="26" t="s">
        <v>184</v>
      </c>
      <c r="MN1" s="26" t="s">
        <v>184</v>
      </c>
      <c r="MO1" s="26" t="s">
        <v>184</v>
      </c>
      <c r="MP1" s="26" t="s">
        <v>184</v>
      </c>
      <c r="MQ1" s="26" t="s">
        <v>184</v>
      </c>
      <c r="MR1" s="26" t="s">
        <v>184</v>
      </c>
      <c r="MS1" s="26" t="s">
        <v>184</v>
      </c>
      <c r="MT1" s="26" t="s">
        <v>184</v>
      </c>
      <c r="MU1" s="26" t="s">
        <v>184</v>
      </c>
      <c r="MV1" s="26" t="s">
        <v>184</v>
      </c>
      <c r="MW1" s="26" t="s">
        <v>184</v>
      </c>
      <c r="MX1" s="26" t="s">
        <v>184</v>
      </c>
      <c r="MY1" s="26" t="s">
        <v>184</v>
      </c>
      <c r="MZ1" s="26" t="s">
        <v>184</v>
      </c>
      <c r="NA1" s="26" t="s">
        <v>184</v>
      </c>
      <c r="NB1" s="26" t="s">
        <v>184</v>
      </c>
      <c r="NC1" s="26" t="s">
        <v>184</v>
      </c>
      <c r="ND1" s="26" t="s">
        <v>184</v>
      </c>
      <c r="NE1" s="26" t="s">
        <v>184</v>
      </c>
      <c r="NF1" s="26" t="s">
        <v>184</v>
      </c>
      <c r="NG1" s="26" t="s">
        <v>184</v>
      </c>
      <c r="NH1" s="26" t="s">
        <v>184</v>
      </c>
      <c r="NI1" s="26" t="s">
        <v>184</v>
      </c>
      <c r="NJ1" s="26" t="s">
        <v>184</v>
      </c>
      <c r="NK1" s="26" t="s">
        <v>184</v>
      </c>
      <c r="NL1" s="26" t="s">
        <v>184</v>
      </c>
      <c r="NM1" s="26" t="s">
        <v>184</v>
      </c>
      <c r="NN1" s="26" t="s">
        <v>184</v>
      </c>
      <c r="NO1" s="26" t="s">
        <v>184</v>
      </c>
      <c r="NP1" s="26" t="s">
        <v>184</v>
      </c>
      <c r="NQ1" s="26" t="s">
        <v>184</v>
      </c>
      <c r="NR1" s="26" t="s">
        <v>184</v>
      </c>
      <c r="NS1" s="26" t="s">
        <v>184</v>
      </c>
      <c r="NT1" s="26" t="s">
        <v>184</v>
      </c>
      <c r="NU1" s="26" t="s">
        <v>184</v>
      </c>
      <c r="NV1" s="26" t="s">
        <v>184</v>
      </c>
      <c r="NW1" s="26" t="s">
        <v>184</v>
      </c>
      <c r="NX1" s="26" t="s">
        <v>184</v>
      </c>
      <c r="NY1" s="26" t="s">
        <v>184</v>
      </c>
      <c r="NZ1" s="26" t="s">
        <v>184</v>
      </c>
      <c r="OA1" s="26" t="s">
        <v>184</v>
      </c>
      <c r="OB1" s="26" t="s">
        <v>184</v>
      </c>
      <c r="OC1" s="26" t="s">
        <v>184</v>
      </c>
      <c r="OD1" s="26" t="s">
        <v>184</v>
      </c>
      <c r="OE1" s="26" t="s">
        <v>184</v>
      </c>
      <c r="OF1" s="26" t="s">
        <v>184</v>
      </c>
      <c r="OG1" s="26" t="s">
        <v>184</v>
      </c>
      <c r="OH1" s="26" t="s">
        <v>184</v>
      </c>
      <c r="OI1" s="26" t="s">
        <v>184</v>
      </c>
      <c r="OJ1" s="26" t="s">
        <v>184</v>
      </c>
      <c r="OK1" s="26" t="s">
        <v>184</v>
      </c>
      <c r="OL1" s="26" t="s">
        <v>184</v>
      </c>
      <c r="OM1" s="26" t="s">
        <v>184</v>
      </c>
      <c r="ON1" s="26" t="s">
        <v>184</v>
      </c>
      <c r="OO1" s="26" t="s">
        <v>184</v>
      </c>
      <c r="OP1" s="26" t="s">
        <v>184</v>
      </c>
      <c r="OQ1" s="26" t="s">
        <v>184</v>
      </c>
      <c r="OR1" s="26" t="s">
        <v>184</v>
      </c>
      <c r="OS1" s="26" t="s">
        <v>184</v>
      </c>
      <c r="OT1" s="26" t="s">
        <v>184</v>
      </c>
      <c r="OU1" s="26" t="s">
        <v>184</v>
      </c>
      <c r="OV1" s="26" t="s">
        <v>184</v>
      </c>
      <c r="OW1" s="26" t="s">
        <v>184</v>
      </c>
      <c r="OX1" s="26" t="s">
        <v>184</v>
      </c>
      <c r="OY1" s="26" t="s">
        <v>184</v>
      </c>
      <c r="OZ1" s="26" t="s">
        <v>311</v>
      </c>
      <c r="PA1" s="26" t="s">
        <v>311</v>
      </c>
      <c r="PB1" s="26" t="s">
        <v>1283</v>
      </c>
      <c r="PC1" s="26" t="s">
        <v>1283</v>
      </c>
      <c r="PD1" s="26" t="s">
        <v>1283</v>
      </c>
      <c r="PE1" s="26" t="s">
        <v>1283</v>
      </c>
      <c r="PF1" s="26" t="s">
        <v>311</v>
      </c>
      <c r="PG1" s="26" t="s">
        <v>1288</v>
      </c>
      <c r="PH1" s="26" t="s">
        <v>1283</v>
      </c>
      <c r="PI1" s="26" t="s">
        <v>311</v>
      </c>
      <c r="PJ1" s="26" t="s">
        <v>311</v>
      </c>
      <c r="PK1" s="26" t="s">
        <v>1283</v>
      </c>
      <c r="PL1" s="26" t="s">
        <v>311</v>
      </c>
      <c r="PM1" s="26" t="s">
        <v>1283</v>
      </c>
      <c r="PN1" s="26" t="s">
        <v>1283</v>
      </c>
      <c r="PO1" s="26" t="s">
        <v>1283</v>
      </c>
      <c r="PP1" s="26" t="s">
        <v>1283</v>
      </c>
      <c r="PQ1" s="26" t="s">
        <v>1287</v>
      </c>
      <c r="PR1" s="26" t="s">
        <v>1283</v>
      </c>
      <c r="PS1" s="26" t="s">
        <v>1283</v>
      </c>
      <c r="PT1" s="26" t="s">
        <v>311</v>
      </c>
      <c r="PU1" s="26" t="s">
        <v>311</v>
      </c>
      <c r="PV1" s="26" t="s">
        <v>1283</v>
      </c>
      <c r="PW1" s="26" t="s">
        <v>1283</v>
      </c>
      <c r="PX1" s="26" t="s">
        <v>1283</v>
      </c>
      <c r="PY1" s="26" t="s">
        <v>311</v>
      </c>
      <c r="PZ1" s="26" t="s">
        <v>311</v>
      </c>
      <c r="QA1" s="26" t="s">
        <v>1283</v>
      </c>
      <c r="QB1" s="26" t="s">
        <v>1283</v>
      </c>
      <c r="QC1" s="26" t="s">
        <v>184</v>
      </c>
      <c r="QD1" s="26" t="s">
        <v>1287</v>
      </c>
      <c r="QE1" s="26" t="s">
        <v>311</v>
      </c>
      <c r="QF1" s="26" t="s">
        <v>1283</v>
      </c>
      <c r="QG1" s="26" t="s">
        <v>1283</v>
      </c>
      <c r="QH1" s="26" t="s">
        <v>311</v>
      </c>
      <c r="QI1" s="26" t="s">
        <v>311</v>
      </c>
      <c r="QJ1" s="26" t="s">
        <v>1286</v>
      </c>
      <c r="QK1" s="26" t="s">
        <v>1286</v>
      </c>
      <c r="QL1" s="26" t="s">
        <v>1286</v>
      </c>
      <c r="QM1" s="26" t="s">
        <v>311</v>
      </c>
      <c r="QN1" s="26" t="s">
        <v>1283</v>
      </c>
      <c r="QO1" s="26" t="s">
        <v>311</v>
      </c>
      <c r="QP1" s="26" t="s">
        <v>311</v>
      </c>
      <c r="QQ1" s="26" t="s">
        <v>311</v>
      </c>
      <c r="QR1" s="26" t="s">
        <v>311</v>
      </c>
      <c r="QS1" s="26" t="s">
        <v>311</v>
      </c>
      <c r="QT1" s="26" t="s">
        <v>311</v>
      </c>
      <c r="QU1" s="26" t="s">
        <v>311</v>
      </c>
      <c r="QV1" s="26" t="s">
        <v>311</v>
      </c>
      <c r="QW1" s="26" t="s">
        <v>311</v>
      </c>
      <c r="QX1" s="26" t="s">
        <v>311</v>
      </c>
      <c r="QY1" s="26" t="s">
        <v>1283</v>
      </c>
      <c r="QZ1" s="26" t="s">
        <v>311</v>
      </c>
      <c r="RA1" s="26" t="s">
        <v>1285</v>
      </c>
      <c r="RB1" s="26" t="s">
        <v>311</v>
      </c>
      <c r="RC1" s="26" t="s">
        <v>311</v>
      </c>
      <c r="RD1" s="26" t="s">
        <v>311</v>
      </c>
      <c r="RE1" s="26" t="s">
        <v>311</v>
      </c>
      <c r="RF1" s="26" t="s">
        <v>1283</v>
      </c>
      <c r="RG1" s="26" t="s">
        <v>311</v>
      </c>
      <c r="RH1" s="26" t="s">
        <v>311</v>
      </c>
      <c r="RI1" s="26" t="s">
        <v>311</v>
      </c>
      <c r="RJ1" s="26" t="s">
        <v>311</v>
      </c>
      <c r="RK1" s="26" t="s">
        <v>311</v>
      </c>
      <c r="RL1" s="26" t="s">
        <v>311</v>
      </c>
      <c r="RM1" s="26" t="s">
        <v>311</v>
      </c>
      <c r="RN1" s="26" t="s">
        <v>311</v>
      </c>
      <c r="RO1" s="26" t="s">
        <v>1283</v>
      </c>
      <c r="RP1" s="26" t="s">
        <v>311</v>
      </c>
      <c r="RQ1" s="26" t="s">
        <v>311</v>
      </c>
      <c r="RR1" s="26" t="s">
        <v>311</v>
      </c>
      <c r="RS1" s="26" t="s">
        <v>311</v>
      </c>
      <c r="RT1" s="26" t="s">
        <v>311</v>
      </c>
      <c r="RU1" s="26" t="s">
        <v>311</v>
      </c>
      <c r="RV1" s="26" t="s">
        <v>1283</v>
      </c>
      <c r="RW1" s="26" t="s">
        <v>311</v>
      </c>
      <c r="RX1" s="26" t="s">
        <v>311</v>
      </c>
      <c r="RY1" s="26" t="s">
        <v>311</v>
      </c>
      <c r="RZ1" s="26" t="s">
        <v>311</v>
      </c>
      <c r="SA1" s="26" t="s">
        <v>311</v>
      </c>
      <c r="SB1" s="26" t="s">
        <v>311</v>
      </c>
      <c r="SC1" s="26" t="s">
        <v>311</v>
      </c>
      <c r="SD1" s="26" t="s">
        <v>1284</v>
      </c>
      <c r="SE1" s="26" t="s">
        <v>1284</v>
      </c>
      <c r="SF1" s="26" t="s">
        <v>1284</v>
      </c>
      <c r="SG1" s="26" t="s">
        <v>311</v>
      </c>
      <c r="SH1" s="26" t="s">
        <v>311</v>
      </c>
      <c r="SI1" s="26" t="s">
        <v>311</v>
      </c>
      <c r="SJ1" s="26" t="s">
        <v>311</v>
      </c>
      <c r="SK1" s="26" t="s">
        <v>311</v>
      </c>
      <c r="SL1" s="26" t="s">
        <v>311</v>
      </c>
      <c r="SM1" s="26" t="s">
        <v>311</v>
      </c>
      <c r="SN1" s="26" t="s">
        <v>311</v>
      </c>
      <c r="SO1" s="26" t="s">
        <v>311</v>
      </c>
      <c r="SP1" s="26" t="s">
        <v>311</v>
      </c>
      <c r="SQ1" s="26" t="s">
        <v>311</v>
      </c>
      <c r="SR1" s="26" t="s">
        <v>311</v>
      </c>
      <c r="SS1" s="26" t="s">
        <v>311</v>
      </c>
      <c r="ST1" s="26" t="s">
        <v>311</v>
      </c>
      <c r="SU1" s="26" t="s">
        <v>311</v>
      </c>
      <c r="SV1" s="26" t="s">
        <v>311</v>
      </c>
      <c r="SW1" s="26" t="s">
        <v>1283</v>
      </c>
      <c r="SX1" s="26" t="s">
        <v>311</v>
      </c>
      <c r="SY1" s="26" t="s">
        <v>311</v>
      </c>
      <c r="SZ1" s="26" t="s">
        <v>311</v>
      </c>
      <c r="TA1" s="26" t="s">
        <v>311</v>
      </c>
      <c r="TB1" s="26" t="s">
        <v>311</v>
      </c>
      <c r="TC1" s="26" t="s">
        <v>311</v>
      </c>
      <c r="TD1" s="26" t="s">
        <v>311</v>
      </c>
      <c r="TE1" s="26" t="s">
        <v>311</v>
      </c>
      <c r="TF1" s="26" t="s">
        <v>311</v>
      </c>
      <c r="TG1" s="26" t="s">
        <v>311</v>
      </c>
      <c r="TH1" s="26" t="s">
        <v>311</v>
      </c>
      <c r="TI1" s="26" t="s">
        <v>311</v>
      </c>
      <c r="TJ1" s="26" t="s">
        <v>311</v>
      </c>
      <c r="TK1" s="26" t="s">
        <v>311</v>
      </c>
      <c r="TL1" s="26" t="s">
        <v>311</v>
      </c>
      <c r="TM1" s="26" t="s">
        <v>311</v>
      </c>
      <c r="TN1" s="26" t="s">
        <v>311</v>
      </c>
      <c r="TO1" s="26" t="s">
        <v>311</v>
      </c>
      <c r="TP1" s="26" t="s">
        <v>311</v>
      </c>
      <c r="TQ1" s="26" t="s">
        <v>311</v>
      </c>
      <c r="TR1" s="26" t="s">
        <v>311</v>
      </c>
      <c r="TS1" s="26" t="s">
        <v>311</v>
      </c>
      <c r="TT1" s="26" t="s">
        <v>311</v>
      </c>
      <c r="TU1" s="26" t="s">
        <v>311</v>
      </c>
      <c r="TV1" s="26" t="s">
        <v>311</v>
      </c>
      <c r="TW1" s="26" t="s">
        <v>311</v>
      </c>
      <c r="TX1" s="26" t="s">
        <v>311</v>
      </c>
      <c r="TY1" s="26" t="s">
        <v>311</v>
      </c>
      <c r="TZ1" s="26" t="s">
        <v>311</v>
      </c>
      <c r="UA1" s="26" t="s">
        <v>311</v>
      </c>
      <c r="UB1" s="26" t="s">
        <v>311</v>
      </c>
      <c r="UC1" s="26" t="s">
        <v>311</v>
      </c>
      <c r="UD1" s="26" t="s">
        <v>311</v>
      </c>
      <c r="UE1" s="26" t="s">
        <v>311</v>
      </c>
      <c r="UF1" s="26" t="s">
        <v>311</v>
      </c>
      <c r="UG1" s="26" t="s">
        <v>311</v>
      </c>
      <c r="UH1" s="26" t="s">
        <v>311</v>
      </c>
      <c r="UI1" s="26" t="s">
        <v>311</v>
      </c>
      <c r="UJ1" s="26" t="s">
        <v>311</v>
      </c>
      <c r="UK1" s="26" t="s">
        <v>311</v>
      </c>
      <c r="UL1" s="26" t="s">
        <v>311</v>
      </c>
      <c r="UM1" s="26" t="s">
        <v>311</v>
      </c>
      <c r="UN1" s="26" t="s">
        <v>311</v>
      </c>
      <c r="UO1" s="26" t="s">
        <v>311</v>
      </c>
      <c r="UP1" s="26" t="s">
        <v>311</v>
      </c>
      <c r="UQ1" s="26" t="s">
        <v>311</v>
      </c>
      <c r="UR1" s="26" t="s">
        <v>311</v>
      </c>
      <c r="US1" s="26" t="s">
        <v>311</v>
      </c>
      <c r="UT1" s="26" t="s">
        <v>311</v>
      </c>
      <c r="UU1" s="26" t="s">
        <v>311</v>
      </c>
      <c r="UV1" s="26" t="s">
        <v>311</v>
      </c>
      <c r="UW1" s="26" t="s">
        <v>311</v>
      </c>
      <c r="UX1" s="26" t="s">
        <v>311</v>
      </c>
      <c r="UY1" s="26" t="s">
        <v>311</v>
      </c>
      <c r="UZ1" s="26" t="s">
        <v>311</v>
      </c>
      <c r="VA1" s="26" t="s">
        <v>311</v>
      </c>
      <c r="VB1" s="26" t="s">
        <v>311</v>
      </c>
      <c r="VC1" s="26" t="s">
        <v>311</v>
      </c>
      <c r="VD1" s="26" t="s">
        <v>311</v>
      </c>
      <c r="VE1" s="26" t="s">
        <v>311</v>
      </c>
      <c r="VF1" s="26" t="s">
        <v>311</v>
      </c>
      <c r="VG1" s="26" t="s">
        <v>311</v>
      </c>
      <c r="VH1" s="26" t="s">
        <v>311</v>
      </c>
      <c r="VI1" s="26" t="s">
        <v>311</v>
      </c>
      <c r="VJ1" s="26" t="s">
        <v>311</v>
      </c>
      <c r="VK1" s="26" t="s">
        <v>311</v>
      </c>
      <c r="VL1" s="26" t="s">
        <v>311</v>
      </c>
      <c r="VM1" s="26" t="s">
        <v>311</v>
      </c>
      <c r="VN1" s="26" t="s">
        <v>311</v>
      </c>
      <c r="VO1" s="26" t="s">
        <v>311</v>
      </c>
      <c r="VP1" s="26" t="s">
        <v>311</v>
      </c>
      <c r="VQ1" s="26" t="s">
        <v>311</v>
      </c>
      <c r="VR1" s="26" t="s">
        <v>311</v>
      </c>
      <c r="VS1" s="26" t="s">
        <v>311</v>
      </c>
      <c r="VT1" s="26" t="s">
        <v>311</v>
      </c>
      <c r="VU1" s="26" t="s">
        <v>311</v>
      </c>
      <c r="VV1" s="26" t="s">
        <v>311</v>
      </c>
      <c r="VW1" s="26" t="s">
        <v>311</v>
      </c>
      <c r="VX1" s="26" t="s">
        <v>311</v>
      </c>
      <c r="VY1" s="26" t="s">
        <v>311</v>
      </c>
      <c r="VZ1" s="26" t="s">
        <v>311</v>
      </c>
      <c r="WA1" s="26" t="s">
        <v>311</v>
      </c>
      <c r="WB1" s="26" t="s">
        <v>311</v>
      </c>
      <c r="WC1" s="26" t="s">
        <v>311</v>
      </c>
      <c r="WD1" s="26" t="s">
        <v>311</v>
      </c>
      <c r="WE1" s="26" t="s">
        <v>311</v>
      </c>
      <c r="WF1" s="26" t="s">
        <v>311</v>
      </c>
      <c r="WG1" s="26" t="s">
        <v>311</v>
      </c>
      <c r="WH1" s="26" t="s">
        <v>311</v>
      </c>
      <c r="WI1" s="26" t="s">
        <v>311</v>
      </c>
      <c r="WJ1" s="26" t="s">
        <v>311</v>
      </c>
      <c r="WK1" s="26" t="s">
        <v>311</v>
      </c>
      <c r="WL1" s="26" t="s">
        <v>1283</v>
      </c>
      <c r="WM1" s="26" t="s">
        <v>311</v>
      </c>
      <c r="WN1" s="26" t="s">
        <v>311</v>
      </c>
      <c r="WO1" s="26" t="s">
        <v>311</v>
      </c>
      <c r="WP1" s="26" t="s">
        <v>311</v>
      </c>
      <c r="WQ1" s="26" t="s">
        <v>311</v>
      </c>
      <c r="WR1" s="26" t="s">
        <v>311</v>
      </c>
      <c r="WS1" s="26" t="s">
        <v>311</v>
      </c>
      <c r="WT1" s="26" t="s">
        <v>1283</v>
      </c>
      <c r="WU1" s="26" t="s">
        <v>311</v>
      </c>
      <c r="WV1" s="26" t="s">
        <v>311</v>
      </c>
      <c r="WW1" s="26" t="s">
        <v>311</v>
      </c>
      <c r="WX1" s="26" t="s">
        <v>311</v>
      </c>
      <c r="WY1" s="26" t="s">
        <v>311</v>
      </c>
      <c r="WZ1" s="26" t="s">
        <v>311</v>
      </c>
      <c r="XA1" s="26" t="s">
        <v>311</v>
      </c>
      <c r="XB1" s="26" t="s">
        <v>311</v>
      </c>
      <c r="XC1" s="26" t="s">
        <v>311</v>
      </c>
      <c r="XD1" s="26" t="s">
        <v>311</v>
      </c>
      <c r="XE1" s="26" t="s">
        <v>311</v>
      </c>
      <c r="XF1" s="26" t="s">
        <v>311</v>
      </c>
      <c r="XG1" s="26" t="s">
        <v>311</v>
      </c>
      <c r="XH1" s="26" t="s">
        <v>311</v>
      </c>
      <c r="XI1" s="26" t="s">
        <v>311</v>
      </c>
      <c r="XJ1" s="26" t="s">
        <v>311</v>
      </c>
      <c r="XK1" s="26" t="s">
        <v>311</v>
      </c>
      <c r="XL1" s="26" t="s">
        <v>311</v>
      </c>
      <c r="XM1" s="26" t="s">
        <v>311</v>
      </c>
      <c r="XN1" s="26" t="s">
        <v>311</v>
      </c>
      <c r="XO1" s="26" t="s">
        <v>311</v>
      </c>
      <c r="XP1" s="26" t="s">
        <v>311</v>
      </c>
      <c r="XQ1" s="26" t="s">
        <v>311</v>
      </c>
      <c r="XR1" s="26" t="s">
        <v>311</v>
      </c>
      <c r="XS1" s="26" t="s">
        <v>311</v>
      </c>
      <c r="XT1" s="26" t="s">
        <v>311</v>
      </c>
      <c r="XU1" s="26" t="s">
        <v>311</v>
      </c>
      <c r="XV1" s="26" t="s">
        <v>311</v>
      </c>
      <c r="XW1" s="26" t="s">
        <v>311</v>
      </c>
      <c r="XX1" s="26" t="s">
        <v>311</v>
      </c>
      <c r="XY1" s="26" t="s">
        <v>311</v>
      </c>
      <c r="XZ1" s="26" t="s">
        <v>311</v>
      </c>
      <c r="YA1" s="26" t="s">
        <v>311</v>
      </c>
      <c r="YB1" s="26" t="s">
        <v>311</v>
      </c>
      <c r="YC1" s="26" t="s">
        <v>311</v>
      </c>
      <c r="YD1" s="26" t="s">
        <v>311</v>
      </c>
      <c r="YE1" s="26" t="s">
        <v>311</v>
      </c>
      <c r="YF1" s="26" t="s">
        <v>311</v>
      </c>
      <c r="YG1" s="26" t="s">
        <v>311</v>
      </c>
      <c r="YH1" s="26" t="s">
        <v>311</v>
      </c>
      <c r="YI1" s="26" t="s">
        <v>311</v>
      </c>
      <c r="YJ1" s="26" t="s">
        <v>311</v>
      </c>
      <c r="YK1" s="26" t="s">
        <v>311</v>
      </c>
      <c r="YL1" s="26" t="s">
        <v>311</v>
      </c>
      <c r="YM1" s="26" t="s">
        <v>311</v>
      </c>
      <c r="YN1" s="26" t="s">
        <v>311</v>
      </c>
      <c r="YO1" s="26" t="s">
        <v>311</v>
      </c>
      <c r="YP1" s="26" t="s">
        <v>1283</v>
      </c>
      <c r="YQ1" s="26" t="s">
        <v>1283</v>
      </c>
      <c r="YR1" s="26" t="s">
        <v>184</v>
      </c>
      <c r="YS1" s="26"/>
      <c r="YT1" s="26"/>
      <c r="YU1" s="26"/>
      <c r="YV1" s="26"/>
      <c r="YW1" s="26"/>
      <c r="YX1" s="38" t="s">
        <v>177</v>
      </c>
    </row>
    <row r="2" spans="1:676" ht="29.25" customHeight="1" thickBot="1" x14ac:dyDescent="0.3">
      <c r="A2" s="150"/>
      <c r="B2" s="150"/>
      <c r="C2" s="150"/>
      <c r="D2" s="4"/>
      <c r="E2" s="4" t="s">
        <v>186</v>
      </c>
      <c r="F2" s="25">
        <v>6188</v>
      </c>
      <c r="G2" s="25">
        <v>6189</v>
      </c>
      <c r="H2" s="25">
        <v>5950</v>
      </c>
      <c r="I2" s="25">
        <v>87123</v>
      </c>
      <c r="J2" s="25">
        <v>87159</v>
      </c>
      <c r="K2" s="25">
        <v>87776</v>
      </c>
      <c r="L2" s="25">
        <v>87791</v>
      </c>
      <c r="M2" s="25" t="s">
        <v>1282</v>
      </c>
      <c r="N2" s="25" t="s">
        <v>1281</v>
      </c>
      <c r="O2" s="25">
        <v>6002</v>
      </c>
      <c r="P2" s="25" t="s">
        <v>1280</v>
      </c>
      <c r="Q2" s="25" t="s">
        <v>1279</v>
      </c>
      <c r="R2" s="25">
        <v>6005</v>
      </c>
      <c r="S2" s="25">
        <v>6006</v>
      </c>
      <c r="T2" s="25">
        <v>6007</v>
      </c>
      <c r="U2" s="25">
        <v>6008</v>
      </c>
      <c r="V2" s="25">
        <v>6009</v>
      </c>
      <c r="W2" s="25">
        <v>6010</v>
      </c>
      <c r="X2" s="25">
        <v>6011</v>
      </c>
      <c r="Y2" s="25">
        <v>6012</v>
      </c>
      <c r="Z2" s="25" t="s">
        <v>1278</v>
      </c>
      <c r="AA2" s="25">
        <v>6014</v>
      </c>
      <c r="AB2" s="25">
        <v>6015</v>
      </c>
      <c r="AC2" s="25">
        <v>6016</v>
      </c>
      <c r="AD2" s="25">
        <v>6017</v>
      </c>
      <c r="AE2" s="25">
        <v>6018</v>
      </c>
      <c r="AF2" s="25">
        <v>6019</v>
      </c>
      <c r="AG2" s="25">
        <v>6020</v>
      </c>
      <c r="AH2" s="25">
        <v>6021</v>
      </c>
      <c r="AI2" s="25">
        <v>6022</v>
      </c>
      <c r="AJ2" s="25">
        <v>6023</v>
      </c>
      <c r="AK2" s="25">
        <v>6024</v>
      </c>
      <c r="AL2" s="25">
        <v>6025</v>
      </c>
      <c r="AM2" s="25">
        <v>6026</v>
      </c>
      <c r="AN2" s="25">
        <v>6027</v>
      </c>
      <c r="AO2" s="25" t="s">
        <v>1277</v>
      </c>
      <c r="AP2" s="25">
        <v>6029</v>
      </c>
      <c r="AQ2" s="25">
        <v>6030</v>
      </c>
      <c r="AR2" s="25">
        <v>6031</v>
      </c>
      <c r="AS2" s="25">
        <v>6033</v>
      </c>
      <c r="AT2" s="25">
        <v>6034</v>
      </c>
      <c r="AU2" s="25">
        <v>6035</v>
      </c>
      <c r="AV2" s="25">
        <v>6036</v>
      </c>
      <c r="AW2" s="25">
        <v>6037</v>
      </c>
      <c r="AX2" s="25" t="s">
        <v>1276</v>
      </c>
      <c r="AY2" s="25">
        <v>6041</v>
      </c>
      <c r="AZ2" s="25">
        <v>6042</v>
      </c>
      <c r="BA2" s="25">
        <v>6043</v>
      </c>
      <c r="BB2" s="25">
        <v>6044</v>
      </c>
      <c r="BC2" s="25">
        <v>6045</v>
      </c>
      <c r="BD2" s="25">
        <v>6046</v>
      </c>
      <c r="BE2" s="25">
        <v>6047</v>
      </c>
      <c r="BF2" s="25">
        <v>6048</v>
      </c>
      <c r="BG2" s="25">
        <v>6049</v>
      </c>
      <c r="BH2" s="25">
        <v>6050</v>
      </c>
      <c r="BI2" s="25">
        <v>6401</v>
      </c>
      <c r="BJ2" s="25">
        <v>6402</v>
      </c>
      <c r="BK2" s="25">
        <v>6403</v>
      </c>
      <c r="BL2" s="25">
        <v>6404</v>
      </c>
      <c r="BM2" s="25">
        <v>6405</v>
      </c>
      <c r="BN2" s="25">
        <v>6406</v>
      </c>
      <c r="BO2" s="25">
        <v>6407</v>
      </c>
      <c r="BP2" s="25">
        <v>6408</v>
      </c>
      <c r="BQ2" s="25" t="s">
        <v>1275</v>
      </c>
      <c r="BR2" s="25">
        <v>6411</v>
      </c>
      <c r="BS2" s="25">
        <v>6412</v>
      </c>
      <c r="BT2" s="25">
        <v>6414</v>
      </c>
      <c r="BU2" s="25">
        <v>6415</v>
      </c>
      <c r="BV2" s="25">
        <v>6416</v>
      </c>
      <c r="BW2" s="25">
        <v>6417</v>
      </c>
      <c r="BX2" s="25">
        <v>6418</v>
      </c>
      <c r="BY2" s="25">
        <v>6419</v>
      </c>
      <c r="BZ2" s="25">
        <v>6420</v>
      </c>
      <c r="CA2" s="25">
        <v>6421</v>
      </c>
      <c r="CB2" s="25">
        <v>6422</v>
      </c>
      <c r="CC2" s="25">
        <v>6423</v>
      </c>
      <c r="CD2" s="25">
        <v>6424</v>
      </c>
      <c r="CE2" s="25" t="s">
        <v>1274</v>
      </c>
      <c r="CF2" s="25">
        <v>6427</v>
      </c>
      <c r="CG2" s="25">
        <v>6428</v>
      </c>
      <c r="CH2" s="25">
        <v>6429</v>
      </c>
      <c r="CI2" s="25" t="s">
        <v>1273</v>
      </c>
      <c r="CJ2" s="25">
        <v>6432</v>
      </c>
      <c r="CK2" s="25">
        <v>6433</v>
      </c>
      <c r="CL2" s="25">
        <v>6434</v>
      </c>
      <c r="CM2" s="25">
        <v>6435</v>
      </c>
      <c r="CN2" s="25">
        <v>6436</v>
      </c>
      <c r="CO2" s="25" t="s">
        <v>1272</v>
      </c>
      <c r="CP2" s="25" t="s">
        <v>1271</v>
      </c>
      <c r="CQ2" s="25">
        <v>6441</v>
      </c>
      <c r="CR2" s="25">
        <v>6442</v>
      </c>
      <c r="CS2" s="25">
        <v>6443</v>
      </c>
      <c r="CT2" s="25">
        <v>6444</v>
      </c>
      <c r="CU2" s="25">
        <v>6445</v>
      </c>
      <c r="CV2" s="25" t="s">
        <v>1270</v>
      </c>
      <c r="CW2" s="25" t="s">
        <v>1269</v>
      </c>
      <c r="CX2" s="25" t="s">
        <v>1268</v>
      </c>
      <c r="CY2" s="25">
        <v>6352</v>
      </c>
      <c r="CZ2" s="25">
        <v>6353</v>
      </c>
      <c r="DA2" s="25">
        <v>6354</v>
      </c>
      <c r="DB2" s="25">
        <v>6355</v>
      </c>
      <c r="DC2" s="25">
        <v>6356</v>
      </c>
      <c r="DD2" s="25">
        <v>6357</v>
      </c>
      <c r="DE2" s="25">
        <v>6358</v>
      </c>
      <c r="DF2" s="25">
        <v>6359</v>
      </c>
      <c r="DG2" s="25">
        <v>6360</v>
      </c>
      <c r="DH2" s="25">
        <v>6361</v>
      </c>
      <c r="DI2" s="25">
        <v>6362</v>
      </c>
      <c r="DJ2" s="25">
        <v>6363</v>
      </c>
      <c r="DK2" s="25">
        <v>6364</v>
      </c>
      <c r="DL2" s="25">
        <v>6365</v>
      </c>
      <c r="DM2" s="25">
        <v>6367</v>
      </c>
      <c r="DN2" s="25">
        <v>6368</v>
      </c>
      <c r="DO2" s="25">
        <v>6369</v>
      </c>
      <c r="DP2" s="25">
        <v>6370</v>
      </c>
      <c r="DQ2" s="25">
        <v>6371</v>
      </c>
      <c r="DR2" s="25">
        <v>6372</v>
      </c>
      <c r="DS2" s="25">
        <v>6374</v>
      </c>
      <c r="DT2" s="25">
        <v>6375</v>
      </c>
      <c r="DU2" s="25">
        <v>6376</v>
      </c>
      <c r="DV2" s="25">
        <v>6377</v>
      </c>
      <c r="DW2" s="25">
        <v>6378</v>
      </c>
      <c r="DX2" s="25">
        <v>6379</v>
      </c>
      <c r="DY2" s="25">
        <v>6380</v>
      </c>
      <c r="DZ2" s="25">
        <v>6381</v>
      </c>
      <c r="EA2" s="25">
        <v>6382</v>
      </c>
      <c r="EB2" s="25">
        <v>6383</v>
      </c>
      <c r="EC2" s="25">
        <v>6384</v>
      </c>
      <c r="ED2" s="25">
        <v>6385</v>
      </c>
      <c r="EE2" s="25">
        <v>6386</v>
      </c>
      <c r="EF2" s="25">
        <v>6387</v>
      </c>
      <c r="EG2" s="25">
        <v>6388</v>
      </c>
      <c r="EH2" s="25">
        <v>6389</v>
      </c>
      <c r="EI2" s="25">
        <v>6390</v>
      </c>
      <c r="EJ2" s="25">
        <v>6391</v>
      </c>
      <c r="EK2" s="25">
        <v>6392</v>
      </c>
      <c r="EL2" s="25">
        <v>6393</v>
      </c>
      <c r="EM2" s="25">
        <v>6394</v>
      </c>
      <c r="EN2" s="25">
        <v>6395</v>
      </c>
      <c r="EO2" s="25">
        <v>6396</v>
      </c>
      <c r="EP2" s="25">
        <v>6397</v>
      </c>
      <c r="EQ2" s="25" t="s">
        <v>1267</v>
      </c>
      <c r="ER2" s="25">
        <v>6400</v>
      </c>
      <c r="ES2" s="25">
        <v>6301</v>
      </c>
      <c r="ET2" s="25">
        <v>6302</v>
      </c>
      <c r="EU2" s="25">
        <v>6303</v>
      </c>
      <c r="EV2" s="25">
        <v>6305</v>
      </c>
      <c r="EW2" s="25">
        <v>6306</v>
      </c>
      <c r="EX2" s="25">
        <v>6307</v>
      </c>
      <c r="EY2" s="25">
        <v>6308</v>
      </c>
      <c r="EZ2" s="25">
        <v>6309</v>
      </c>
      <c r="FA2" s="25">
        <v>6310</v>
      </c>
      <c r="FB2" s="25">
        <v>6311</v>
      </c>
      <c r="FC2" s="25">
        <v>6312</v>
      </c>
      <c r="FD2" s="25">
        <v>6313</v>
      </c>
      <c r="FE2" s="25">
        <v>6314</v>
      </c>
      <c r="FF2" s="25">
        <v>6315</v>
      </c>
      <c r="FG2" s="25">
        <v>6316</v>
      </c>
      <c r="FH2" s="25">
        <v>6317</v>
      </c>
      <c r="FI2" s="25">
        <v>6318</v>
      </c>
      <c r="FJ2" s="25">
        <v>6319</v>
      </c>
      <c r="FK2" s="25">
        <v>6320</v>
      </c>
      <c r="FL2" s="25">
        <v>6321</v>
      </c>
      <c r="FM2" s="25">
        <v>6322</v>
      </c>
      <c r="FN2" s="25">
        <v>6323</v>
      </c>
      <c r="FO2" s="25">
        <v>6324</v>
      </c>
      <c r="FP2" s="25">
        <v>6325</v>
      </c>
      <c r="FQ2" s="25" t="s">
        <v>1266</v>
      </c>
      <c r="FR2" s="25">
        <v>6328</v>
      </c>
      <c r="FS2" s="25">
        <v>6329</v>
      </c>
      <c r="FT2" s="25">
        <v>6330</v>
      </c>
      <c r="FU2" s="25">
        <v>6331</v>
      </c>
      <c r="FV2" s="25">
        <v>6332</v>
      </c>
      <c r="FW2" s="25">
        <v>6333</v>
      </c>
      <c r="FX2" s="25">
        <v>6334</v>
      </c>
      <c r="FY2" s="25">
        <v>6335</v>
      </c>
      <c r="FZ2" s="25">
        <v>6336</v>
      </c>
      <c r="GA2" s="25">
        <v>6337</v>
      </c>
      <c r="GB2" s="25">
        <v>6338</v>
      </c>
      <c r="GC2" s="25">
        <v>6339</v>
      </c>
      <c r="GD2" s="25">
        <v>6341</v>
      </c>
      <c r="GE2" s="25">
        <v>6342</v>
      </c>
      <c r="GF2" s="25">
        <v>6343</v>
      </c>
      <c r="GG2" s="25">
        <v>6344</v>
      </c>
      <c r="GH2" s="25">
        <v>6345</v>
      </c>
      <c r="GI2" s="25">
        <v>6346</v>
      </c>
      <c r="GJ2" s="25">
        <v>6347</v>
      </c>
      <c r="GK2" s="25">
        <v>6348</v>
      </c>
      <c r="GL2" s="25">
        <v>6349</v>
      </c>
      <c r="GM2" s="25">
        <v>6350</v>
      </c>
      <c r="GN2" s="25">
        <v>6201</v>
      </c>
      <c r="GO2" s="25">
        <v>6202</v>
      </c>
      <c r="GP2" s="25">
        <v>6203</v>
      </c>
      <c r="GQ2" s="25">
        <v>6204</v>
      </c>
      <c r="GR2" s="25">
        <v>6205</v>
      </c>
      <c r="GS2" s="25">
        <v>6206</v>
      </c>
      <c r="GT2" s="25">
        <v>6207</v>
      </c>
      <c r="GU2" s="25">
        <v>6208</v>
      </c>
      <c r="GV2" s="25">
        <v>6209</v>
      </c>
      <c r="GW2" s="25">
        <v>6210</v>
      </c>
      <c r="GX2" s="25">
        <v>6211</v>
      </c>
      <c r="GY2" s="25">
        <v>6212</v>
      </c>
      <c r="GZ2" s="25">
        <v>6213</v>
      </c>
      <c r="HA2" s="25">
        <v>6214</v>
      </c>
      <c r="HB2" s="25">
        <v>6215</v>
      </c>
      <c r="HC2" s="25">
        <v>6216</v>
      </c>
      <c r="HD2" s="25">
        <v>6217</v>
      </c>
      <c r="HE2" s="25">
        <v>6218</v>
      </c>
      <c r="HF2" s="25">
        <v>6219</v>
      </c>
      <c r="HG2" s="25">
        <v>6220</v>
      </c>
      <c r="HH2" s="25">
        <v>6221</v>
      </c>
      <c r="HI2" s="25">
        <v>6222</v>
      </c>
      <c r="HJ2" s="25">
        <v>6223</v>
      </c>
      <c r="HK2" s="25">
        <v>6224</v>
      </c>
      <c r="HL2" s="25">
        <v>6225</v>
      </c>
      <c r="HM2" s="25">
        <v>6226</v>
      </c>
      <c r="HN2" s="25">
        <v>6227</v>
      </c>
      <c r="HO2" s="25">
        <v>6228</v>
      </c>
      <c r="HP2" s="25">
        <v>6229</v>
      </c>
      <c r="HQ2" s="25">
        <v>6230</v>
      </c>
      <c r="HR2" s="25" t="s">
        <v>1265</v>
      </c>
      <c r="HS2" s="25">
        <v>6232</v>
      </c>
      <c r="HT2" s="25">
        <v>6233</v>
      </c>
      <c r="HU2" s="25">
        <v>6234</v>
      </c>
      <c r="HV2" s="25">
        <v>6235</v>
      </c>
      <c r="HW2" s="25">
        <v>6236</v>
      </c>
      <c r="HX2" s="25">
        <v>6237</v>
      </c>
      <c r="HY2" s="25">
        <v>6238</v>
      </c>
      <c r="HZ2" s="25" t="s">
        <v>1264</v>
      </c>
      <c r="IA2" s="25">
        <v>6241</v>
      </c>
      <c r="IB2" s="25">
        <v>6242</v>
      </c>
      <c r="IC2" s="25">
        <v>6243</v>
      </c>
      <c r="ID2" s="25">
        <v>6244</v>
      </c>
      <c r="IE2" s="25">
        <v>6245</v>
      </c>
      <c r="IF2" s="25">
        <v>6246</v>
      </c>
      <c r="IG2" s="25">
        <v>6247</v>
      </c>
      <c r="IH2" s="25">
        <v>6248</v>
      </c>
      <c r="II2" s="25">
        <v>6249</v>
      </c>
      <c r="IJ2" s="25">
        <v>6250</v>
      </c>
      <c r="IK2" s="25">
        <v>6251</v>
      </c>
      <c r="IL2" s="25">
        <v>6252</v>
      </c>
      <c r="IM2" s="25">
        <v>6253</v>
      </c>
      <c r="IN2" s="25">
        <v>6254</v>
      </c>
      <c r="IO2" s="25">
        <v>6255</v>
      </c>
      <c r="IP2" s="25">
        <v>6256</v>
      </c>
      <c r="IQ2" s="25">
        <v>6257</v>
      </c>
      <c r="IR2" s="25">
        <v>6258</v>
      </c>
      <c r="IS2" s="25">
        <v>6259</v>
      </c>
      <c r="IT2" s="25">
        <v>6260</v>
      </c>
      <c r="IU2" s="25">
        <v>6261</v>
      </c>
      <c r="IV2" s="25">
        <v>6262</v>
      </c>
      <c r="IW2" s="25">
        <v>6264</v>
      </c>
      <c r="IX2" s="25">
        <v>6265</v>
      </c>
      <c r="IY2" s="25">
        <v>6266</v>
      </c>
      <c r="IZ2" s="25">
        <v>6267</v>
      </c>
      <c r="JA2" s="25">
        <v>6268</v>
      </c>
      <c r="JB2" s="25">
        <v>6269</v>
      </c>
      <c r="JC2" s="25">
        <v>6270</v>
      </c>
      <c r="JD2" s="25">
        <v>6271</v>
      </c>
      <c r="JE2" s="25">
        <v>6272</v>
      </c>
      <c r="JF2" s="25">
        <v>6273</v>
      </c>
      <c r="JG2" s="25">
        <v>6274</v>
      </c>
      <c r="JH2" s="25">
        <v>6275</v>
      </c>
      <c r="JI2" s="25">
        <v>6276</v>
      </c>
      <c r="JJ2" s="25">
        <v>6277</v>
      </c>
      <c r="JK2" s="25">
        <v>6278</v>
      </c>
      <c r="JL2" s="25">
        <v>6279</v>
      </c>
      <c r="JM2" s="25">
        <v>6280</v>
      </c>
      <c r="JN2" s="25">
        <v>6281</v>
      </c>
      <c r="JO2" s="25">
        <v>6282</v>
      </c>
      <c r="JP2" s="25">
        <v>6283</v>
      </c>
      <c r="JQ2" s="25">
        <v>6284</v>
      </c>
      <c r="JR2" s="25">
        <v>6285</v>
      </c>
      <c r="JS2" s="25">
        <v>6286</v>
      </c>
      <c r="JT2" s="25">
        <v>6287</v>
      </c>
      <c r="JU2" s="25">
        <v>6288</v>
      </c>
      <c r="JV2" s="25">
        <v>6289</v>
      </c>
      <c r="JW2" s="25">
        <v>6290</v>
      </c>
      <c r="JX2" s="25">
        <v>6291</v>
      </c>
      <c r="JY2" s="25">
        <v>6292</v>
      </c>
      <c r="JZ2" s="25">
        <v>6293</v>
      </c>
      <c r="KA2" s="25">
        <v>6294</v>
      </c>
      <c r="KB2" s="25">
        <v>6295</v>
      </c>
      <c r="KC2" s="25">
        <v>6296</v>
      </c>
      <c r="KD2" s="25">
        <v>6297</v>
      </c>
      <c r="KE2" s="25">
        <v>6299</v>
      </c>
      <c r="KF2" s="25" t="s">
        <v>1263</v>
      </c>
      <c r="KG2" s="25">
        <v>10801</v>
      </c>
      <c r="KH2" s="25">
        <v>10802</v>
      </c>
      <c r="KI2" s="25">
        <v>10803</v>
      </c>
      <c r="KJ2" s="25">
        <v>10804</v>
      </c>
      <c r="KK2" s="25">
        <v>10805</v>
      </c>
      <c r="KL2" s="25">
        <v>10806</v>
      </c>
      <c r="KM2" s="25">
        <v>10808</v>
      </c>
      <c r="KN2" s="25" t="s">
        <v>1262</v>
      </c>
      <c r="KO2" s="25">
        <v>10811</v>
      </c>
      <c r="KP2" s="25">
        <v>10812</v>
      </c>
      <c r="KQ2" s="25">
        <v>10813</v>
      </c>
      <c r="KR2" s="25" t="s">
        <v>1261</v>
      </c>
      <c r="KS2" s="25">
        <v>10816</v>
      </c>
      <c r="KT2" s="25">
        <v>10817</v>
      </c>
      <c r="KU2" s="25">
        <v>10818</v>
      </c>
      <c r="KV2" s="25">
        <v>10819</v>
      </c>
      <c r="KW2" s="25">
        <v>10820</v>
      </c>
      <c r="KX2" s="25">
        <v>10821</v>
      </c>
      <c r="KY2" s="25">
        <v>10822</v>
      </c>
      <c r="KZ2" s="25">
        <v>10823</v>
      </c>
      <c r="LA2" s="25">
        <v>10824</v>
      </c>
      <c r="LB2" s="25">
        <v>10826</v>
      </c>
      <c r="LC2" s="25" t="s">
        <v>1260</v>
      </c>
      <c r="LD2" s="25">
        <v>10828</v>
      </c>
      <c r="LE2" s="25">
        <v>10829</v>
      </c>
      <c r="LF2" s="25">
        <v>10830</v>
      </c>
      <c r="LG2" s="25">
        <v>10832</v>
      </c>
      <c r="LH2" s="25" t="s">
        <v>1259</v>
      </c>
      <c r="LI2" s="25">
        <v>10834</v>
      </c>
      <c r="LJ2" s="25">
        <v>10835</v>
      </c>
      <c r="LK2" s="25" t="s">
        <v>1258</v>
      </c>
      <c r="LL2" s="25">
        <v>10839</v>
      </c>
      <c r="LM2" s="25">
        <v>10840</v>
      </c>
      <c r="LN2" s="25">
        <v>10841</v>
      </c>
      <c r="LO2" s="25">
        <v>10842</v>
      </c>
      <c r="LP2" s="25" t="s">
        <v>1257</v>
      </c>
      <c r="LQ2" s="25">
        <v>10846</v>
      </c>
      <c r="LR2" s="25">
        <v>10847</v>
      </c>
      <c r="LS2" s="25">
        <v>10848</v>
      </c>
      <c r="LT2" s="25">
        <v>10849</v>
      </c>
      <c r="LU2" s="25">
        <v>10850</v>
      </c>
      <c r="LV2" s="25">
        <v>10451</v>
      </c>
      <c r="LW2" s="25">
        <v>10452</v>
      </c>
      <c r="LX2" s="25">
        <v>10453</v>
      </c>
      <c r="LY2" s="25">
        <v>10455</v>
      </c>
      <c r="LZ2" s="25">
        <v>10456</v>
      </c>
      <c r="MA2" s="25">
        <v>10457</v>
      </c>
      <c r="MB2" s="25">
        <v>10458</v>
      </c>
      <c r="MC2" s="25">
        <v>10459</v>
      </c>
      <c r="MD2" s="25">
        <v>10460</v>
      </c>
      <c r="ME2" s="25">
        <v>10461</v>
      </c>
      <c r="MF2" s="25">
        <v>10462</v>
      </c>
      <c r="MG2" s="25">
        <v>10463</v>
      </c>
      <c r="MH2" s="25">
        <v>10464</v>
      </c>
      <c r="MI2" s="25">
        <v>10465</v>
      </c>
      <c r="MJ2" s="25" t="s">
        <v>1256</v>
      </c>
      <c r="MK2" s="25" t="s">
        <v>1255</v>
      </c>
      <c r="ML2" s="25" t="s">
        <v>1254</v>
      </c>
      <c r="MM2" s="25" t="s">
        <v>1253</v>
      </c>
      <c r="MN2" s="25">
        <v>10470</v>
      </c>
      <c r="MO2" s="25" t="s">
        <v>1252</v>
      </c>
      <c r="MP2" s="25">
        <v>10473</v>
      </c>
      <c r="MQ2" s="25">
        <v>10475</v>
      </c>
      <c r="MR2" s="25">
        <v>10478</v>
      </c>
      <c r="MS2" s="25">
        <v>10479</v>
      </c>
      <c r="MT2" s="25">
        <v>10480</v>
      </c>
      <c r="MU2" s="25">
        <v>10481</v>
      </c>
      <c r="MV2" s="25">
        <v>10482</v>
      </c>
      <c r="MW2" s="25">
        <v>10483</v>
      </c>
      <c r="MX2" s="25">
        <v>10484</v>
      </c>
      <c r="MY2" s="25">
        <v>10485</v>
      </c>
      <c r="MZ2" s="25">
        <v>10486</v>
      </c>
      <c r="NA2" s="25">
        <v>10488</v>
      </c>
      <c r="NB2" s="25">
        <v>10489</v>
      </c>
      <c r="NC2" s="25">
        <v>10490</v>
      </c>
      <c r="ND2" s="25">
        <v>10491</v>
      </c>
      <c r="NE2" s="25">
        <v>10493</v>
      </c>
      <c r="NF2" s="25">
        <v>10494</v>
      </c>
      <c r="NG2" s="25">
        <v>10495</v>
      </c>
      <c r="NH2" s="25">
        <v>10496</v>
      </c>
      <c r="NI2" s="25">
        <v>10497</v>
      </c>
      <c r="NJ2" s="25">
        <v>10498</v>
      </c>
      <c r="NK2" s="25">
        <v>10499</v>
      </c>
      <c r="NL2" s="25">
        <v>10501</v>
      </c>
      <c r="NM2" s="25">
        <v>10502</v>
      </c>
      <c r="NN2" s="25">
        <v>10505</v>
      </c>
      <c r="NO2" s="25">
        <v>10507</v>
      </c>
      <c r="NP2" s="25">
        <v>10508</v>
      </c>
      <c r="NQ2" s="25">
        <v>10509</v>
      </c>
      <c r="NR2" s="25">
        <v>10510</v>
      </c>
      <c r="NS2" s="25">
        <v>10513</v>
      </c>
      <c r="NT2" s="25">
        <v>10514</v>
      </c>
      <c r="NU2" s="25">
        <v>10515</v>
      </c>
      <c r="NV2" s="25">
        <v>10516</v>
      </c>
      <c r="NW2" s="25">
        <v>10517</v>
      </c>
      <c r="NX2" s="25">
        <v>10518</v>
      </c>
      <c r="NY2" s="25">
        <v>10519</v>
      </c>
      <c r="NZ2" s="25">
        <v>10521</v>
      </c>
      <c r="OA2" s="25">
        <v>10523</v>
      </c>
      <c r="OB2" s="25">
        <v>10527</v>
      </c>
      <c r="OC2" s="25">
        <v>10528</v>
      </c>
      <c r="OD2" s="25">
        <v>10529</v>
      </c>
      <c r="OE2" s="25">
        <v>10530</v>
      </c>
      <c r="OF2" s="25">
        <v>10532</v>
      </c>
      <c r="OG2" s="25" t="s">
        <v>1251</v>
      </c>
      <c r="OH2" s="25" t="s">
        <v>1250</v>
      </c>
      <c r="OI2" s="25" t="s">
        <v>1249</v>
      </c>
      <c r="OJ2" s="25" t="s">
        <v>1248</v>
      </c>
      <c r="OK2" s="25">
        <v>10541</v>
      </c>
      <c r="OL2" s="25">
        <v>10542</v>
      </c>
      <c r="OM2" s="25">
        <v>10543</v>
      </c>
      <c r="ON2" s="25">
        <v>10545</v>
      </c>
      <c r="OO2" s="25">
        <v>10546</v>
      </c>
      <c r="OP2" s="25">
        <v>10607</v>
      </c>
      <c r="OQ2" s="25">
        <v>10609</v>
      </c>
      <c r="OR2" s="25">
        <v>10610</v>
      </c>
      <c r="OS2" s="25" t="s">
        <v>1247</v>
      </c>
      <c r="OT2" s="25" t="s">
        <v>1246</v>
      </c>
      <c r="OU2" s="25" t="s">
        <v>1245</v>
      </c>
      <c r="OV2" s="25" t="s">
        <v>1244</v>
      </c>
      <c r="OW2" s="25" t="s">
        <v>1243</v>
      </c>
      <c r="OX2" s="25" t="s">
        <v>1242</v>
      </c>
      <c r="OY2" s="25" t="s">
        <v>1241</v>
      </c>
      <c r="OZ2" s="25" t="s">
        <v>1240</v>
      </c>
      <c r="PA2" s="25" t="s">
        <v>1239</v>
      </c>
      <c r="PB2" s="25" t="s">
        <v>1238</v>
      </c>
      <c r="PC2" s="25" t="s">
        <v>1237</v>
      </c>
      <c r="PD2" s="25" t="s">
        <v>1236</v>
      </c>
      <c r="PE2" s="25" t="s">
        <v>1235</v>
      </c>
      <c r="PF2" s="25" t="s">
        <v>1234</v>
      </c>
      <c r="PG2" s="25" t="s">
        <v>1233</v>
      </c>
      <c r="PH2" s="25" t="s">
        <v>1232</v>
      </c>
      <c r="PI2" s="25" t="s">
        <v>1231</v>
      </c>
      <c r="PJ2" s="25" t="s">
        <v>1230</v>
      </c>
      <c r="PK2" s="25" t="s">
        <v>1229</v>
      </c>
      <c r="PL2" s="25" t="s">
        <v>1228</v>
      </c>
      <c r="PM2" s="25" t="s">
        <v>1227</v>
      </c>
      <c r="PN2" s="25" t="s">
        <v>1226</v>
      </c>
      <c r="PO2" s="25" t="s">
        <v>1225</v>
      </c>
      <c r="PP2" s="25" t="s">
        <v>1224</v>
      </c>
      <c r="PQ2" s="25" t="s">
        <v>1223</v>
      </c>
      <c r="PR2" s="25" t="s">
        <v>1222</v>
      </c>
      <c r="PS2" s="25" t="s">
        <v>1221</v>
      </c>
      <c r="PT2" s="25" t="s">
        <v>1220</v>
      </c>
      <c r="PU2" s="25" t="s">
        <v>1219</v>
      </c>
      <c r="PV2" s="25" t="s">
        <v>1218</v>
      </c>
      <c r="PW2" s="25" t="s">
        <v>1217</v>
      </c>
      <c r="PX2" s="25" t="s">
        <v>1216</v>
      </c>
      <c r="PY2" s="25" t="s">
        <v>1215</v>
      </c>
      <c r="PZ2" s="25" t="s">
        <v>1214</v>
      </c>
      <c r="QA2" s="25" t="s">
        <v>1213</v>
      </c>
      <c r="QB2" s="25" t="s">
        <v>1212</v>
      </c>
      <c r="QC2" s="25">
        <v>87146</v>
      </c>
      <c r="QD2" s="25" t="s">
        <v>1211</v>
      </c>
      <c r="QE2" s="25" t="s">
        <v>1210</v>
      </c>
      <c r="QF2" s="25" t="s">
        <v>1209</v>
      </c>
      <c r="QG2" s="25" t="s">
        <v>1208</v>
      </c>
      <c r="QH2" s="25" t="s">
        <v>1207</v>
      </c>
      <c r="QI2" s="25" t="s">
        <v>1206</v>
      </c>
      <c r="QJ2" s="25" t="s">
        <v>1205</v>
      </c>
      <c r="QK2" s="25" t="s">
        <v>1204</v>
      </c>
      <c r="QL2" s="25" t="s">
        <v>1203</v>
      </c>
      <c r="QM2" s="25" t="s">
        <v>1202</v>
      </c>
      <c r="QN2" s="25" t="s">
        <v>1201</v>
      </c>
      <c r="QO2" s="25" t="s">
        <v>1200</v>
      </c>
      <c r="QP2" s="25" t="s">
        <v>1199</v>
      </c>
      <c r="QQ2" s="25" t="s">
        <v>1198</v>
      </c>
      <c r="QR2" s="25" t="s">
        <v>1197</v>
      </c>
      <c r="QS2" s="25" t="s">
        <v>1196</v>
      </c>
      <c r="QT2" s="25" t="s">
        <v>1195</v>
      </c>
      <c r="QU2" s="25" t="s">
        <v>1194</v>
      </c>
      <c r="QV2" s="25" t="s">
        <v>1193</v>
      </c>
      <c r="QW2" s="25" t="s">
        <v>1192</v>
      </c>
      <c r="QX2" s="25" t="s">
        <v>1191</v>
      </c>
      <c r="QY2" s="25" t="s">
        <v>1190</v>
      </c>
      <c r="QZ2" s="25" t="s">
        <v>1189</v>
      </c>
      <c r="RA2" s="25" t="s">
        <v>1188</v>
      </c>
      <c r="RB2" s="25" t="s">
        <v>1187</v>
      </c>
      <c r="RC2" s="25" t="s">
        <v>1186</v>
      </c>
      <c r="RD2" s="25" t="s">
        <v>1185</v>
      </c>
      <c r="RE2" s="25" t="s">
        <v>1184</v>
      </c>
      <c r="RF2" s="25" t="s">
        <v>1183</v>
      </c>
      <c r="RG2" s="25" t="s">
        <v>1182</v>
      </c>
      <c r="RH2" s="25" t="s">
        <v>1181</v>
      </c>
      <c r="RI2" s="25" t="s">
        <v>1180</v>
      </c>
      <c r="RJ2" s="25" t="s">
        <v>1179</v>
      </c>
      <c r="RK2" s="25" t="s">
        <v>1178</v>
      </c>
      <c r="RL2" s="25" t="s">
        <v>1177</v>
      </c>
      <c r="RM2" s="25" t="s">
        <v>1176</v>
      </c>
      <c r="RN2" s="25" t="s">
        <v>1175</v>
      </c>
      <c r="RO2" s="25" t="s">
        <v>1174</v>
      </c>
      <c r="RP2" s="25" t="s">
        <v>1173</v>
      </c>
      <c r="RQ2" s="25" t="s">
        <v>1172</v>
      </c>
      <c r="RR2" s="25" t="s">
        <v>1171</v>
      </c>
      <c r="RS2" s="25" t="s">
        <v>1170</v>
      </c>
      <c r="RT2" s="25" t="s">
        <v>1169</v>
      </c>
      <c r="RU2" s="25" t="s">
        <v>1168</v>
      </c>
      <c r="RV2" s="25" t="s">
        <v>1167</v>
      </c>
      <c r="RW2" s="25" t="s">
        <v>1166</v>
      </c>
      <c r="RX2" s="25" t="s">
        <v>1165</v>
      </c>
      <c r="RY2" s="25" t="s">
        <v>1164</v>
      </c>
      <c r="RZ2" s="25" t="s">
        <v>1153</v>
      </c>
      <c r="SA2" s="25" t="s">
        <v>1163</v>
      </c>
      <c r="SB2" s="25" t="s">
        <v>1162</v>
      </c>
      <c r="SC2" s="25" t="s">
        <v>1161</v>
      </c>
      <c r="SD2" s="25" t="s">
        <v>1160</v>
      </c>
      <c r="SE2" s="25" t="s">
        <v>1159</v>
      </c>
      <c r="SF2" s="25" t="s">
        <v>1158</v>
      </c>
      <c r="SG2" s="25" t="s">
        <v>1157</v>
      </c>
      <c r="SH2" s="25" t="s">
        <v>1156</v>
      </c>
      <c r="SI2" s="25" t="s">
        <v>1155</v>
      </c>
      <c r="SJ2" s="25" t="s">
        <v>1154</v>
      </c>
      <c r="SK2" s="25" t="s">
        <v>1153</v>
      </c>
      <c r="SL2" s="25" t="s">
        <v>1152</v>
      </c>
      <c r="SM2" s="25" t="s">
        <v>1151</v>
      </c>
      <c r="SN2" s="25" t="s">
        <v>1150</v>
      </c>
      <c r="SO2" s="25" t="s">
        <v>1149</v>
      </c>
      <c r="SP2" s="25" t="s">
        <v>1148</v>
      </c>
      <c r="SQ2" s="25" t="s">
        <v>1147</v>
      </c>
      <c r="SR2" s="25" t="s">
        <v>1144</v>
      </c>
      <c r="SS2" s="25" t="s">
        <v>1142</v>
      </c>
      <c r="ST2" s="25" t="s">
        <v>1146</v>
      </c>
      <c r="SU2" s="25" t="s">
        <v>1145</v>
      </c>
      <c r="SV2" s="25" t="s">
        <v>1144</v>
      </c>
      <c r="SW2" s="25" t="s">
        <v>1143</v>
      </c>
      <c r="SX2" s="25" t="s">
        <v>1142</v>
      </c>
      <c r="SY2" s="25" t="s">
        <v>1141</v>
      </c>
      <c r="SZ2" s="25" t="s">
        <v>1140</v>
      </c>
      <c r="TA2" s="25" t="s">
        <v>1139</v>
      </c>
      <c r="TB2" s="25" t="s">
        <v>1138</v>
      </c>
      <c r="TC2" s="25" t="s">
        <v>1137</v>
      </c>
      <c r="TD2" s="25" t="s">
        <v>1136</v>
      </c>
      <c r="TE2" s="25" t="s">
        <v>1135</v>
      </c>
      <c r="TF2" s="25" t="s">
        <v>1134</v>
      </c>
      <c r="TG2" s="25" t="s">
        <v>1133</v>
      </c>
      <c r="TH2" s="25" t="s">
        <v>1132</v>
      </c>
      <c r="TI2" s="25" t="s">
        <v>1131</v>
      </c>
      <c r="TJ2" s="25" t="s">
        <v>1130</v>
      </c>
      <c r="TK2" s="25" t="s">
        <v>1129</v>
      </c>
      <c r="TL2" s="25" t="s">
        <v>1128</v>
      </c>
      <c r="TM2" s="25" t="s">
        <v>1127</v>
      </c>
      <c r="TN2" s="25" t="s">
        <v>1126</v>
      </c>
      <c r="TO2" s="25" t="s">
        <v>1125</v>
      </c>
      <c r="TP2" s="25" t="s">
        <v>1124</v>
      </c>
      <c r="TQ2" s="25" t="s">
        <v>1123</v>
      </c>
      <c r="TR2" s="25" t="s">
        <v>1122</v>
      </c>
      <c r="TS2" s="25" t="s">
        <v>1121</v>
      </c>
      <c r="TT2" s="25" t="s">
        <v>1120</v>
      </c>
      <c r="TU2" s="25" t="s">
        <v>1119</v>
      </c>
      <c r="TV2" s="25" t="s">
        <v>1118</v>
      </c>
      <c r="TW2" s="25" t="s">
        <v>1117</v>
      </c>
      <c r="TX2" s="25" t="s">
        <v>1116</v>
      </c>
      <c r="TY2" s="25" t="s">
        <v>1115</v>
      </c>
      <c r="TZ2" s="25" t="s">
        <v>1114</v>
      </c>
      <c r="UA2" s="25" t="s">
        <v>1113</v>
      </c>
      <c r="UB2" s="25" t="s">
        <v>1112</v>
      </c>
      <c r="UC2" s="25" t="s">
        <v>1111</v>
      </c>
      <c r="UD2" s="25" t="s">
        <v>1110</v>
      </c>
      <c r="UE2" s="25" t="s">
        <v>1109</v>
      </c>
      <c r="UF2" s="25" t="s">
        <v>1108</v>
      </c>
      <c r="UG2" s="25" t="s">
        <v>1107</v>
      </c>
      <c r="UH2" s="25" t="s">
        <v>1106</v>
      </c>
      <c r="UI2" s="25" t="s">
        <v>1105</v>
      </c>
      <c r="UJ2" s="25" t="s">
        <v>1104</v>
      </c>
      <c r="UK2" s="25" t="s">
        <v>1103</v>
      </c>
      <c r="UL2" s="25" t="s">
        <v>1102</v>
      </c>
      <c r="UM2" s="25" t="s">
        <v>1101</v>
      </c>
      <c r="UN2" s="25" t="s">
        <v>1100</v>
      </c>
      <c r="UO2" s="25" t="s">
        <v>1099</v>
      </c>
      <c r="UP2" s="25" t="s">
        <v>1098</v>
      </c>
      <c r="UQ2" s="25" t="s">
        <v>1097</v>
      </c>
      <c r="UR2" s="25" t="s">
        <v>1096</v>
      </c>
      <c r="US2" s="25" t="s">
        <v>1095</v>
      </c>
      <c r="UT2" s="25" t="s">
        <v>1094</v>
      </c>
      <c r="UU2" s="25" t="s">
        <v>1093</v>
      </c>
      <c r="UV2" s="25" t="s">
        <v>1092</v>
      </c>
      <c r="UW2" s="25" t="s">
        <v>1091</v>
      </c>
      <c r="UX2" s="25" t="s">
        <v>1090</v>
      </c>
      <c r="UY2" s="25" t="s">
        <v>1089</v>
      </c>
      <c r="UZ2" s="25" t="s">
        <v>1088</v>
      </c>
      <c r="VA2" s="25" t="s">
        <v>1087</v>
      </c>
      <c r="VB2" s="25" t="s">
        <v>1086</v>
      </c>
      <c r="VC2" s="25" t="s">
        <v>1085</v>
      </c>
      <c r="VD2" s="25" t="s">
        <v>1084</v>
      </c>
      <c r="VE2" s="25" t="s">
        <v>1083</v>
      </c>
      <c r="VF2" s="25" t="s">
        <v>1082</v>
      </c>
      <c r="VG2" s="25" t="s">
        <v>1081</v>
      </c>
      <c r="VH2" s="25" t="s">
        <v>1080</v>
      </c>
      <c r="VI2" s="25" t="s">
        <v>1079</v>
      </c>
      <c r="VJ2" s="25" t="s">
        <v>1078</v>
      </c>
      <c r="VK2" s="25" t="s">
        <v>1077</v>
      </c>
      <c r="VL2" s="25" t="s">
        <v>1076</v>
      </c>
      <c r="VM2" s="25" t="s">
        <v>1075</v>
      </c>
      <c r="VN2" s="25" t="s">
        <v>1074</v>
      </c>
      <c r="VO2" s="25" t="s">
        <v>1073</v>
      </c>
      <c r="VP2" s="25" t="s">
        <v>1072</v>
      </c>
      <c r="VQ2" s="25" t="s">
        <v>1071</v>
      </c>
      <c r="VR2" s="25" t="s">
        <v>1070</v>
      </c>
      <c r="VS2" s="25" t="s">
        <v>1069</v>
      </c>
      <c r="VT2" s="25" t="s">
        <v>1068</v>
      </c>
      <c r="VU2" s="25" t="s">
        <v>1067</v>
      </c>
      <c r="VV2" s="25" t="s">
        <v>1066</v>
      </c>
      <c r="VW2" s="25" t="s">
        <v>1065</v>
      </c>
      <c r="VX2" s="25" t="s">
        <v>1064</v>
      </c>
      <c r="VY2" s="25" t="s">
        <v>1063</v>
      </c>
      <c r="VZ2" s="25" t="s">
        <v>1062</v>
      </c>
      <c r="WA2" s="25" t="s">
        <v>1061</v>
      </c>
      <c r="WB2" s="25" t="s">
        <v>1060</v>
      </c>
      <c r="WC2" s="25" t="s">
        <v>1059</v>
      </c>
      <c r="WD2" s="25" t="s">
        <v>1058</v>
      </c>
      <c r="WE2" s="25" t="s">
        <v>1057</v>
      </c>
      <c r="WF2" s="25" t="s">
        <v>1056</v>
      </c>
      <c r="WG2" s="25" t="s">
        <v>1055</v>
      </c>
      <c r="WH2" s="25" t="s">
        <v>1054</v>
      </c>
      <c r="WI2" s="25" t="s">
        <v>1053</v>
      </c>
      <c r="WJ2" s="25" t="s">
        <v>1052</v>
      </c>
      <c r="WK2" s="25" t="s">
        <v>1051</v>
      </c>
      <c r="WL2" s="25" t="s">
        <v>1050</v>
      </c>
      <c r="WM2" s="25" t="s">
        <v>1049</v>
      </c>
      <c r="WN2" s="25" t="s">
        <v>1048</v>
      </c>
      <c r="WO2" s="25" t="s">
        <v>1047</v>
      </c>
      <c r="WP2" s="25" t="s">
        <v>1046</v>
      </c>
      <c r="WQ2" s="25" t="s">
        <v>1045</v>
      </c>
      <c r="WR2" s="25" t="s">
        <v>1044</v>
      </c>
      <c r="WS2" s="25" t="s">
        <v>1043</v>
      </c>
      <c r="WT2" s="25" t="s">
        <v>1042</v>
      </c>
      <c r="WU2" s="25" t="s">
        <v>1041</v>
      </c>
      <c r="WV2" s="25" t="s">
        <v>1040</v>
      </c>
      <c r="WW2" s="25" t="s">
        <v>1039</v>
      </c>
      <c r="WX2" s="25" t="s">
        <v>1038</v>
      </c>
      <c r="WY2" s="25" t="s">
        <v>1037</v>
      </c>
      <c r="WZ2" s="25" t="s">
        <v>1036</v>
      </c>
      <c r="XA2" s="25" t="s">
        <v>1035</v>
      </c>
      <c r="XB2" s="25" t="s">
        <v>1034</v>
      </c>
      <c r="XC2" s="25" t="s">
        <v>1033</v>
      </c>
      <c r="XD2" s="25" t="s">
        <v>1032</v>
      </c>
      <c r="XE2" s="25" t="s">
        <v>1031</v>
      </c>
      <c r="XF2" s="25" t="s">
        <v>1030</v>
      </c>
      <c r="XG2" s="25" t="s">
        <v>1029</v>
      </c>
      <c r="XH2" s="25" t="s">
        <v>1028</v>
      </c>
      <c r="XI2" s="25" t="s">
        <v>1027</v>
      </c>
      <c r="XJ2" s="25" t="s">
        <v>1026</v>
      </c>
      <c r="XK2" s="25" t="s">
        <v>1025</v>
      </c>
      <c r="XL2" s="25" t="s">
        <v>1024</v>
      </c>
      <c r="XM2" s="25" t="s">
        <v>1023</v>
      </c>
      <c r="XN2" s="25" t="s">
        <v>1022</v>
      </c>
      <c r="XO2" s="25" t="s">
        <v>1021</v>
      </c>
      <c r="XP2" s="25" t="s">
        <v>1020</v>
      </c>
      <c r="XQ2" s="25" t="s">
        <v>1019</v>
      </c>
      <c r="XR2" s="25" t="s">
        <v>1018</v>
      </c>
      <c r="XS2" s="25" t="s">
        <v>1017</v>
      </c>
      <c r="XT2" s="25" t="s">
        <v>1016</v>
      </c>
      <c r="XU2" s="25" t="s">
        <v>1015</v>
      </c>
      <c r="XV2" s="25" t="s">
        <v>1014</v>
      </c>
      <c r="XW2" s="25" t="s">
        <v>1013</v>
      </c>
      <c r="XX2" s="25" t="s">
        <v>1012</v>
      </c>
      <c r="XY2" s="25" t="s">
        <v>1011</v>
      </c>
      <c r="XZ2" s="25" t="s">
        <v>1010</v>
      </c>
      <c r="YA2" s="25" t="s">
        <v>1009</v>
      </c>
      <c r="YB2" s="25" t="s">
        <v>1008</v>
      </c>
      <c r="YC2" s="25" t="s">
        <v>1007</v>
      </c>
      <c r="YD2" s="25" t="s">
        <v>1006</v>
      </c>
      <c r="YE2" s="25" t="s">
        <v>1005</v>
      </c>
      <c r="YF2" s="25" t="s">
        <v>1004</v>
      </c>
      <c r="YG2" s="25" t="s">
        <v>1003</v>
      </c>
      <c r="YH2" s="25" t="s">
        <v>1002</v>
      </c>
      <c r="YI2" s="25" t="s">
        <v>1001</v>
      </c>
      <c r="YJ2" s="25" t="s">
        <v>1000</v>
      </c>
      <c r="YK2" s="25" t="s">
        <v>999</v>
      </c>
      <c r="YL2" s="25" t="s">
        <v>998</v>
      </c>
      <c r="YM2" s="25" t="s">
        <v>997</v>
      </c>
      <c r="YN2" s="25" t="s">
        <v>996</v>
      </c>
      <c r="YO2" s="25" t="s">
        <v>995</v>
      </c>
      <c r="YP2" s="25" t="s">
        <v>994</v>
      </c>
      <c r="YQ2" s="25" t="s">
        <v>993</v>
      </c>
      <c r="YR2" s="25" t="s">
        <v>1621</v>
      </c>
      <c r="YS2" s="25"/>
      <c r="YT2" s="25"/>
      <c r="YU2" s="25"/>
      <c r="YV2" s="25"/>
      <c r="YW2" s="25"/>
      <c r="YX2" s="25"/>
      <c r="YZ2">
        <f>SUM(YZ5:YZ187)/1000</f>
        <v>14744.368649000002</v>
      </c>
    </row>
    <row r="3" spans="1:676" s="28" customFormat="1" ht="12" customHeight="1" x14ac:dyDescent="0.25">
      <c r="A3" s="26"/>
      <c r="B3" s="26"/>
      <c r="C3" s="26"/>
      <c r="D3" s="26"/>
      <c r="E3" s="38"/>
      <c r="F3" s="27" t="s">
        <v>187</v>
      </c>
      <c r="G3" s="27">
        <v>44931</v>
      </c>
      <c r="H3" s="27">
        <v>44931</v>
      </c>
      <c r="I3" s="27">
        <v>44937</v>
      </c>
      <c r="J3" s="27">
        <v>44944</v>
      </c>
      <c r="K3" s="27">
        <v>44950</v>
      </c>
      <c r="L3" s="27">
        <v>44962</v>
      </c>
      <c r="M3" s="27">
        <v>44967</v>
      </c>
      <c r="N3" s="27">
        <v>44967</v>
      </c>
      <c r="O3" s="27">
        <v>44968</v>
      </c>
      <c r="P3" s="27">
        <v>44969</v>
      </c>
      <c r="Q3" s="27">
        <v>44972</v>
      </c>
      <c r="R3" s="27">
        <v>44973</v>
      </c>
      <c r="S3" s="27">
        <v>44975</v>
      </c>
      <c r="T3" s="27">
        <v>44976</v>
      </c>
      <c r="U3" s="27">
        <v>44976</v>
      </c>
      <c r="V3" s="34">
        <v>44976</v>
      </c>
      <c r="W3" s="34">
        <v>44980</v>
      </c>
      <c r="X3" s="34">
        <v>44983</v>
      </c>
      <c r="Y3" s="34">
        <v>44983</v>
      </c>
      <c r="Z3" s="34">
        <v>44983</v>
      </c>
      <c r="AA3" s="34">
        <v>44984</v>
      </c>
      <c r="AB3" s="34">
        <v>44985</v>
      </c>
      <c r="AC3" s="34">
        <v>44985</v>
      </c>
      <c r="AD3" s="34">
        <v>44985</v>
      </c>
      <c r="AE3" s="34">
        <v>44988</v>
      </c>
      <c r="AF3" s="34">
        <v>44990</v>
      </c>
      <c r="AG3" s="34">
        <v>44990</v>
      </c>
      <c r="AH3" s="34">
        <v>44990</v>
      </c>
      <c r="AI3" s="34">
        <v>44990</v>
      </c>
      <c r="AJ3" s="34">
        <v>44991</v>
      </c>
      <c r="AK3" s="34">
        <v>44963</v>
      </c>
      <c r="AL3" s="34">
        <v>44992</v>
      </c>
      <c r="AM3" s="34">
        <v>44992</v>
      </c>
      <c r="AN3" s="34">
        <v>44992</v>
      </c>
      <c r="AO3" s="34">
        <v>44993</v>
      </c>
      <c r="AP3" s="34">
        <v>44994</v>
      </c>
      <c r="AQ3" s="34">
        <v>44994</v>
      </c>
      <c r="AR3" s="34">
        <v>44995</v>
      </c>
      <c r="AS3" s="34">
        <v>44997</v>
      </c>
      <c r="AT3" s="34">
        <v>44997</v>
      </c>
      <c r="AU3" s="34">
        <v>44999</v>
      </c>
      <c r="AV3" s="34">
        <v>44999</v>
      </c>
      <c r="AW3" s="34">
        <v>45000</v>
      </c>
      <c r="AX3" s="27">
        <v>45001</v>
      </c>
      <c r="AY3" s="27">
        <v>45003</v>
      </c>
      <c r="AZ3" s="27">
        <v>45004</v>
      </c>
      <c r="BA3" s="27">
        <v>45005</v>
      </c>
      <c r="BB3" s="27">
        <v>45005</v>
      </c>
      <c r="BC3" s="27">
        <v>45006</v>
      </c>
      <c r="BD3" s="27">
        <v>45007</v>
      </c>
      <c r="BE3" s="27">
        <v>45007</v>
      </c>
      <c r="BF3" s="27">
        <v>45010</v>
      </c>
      <c r="BG3" s="27">
        <v>45010</v>
      </c>
      <c r="BH3" s="27">
        <v>45011</v>
      </c>
      <c r="BI3" s="27">
        <v>45011</v>
      </c>
      <c r="BJ3" s="27">
        <v>45012</v>
      </c>
      <c r="BK3" s="27">
        <v>45012</v>
      </c>
      <c r="BL3" s="27">
        <v>45012</v>
      </c>
      <c r="BM3" s="27">
        <v>45014</v>
      </c>
      <c r="BN3" s="27">
        <v>45015</v>
      </c>
      <c r="BO3" s="27">
        <v>45018</v>
      </c>
      <c r="BP3" s="27">
        <v>45018</v>
      </c>
      <c r="BQ3" s="27">
        <v>45018</v>
      </c>
      <c r="BR3" s="27">
        <v>45018</v>
      </c>
      <c r="BS3" s="27">
        <v>45020</v>
      </c>
      <c r="BT3" s="27">
        <v>45020</v>
      </c>
      <c r="BU3" s="27">
        <v>45020</v>
      </c>
      <c r="BV3" s="27">
        <v>45021</v>
      </c>
      <c r="BW3" s="27">
        <v>45022</v>
      </c>
      <c r="BX3" s="27">
        <v>45024</v>
      </c>
      <c r="BY3" s="27">
        <v>45024</v>
      </c>
      <c r="BZ3" s="27">
        <v>45025</v>
      </c>
      <c r="CA3" s="27">
        <v>45025</v>
      </c>
      <c r="CB3" s="27">
        <v>45026</v>
      </c>
      <c r="CC3" s="27">
        <v>45027</v>
      </c>
      <c r="CD3" s="27">
        <v>45027</v>
      </c>
      <c r="CE3" s="27">
        <v>45028</v>
      </c>
      <c r="CF3" s="27">
        <v>45028</v>
      </c>
      <c r="CG3" s="27">
        <v>45028</v>
      </c>
      <c r="CH3" s="27">
        <v>45029</v>
      </c>
      <c r="CI3" s="27">
        <v>45029</v>
      </c>
      <c r="CJ3" s="27">
        <v>45031</v>
      </c>
      <c r="CK3" s="27">
        <v>45031</v>
      </c>
      <c r="CL3" s="27">
        <v>45031</v>
      </c>
      <c r="CM3" s="27">
        <v>45031</v>
      </c>
      <c r="CN3" s="27">
        <v>45031</v>
      </c>
      <c r="CO3" s="27">
        <v>45032</v>
      </c>
      <c r="CP3" s="27">
        <v>45032</v>
      </c>
      <c r="CQ3" s="27">
        <v>45032</v>
      </c>
      <c r="CR3" s="27">
        <v>45032</v>
      </c>
      <c r="CS3" s="27">
        <v>45033</v>
      </c>
      <c r="CT3" s="27">
        <v>45033</v>
      </c>
      <c r="CU3" s="27">
        <v>45034</v>
      </c>
      <c r="CV3" s="27">
        <v>45034</v>
      </c>
      <c r="CW3" s="27">
        <v>45034</v>
      </c>
      <c r="CX3" s="27">
        <v>45034</v>
      </c>
      <c r="CY3" s="27">
        <v>45035</v>
      </c>
      <c r="CZ3" s="27">
        <v>45035</v>
      </c>
      <c r="DA3" s="27">
        <v>45035</v>
      </c>
      <c r="DB3" s="27">
        <v>45041</v>
      </c>
      <c r="DC3" s="27">
        <v>45041</v>
      </c>
      <c r="DD3" s="27">
        <v>45041</v>
      </c>
      <c r="DE3" s="27">
        <v>45043</v>
      </c>
      <c r="DF3" s="27">
        <v>45045</v>
      </c>
      <c r="DG3" s="27">
        <v>45046</v>
      </c>
      <c r="DH3" s="27">
        <v>45046</v>
      </c>
      <c r="DI3" s="27">
        <v>45046</v>
      </c>
      <c r="DJ3" s="27">
        <v>45047</v>
      </c>
      <c r="DK3" s="27">
        <v>45048</v>
      </c>
      <c r="DL3" s="27">
        <v>45050</v>
      </c>
      <c r="DM3" s="27">
        <v>45050</v>
      </c>
      <c r="DN3" s="27">
        <v>45052</v>
      </c>
      <c r="DO3" s="27">
        <v>45052</v>
      </c>
      <c r="DP3" s="27">
        <v>45053</v>
      </c>
      <c r="DQ3" s="27">
        <v>45053</v>
      </c>
      <c r="DR3" s="27">
        <v>45054</v>
      </c>
      <c r="DS3" s="27">
        <v>45055</v>
      </c>
      <c r="DT3" s="27">
        <v>45057</v>
      </c>
      <c r="DU3" s="27">
        <v>45059</v>
      </c>
      <c r="DV3" s="27">
        <v>45059</v>
      </c>
      <c r="DW3" s="27">
        <v>45060</v>
      </c>
      <c r="DX3" s="27">
        <v>45060</v>
      </c>
      <c r="DY3" s="27">
        <v>45063</v>
      </c>
      <c r="DZ3" s="27">
        <v>45063</v>
      </c>
      <c r="EA3" s="27">
        <v>45064</v>
      </c>
      <c r="EB3" s="27">
        <v>45066</v>
      </c>
      <c r="EC3" s="27">
        <v>45066</v>
      </c>
      <c r="ED3" s="27">
        <v>45067</v>
      </c>
      <c r="EE3" s="27">
        <v>45067</v>
      </c>
      <c r="EF3" s="27">
        <v>45070</v>
      </c>
      <c r="EG3" s="27">
        <v>45071</v>
      </c>
      <c r="EH3" s="27">
        <v>45071</v>
      </c>
      <c r="EI3" s="27">
        <v>45074</v>
      </c>
      <c r="EJ3" s="27">
        <v>45074</v>
      </c>
      <c r="EK3" s="27">
        <v>45074</v>
      </c>
      <c r="EL3" s="27">
        <v>45074</v>
      </c>
      <c r="EM3" s="27">
        <v>45075</v>
      </c>
      <c r="EN3" s="27">
        <v>45076</v>
      </c>
      <c r="EO3" s="27">
        <v>45077</v>
      </c>
      <c r="EP3" s="27">
        <v>45078</v>
      </c>
      <c r="EQ3" s="27">
        <v>45078</v>
      </c>
      <c r="ER3" s="27">
        <v>45078</v>
      </c>
      <c r="ES3" s="27">
        <v>45082</v>
      </c>
      <c r="ET3" s="27">
        <v>45084</v>
      </c>
      <c r="EU3" s="27">
        <v>45087</v>
      </c>
      <c r="EV3" s="27">
        <v>45087</v>
      </c>
      <c r="EW3" s="27">
        <v>45090</v>
      </c>
      <c r="EX3" s="27">
        <v>45092</v>
      </c>
      <c r="EY3" s="27">
        <v>45096</v>
      </c>
      <c r="EZ3" s="27">
        <v>45101</v>
      </c>
      <c r="FA3" s="27">
        <v>45108</v>
      </c>
      <c r="FB3" s="27">
        <v>45108</v>
      </c>
      <c r="FC3" s="27">
        <v>45111</v>
      </c>
      <c r="FD3" s="27">
        <v>45113</v>
      </c>
      <c r="FE3" s="27">
        <v>45113</v>
      </c>
      <c r="FF3" s="27">
        <v>45116</v>
      </c>
      <c r="FG3" s="27">
        <v>45117</v>
      </c>
      <c r="FH3" s="27">
        <v>45118</v>
      </c>
      <c r="FI3" s="27">
        <v>45119</v>
      </c>
      <c r="FJ3" s="27">
        <v>45119</v>
      </c>
      <c r="FK3" s="27">
        <v>45119</v>
      </c>
      <c r="FL3" s="27">
        <v>45122</v>
      </c>
      <c r="FM3" s="27">
        <v>45123</v>
      </c>
      <c r="FN3" s="27">
        <v>45125</v>
      </c>
      <c r="FO3" s="27">
        <v>45126</v>
      </c>
      <c r="FP3" s="27">
        <v>45127</v>
      </c>
      <c r="FQ3" s="27">
        <v>45129</v>
      </c>
      <c r="FR3" s="27">
        <v>45129</v>
      </c>
      <c r="FS3" s="27">
        <v>45130</v>
      </c>
      <c r="FT3" s="27">
        <v>45131</v>
      </c>
      <c r="FU3" s="27">
        <v>45132</v>
      </c>
      <c r="FV3" s="27">
        <v>45136</v>
      </c>
      <c r="FW3" s="27">
        <v>45136</v>
      </c>
      <c r="FX3" s="27">
        <v>45136</v>
      </c>
      <c r="FY3" s="27">
        <v>45137</v>
      </c>
      <c r="FZ3" s="27">
        <v>45138</v>
      </c>
      <c r="GA3" s="27">
        <v>45139</v>
      </c>
      <c r="GB3" s="27">
        <v>45140</v>
      </c>
      <c r="GC3" s="27">
        <v>45143</v>
      </c>
      <c r="GD3" s="27">
        <v>45146</v>
      </c>
      <c r="GE3" s="27">
        <v>45155</v>
      </c>
      <c r="GF3" s="27">
        <v>45157</v>
      </c>
      <c r="GG3" s="27">
        <v>45158</v>
      </c>
      <c r="GH3" s="27">
        <v>45161</v>
      </c>
      <c r="GI3" s="27">
        <v>45163</v>
      </c>
      <c r="GJ3" s="27">
        <v>45169</v>
      </c>
      <c r="GK3" s="27">
        <v>45169</v>
      </c>
      <c r="GL3" s="27">
        <v>45171</v>
      </c>
      <c r="GM3" s="27">
        <v>45171</v>
      </c>
      <c r="GN3" s="27">
        <v>45173</v>
      </c>
      <c r="GO3" s="27">
        <v>45176</v>
      </c>
      <c r="GP3" s="27">
        <v>45180</v>
      </c>
      <c r="GQ3" s="27">
        <v>45182</v>
      </c>
      <c r="GR3" s="27">
        <v>45182</v>
      </c>
      <c r="GS3" s="27">
        <v>45183</v>
      </c>
      <c r="GT3" s="27">
        <v>45184</v>
      </c>
      <c r="GU3" s="27">
        <v>45185</v>
      </c>
      <c r="GV3" s="27">
        <v>45185</v>
      </c>
      <c r="GW3" s="27">
        <v>45186</v>
      </c>
      <c r="GX3" s="27">
        <v>45187</v>
      </c>
      <c r="GY3" s="27">
        <v>45187</v>
      </c>
      <c r="GZ3" s="27">
        <v>45187</v>
      </c>
      <c r="HA3" s="27">
        <v>45188</v>
      </c>
      <c r="HB3" s="27">
        <v>45188</v>
      </c>
      <c r="HC3" s="27">
        <v>45188</v>
      </c>
      <c r="HD3" s="27">
        <v>45188</v>
      </c>
      <c r="HE3" s="27">
        <v>45188</v>
      </c>
      <c r="HF3" s="27">
        <v>45188</v>
      </c>
      <c r="HG3" s="27">
        <v>45188</v>
      </c>
      <c r="HH3" s="27">
        <v>45188</v>
      </c>
      <c r="HI3" s="27">
        <v>45190</v>
      </c>
      <c r="HJ3" s="27">
        <v>45193</v>
      </c>
      <c r="HK3" s="27">
        <v>45196</v>
      </c>
      <c r="HL3" s="27">
        <v>45198</v>
      </c>
      <c r="HM3" s="27">
        <v>45200</v>
      </c>
      <c r="HN3" s="27">
        <v>45203</v>
      </c>
      <c r="HO3" s="27">
        <v>45204</v>
      </c>
      <c r="HP3" s="27">
        <v>45205</v>
      </c>
      <c r="HQ3" s="27">
        <v>45205</v>
      </c>
      <c r="HR3" s="27">
        <v>45205</v>
      </c>
      <c r="HS3" s="27">
        <v>45206</v>
      </c>
      <c r="HT3" s="27">
        <v>45206</v>
      </c>
      <c r="HU3" s="27">
        <v>45207</v>
      </c>
      <c r="HV3" s="27">
        <v>45207</v>
      </c>
      <c r="HW3" s="27">
        <v>45207</v>
      </c>
      <c r="HX3" s="27">
        <v>45210</v>
      </c>
      <c r="HY3" s="27">
        <v>45211</v>
      </c>
      <c r="HZ3" s="27">
        <v>45211</v>
      </c>
      <c r="IA3" s="27">
        <v>45212</v>
      </c>
      <c r="IB3" s="27">
        <v>45212</v>
      </c>
      <c r="IC3" s="27">
        <v>45213</v>
      </c>
      <c r="ID3" s="27">
        <v>45213</v>
      </c>
      <c r="IE3" s="27">
        <v>45214</v>
      </c>
      <c r="IF3" s="27">
        <v>45214</v>
      </c>
      <c r="IG3" s="27">
        <v>45216</v>
      </c>
      <c r="IH3" s="27">
        <v>45217</v>
      </c>
      <c r="II3" s="27">
        <v>45218</v>
      </c>
      <c r="IJ3" s="27">
        <v>45218</v>
      </c>
      <c r="IK3" s="27">
        <v>45220</v>
      </c>
      <c r="IL3" s="27">
        <v>45222</v>
      </c>
      <c r="IM3" s="27">
        <v>45223</v>
      </c>
      <c r="IN3" s="27">
        <v>45225</v>
      </c>
      <c r="IO3" s="27">
        <v>45226</v>
      </c>
      <c r="IP3" s="27">
        <v>45228</v>
      </c>
      <c r="IQ3" s="27">
        <v>45228</v>
      </c>
      <c r="IR3" s="27">
        <v>45230</v>
      </c>
      <c r="IS3" s="27">
        <v>45232</v>
      </c>
      <c r="IT3" s="27">
        <v>45236</v>
      </c>
      <c r="IU3" s="27">
        <v>45238</v>
      </c>
      <c r="IV3" s="27">
        <v>45239</v>
      </c>
      <c r="IW3" s="27">
        <v>45239</v>
      </c>
      <c r="IX3" s="27">
        <v>45244</v>
      </c>
      <c r="IY3" s="27">
        <v>45244</v>
      </c>
      <c r="IZ3" s="27">
        <v>45246</v>
      </c>
      <c r="JA3" s="27">
        <v>45246</v>
      </c>
      <c r="JB3" s="27">
        <v>45246</v>
      </c>
      <c r="JC3" s="27">
        <v>45247</v>
      </c>
      <c r="JD3" s="27">
        <v>45247</v>
      </c>
      <c r="JE3" s="27">
        <v>45247</v>
      </c>
      <c r="JF3" s="27">
        <v>45247</v>
      </c>
      <c r="JG3" s="27">
        <v>45248</v>
      </c>
      <c r="JH3" s="27">
        <v>45249</v>
      </c>
      <c r="JI3" s="27">
        <v>45249</v>
      </c>
      <c r="JJ3" s="27">
        <v>45251</v>
      </c>
      <c r="JK3" s="27">
        <v>45252</v>
      </c>
      <c r="JL3" s="27">
        <v>45253</v>
      </c>
      <c r="JM3" s="27">
        <v>45253</v>
      </c>
      <c r="JN3" s="27">
        <v>45256</v>
      </c>
      <c r="JO3" s="27">
        <v>45257</v>
      </c>
      <c r="JP3" s="27">
        <v>45257</v>
      </c>
      <c r="JQ3" s="27">
        <v>45258</v>
      </c>
      <c r="JR3" s="27">
        <v>45259</v>
      </c>
      <c r="JS3" s="27">
        <v>45259</v>
      </c>
      <c r="JT3" s="27">
        <v>45260</v>
      </c>
      <c r="JU3" s="27">
        <v>45261</v>
      </c>
      <c r="JV3" s="27">
        <v>45262</v>
      </c>
      <c r="JW3" s="27">
        <v>45262</v>
      </c>
      <c r="JX3" s="27">
        <v>45263</v>
      </c>
      <c r="JY3" s="27">
        <v>45263</v>
      </c>
      <c r="JZ3" s="27">
        <v>45264</v>
      </c>
      <c r="KA3" s="27">
        <v>45265</v>
      </c>
      <c r="KB3" s="27">
        <v>45267</v>
      </c>
      <c r="KC3" s="27">
        <v>45269</v>
      </c>
      <c r="KD3" s="27">
        <v>45270</v>
      </c>
      <c r="KE3" s="27">
        <v>45272</v>
      </c>
      <c r="KF3" s="27">
        <v>45274</v>
      </c>
      <c r="KG3" s="27">
        <v>45274</v>
      </c>
      <c r="KH3" s="27">
        <v>45274</v>
      </c>
      <c r="KI3" s="27">
        <v>45274</v>
      </c>
      <c r="KJ3" s="27">
        <v>45275</v>
      </c>
      <c r="KK3" s="27">
        <v>45277</v>
      </c>
      <c r="KL3" s="27">
        <v>45279</v>
      </c>
      <c r="KM3" s="27">
        <v>45279</v>
      </c>
      <c r="KN3" s="27">
        <v>45281</v>
      </c>
      <c r="KO3" s="27">
        <v>45283</v>
      </c>
      <c r="KP3" s="27">
        <v>45283</v>
      </c>
      <c r="KQ3" s="27">
        <v>45283</v>
      </c>
      <c r="KR3" s="27">
        <v>45284</v>
      </c>
      <c r="KS3" s="27">
        <v>45284</v>
      </c>
      <c r="KT3" s="27">
        <v>45286</v>
      </c>
      <c r="KU3" s="27">
        <v>45287</v>
      </c>
      <c r="KV3" s="27">
        <v>45287</v>
      </c>
      <c r="KW3" s="27">
        <v>45288</v>
      </c>
      <c r="KX3" s="27">
        <v>45290</v>
      </c>
      <c r="KY3" s="27">
        <v>45291</v>
      </c>
      <c r="KZ3" s="27">
        <v>45294</v>
      </c>
      <c r="LA3" s="27">
        <v>45298</v>
      </c>
      <c r="LB3" s="27">
        <v>45299</v>
      </c>
      <c r="LC3" s="27">
        <v>45303</v>
      </c>
      <c r="LD3" s="27">
        <v>45303</v>
      </c>
      <c r="LE3" s="27">
        <v>45309</v>
      </c>
      <c r="LF3" s="27">
        <v>45309</v>
      </c>
      <c r="LG3" s="27">
        <v>45312</v>
      </c>
      <c r="LH3" s="27">
        <v>45314</v>
      </c>
      <c r="LI3" s="27">
        <v>45316</v>
      </c>
      <c r="LJ3" s="27">
        <v>45317</v>
      </c>
      <c r="LK3" s="27">
        <v>45321</v>
      </c>
      <c r="LL3" s="27">
        <v>45323</v>
      </c>
      <c r="LM3" s="27">
        <v>45329</v>
      </c>
      <c r="LN3" s="27">
        <v>45330</v>
      </c>
      <c r="LO3" s="27">
        <v>45337</v>
      </c>
      <c r="LP3" s="27">
        <v>45338</v>
      </c>
      <c r="LQ3" s="27">
        <v>45339</v>
      </c>
      <c r="LR3" s="27">
        <v>45342</v>
      </c>
      <c r="LS3" s="27">
        <v>45344</v>
      </c>
      <c r="LT3" s="27">
        <v>45346</v>
      </c>
      <c r="LU3" s="27">
        <v>45347</v>
      </c>
      <c r="LV3" s="27">
        <v>45348</v>
      </c>
      <c r="LW3" s="27">
        <v>45350</v>
      </c>
      <c r="LX3" s="27">
        <v>45350</v>
      </c>
      <c r="LY3" s="27">
        <v>45351</v>
      </c>
      <c r="LZ3" s="27">
        <v>45356</v>
      </c>
      <c r="MA3" s="27">
        <v>45361</v>
      </c>
      <c r="MB3" s="27">
        <v>45364</v>
      </c>
      <c r="MC3" s="27">
        <v>45367</v>
      </c>
      <c r="MD3" s="27">
        <v>45370</v>
      </c>
      <c r="ME3" s="27">
        <v>45372</v>
      </c>
      <c r="MF3" s="27">
        <v>45378</v>
      </c>
      <c r="MG3" s="27">
        <v>45380</v>
      </c>
      <c r="MH3" s="27">
        <v>45385</v>
      </c>
      <c r="MI3" s="27">
        <v>45388</v>
      </c>
      <c r="MJ3" s="27">
        <v>45395</v>
      </c>
      <c r="MK3" s="27">
        <v>45397</v>
      </c>
      <c r="ML3" s="27">
        <v>45397</v>
      </c>
      <c r="MM3" s="27">
        <v>45400</v>
      </c>
      <c r="MN3" s="27">
        <v>45402</v>
      </c>
      <c r="MO3" s="27">
        <v>45406</v>
      </c>
      <c r="MP3" s="27">
        <v>45418</v>
      </c>
      <c r="MQ3" s="27">
        <v>45419</v>
      </c>
      <c r="MR3" s="27">
        <v>45437</v>
      </c>
      <c r="MS3" s="27">
        <v>45445</v>
      </c>
      <c r="MT3" s="27">
        <v>45449</v>
      </c>
      <c r="MU3" s="27">
        <v>45451</v>
      </c>
      <c r="MV3" s="27">
        <v>45455</v>
      </c>
      <c r="MW3" s="27">
        <v>45456</v>
      </c>
      <c r="MX3" s="27">
        <v>45462</v>
      </c>
      <c r="MY3" s="27">
        <v>45466</v>
      </c>
      <c r="MZ3" s="27">
        <v>45472</v>
      </c>
      <c r="NA3" s="27">
        <v>45474</v>
      </c>
      <c r="NB3" s="27">
        <v>45480</v>
      </c>
      <c r="NC3" s="27">
        <v>45482</v>
      </c>
      <c r="ND3" s="27">
        <v>45484</v>
      </c>
      <c r="NE3" s="27">
        <v>45484</v>
      </c>
      <c r="NF3" s="27">
        <v>45487</v>
      </c>
      <c r="NG3" s="27">
        <v>45488</v>
      </c>
      <c r="NH3" s="27">
        <v>45489</v>
      </c>
      <c r="NI3" s="27">
        <v>45490</v>
      </c>
      <c r="NJ3" s="27">
        <v>45493</v>
      </c>
      <c r="NK3" s="27">
        <v>45498</v>
      </c>
      <c r="NL3" s="27">
        <v>45503</v>
      </c>
      <c r="NM3" s="27">
        <v>45504</v>
      </c>
      <c r="NN3" s="27">
        <v>45507</v>
      </c>
      <c r="NO3" s="27">
        <v>45511</v>
      </c>
      <c r="NP3" s="27">
        <v>45515</v>
      </c>
      <c r="NQ3" s="27">
        <v>45517</v>
      </c>
      <c r="NR3" s="27">
        <v>45517</v>
      </c>
      <c r="NS3" s="27">
        <v>45518</v>
      </c>
      <c r="NT3" s="27">
        <v>45528</v>
      </c>
      <c r="NU3" s="27">
        <v>45538</v>
      </c>
      <c r="NV3" s="27">
        <v>45542</v>
      </c>
      <c r="NW3" s="27">
        <v>45550</v>
      </c>
      <c r="NX3" s="27">
        <v>45554</v>
      </c>
      <c r="NY3" s="27">
        <v>45562</v>
      </c>
      <c r="NZ3" s="27">
        <v>45565</v>
      </c>
      <c r="OA3" s="27">
        <v>45573</v>
      </c>
      <c r="OB3" s="27">
        <v>45577</v>
      </c>
      <c r="OC3" s="27">
        <v>45586</v>
      </c>
      <c r="OD3" s="27">
        <v>45588</v>
      </c>
      <c r="OE3" s="27">
        <v>45591</v>
      </c>
      <c r="OF3" s="27">
        <v>45599</v>
      </c>
      <c r="OG3" s="27">
        <v>45601</v>
      </c>
      <c r="OH3" s="27">
        <v>45603</v>
      </c>
      <c r="OI3" s="27">
        <v>45605</v>
      </c>
      <c r="OJ3" s="27">
        <v>45628</v>
      </c>
      <c r="OK3" s="27">
        <v>45631</v>
      </c>
      <c r="OL3" s="27">
        <v>45640</v>
      </c>
      <c r="OM3" s="27">
        <v>45641</v>
      </c>
      <c r="ON3" s="27">
        <v>45645</v>
      </c>
      <c r="OO3" s="27">
        <v>45650</v>
      </c>
      <c r="OP3" s="27">
        <v>45651</v>
      </c>
      <c r="OQ3" s="27">
        <v>45700</v>
      </c>
      <c r="OR3" s="27">
        <v>45706</v>
      </c>
      <c r="OS3" s="27">
        <v>45708</v>
      </c>
      <c r="OT3" s="27">
        <v>45719</v>
      </c>
      <c r="OU3" s="27">
        <v>45802</v>
      </c>
      <c r="OV3" s="27">
        <v>45853</v>
      </c>
      <c r="OW3" s="27">
        <v>45855</v>
      </c>
      <c r="OX3" s="27">
        <v>45580</v>
      </c>
      <c r="OY3" s="27">
        <v>45581</v>
      </c>
      <c r="OZ3" s="27">
        <v>45582</v>
      </c>
      <c r="PA3" s="27">
        <v>44958</v>
      </c>
      <c r="PB3" s="27">
        <v>44958</v>
      </c>
      <c r="PC3" s="27">
        <v>44961</v>
      </c>
      <c r="PD3" s="27">
        <v>44971</v>
      </c>
      <c r="PE3" s="27">
        <v>44973</v>
      </c>
      <c r="PF3" s="27">
        <v>44975</v>
      </c>
      <c r="PG3" s="27">
        <v>44975</v>
      </c>
      <c r="PH3" s="27">
        <v>44978</v>
      </c>
      <c r="PI3" s="27">
        <v>44983</v>
      </c>
      <c r="PJ3" s="27">
        <v>44985</v>
      </c>
      <c r="PK3" s="27">
        <v>44985</v>
      </c>
      <c r="PL3" s="27">
        <v>44991</v>
      </c>
      <c r="PM3" s="27">
        <v>44993</v>
      </c>
      <c r="PN3" s="27">
        <v>44993</v>
      </c>
      <c r="PO3" s="27">
        <v>44996</v>
      </c>
      <c r="PP3" s="27">
        <v>44998</v>
      </c>
      <c r="PQ3" s="27">
        <v>44999</v>
      </c>
      <c r="PR3" s="27">
        <v>45001</v>
      </c>
      <c r="PS3" s="27">
        <v>45005</v>
      </c>
      <c r="PT3" s="27">
        <v>45006</v>
      </c>
      <c r="PU3" s="27">
        <v>45008</v>
      </c>
      <c r="PV3" s="27">
        <v>45008</v>
      </c>
      <c r="PW3" s="27">
        <v>45010</v>
      </c>
      <c r="PX3" s="27">
        <v>45013</v>
      </c>
      <c r="PY3" s="27">
        <v>45016</v>
      </c>
      <c r="PZ3" s="27">
        <v>45017</v>
      </c>
      <c r="QA3" s="27">
        <v>45018</v>
      </c>
      <c r="QB3" s="27">
        <v>45019</v>
      </c>
      <c r="QC3" s="27">
        <v>45022</v>
      </c>
      <c r="QD3" s="27">
        <v>45025</v>
      </c>
      <c r="QE3" s="27">
        <v>45025</v>
      </c>
      <c r="QF3" s="27">
        <v>45025</v>
      </c>
      <c r="QG3" s="27">
        <v>45025</v>
      </c>
      <c r="QH3" s="27">
        <v>45030</v>
      </c>
      <c r="QI3" s="27">
        <v>45032</v>
      </c>
      <c r="QJ3" s="27">
        <v>45041</v>
      </c>
      <c r="QK3" s="27">
        <v>45043</v>
      </c>
      <c r="QL3" s="27">
        <v>45043</v>
      </c>
      <c r="QM3" s="27">
        <v>45043</v>
      </c>
      <c r="QN3" s="27">
        <v>45046</v>
      </c>
      <c r="QO3" s="27">
        <v>45043</v>
      </c>
      <c r="QP3" s="27">
        <v>45053</v>
      </c>
      <c r="QQ3" s="27">
        <v>45064</v>
      </c>
      <c r="QR3" s="27">
        <v>45071</v>
      </c>
      <c r="QS3" s="27">
        <v>45078</v>
      </c>
      <c r="QT3" s="27">
        <v>45085</v>
      </c>
      <c r="QU3" s="27">
        <v>45102</v>
      </c>
      <c r="QV3" s="27">
        <v>45111</v>
      </c>
      <c r="QW3" s="27">
        <v>45133</v>
      </c>
      <c r="QX3" s="27">
        <v>45140</v>
      </c>
      <c r="QY3" s="27">
        <v>45143</v>
      </c>
      <c r="QZ3" s="27">
        <v>45143</v>
      </c>
      <c r="RA3" s="27">
        <v>45146</v>
      </c>
      <c r="RB3" s="27">
        <v>45147</v>
      </c>
      <c r="RC3" s="27">
        <v>45150</v>
      </c>
      <c r="RD3" s="27">
        <v>45158</v>
      </c>
      <c r="RE3" s="27">
        <v>45160</v>
      </c>
      <c r="RF3" s="27">
        <v>45164</v>
      </c>
      <c r="RG3" s="27">
        <v>45166</v>
      </c>
      <c r="RH3" s="27">
        <v>45168</v>
      </c>
      <c r="RI3" s="27">
        <v>45171</v>
      </c>
      <c r="RJ3" s="27">
        <v>45178</v>
      </c>
      <c r="RK3" s="27">
        <v>45178</v>
      </c>
      <c r="RL3" s="27">
        <v>45181</v>
      </c>
      <c r="RM3" s="27">
        <v>45184</v>
      </c>
      <c r="RN3" s="27">
        <v>45185</v>
      </c>
      <c r="RO3" s="27">
        <v>45188</v>
      </c>
      <c r="RP3" s="27">
        <v>45189</v>
      </c>
      <c r="RQ3" s="27">
        <v>45191</v>
      </c>
      <c r="RR3" s="27">
        <v>45192</v>
      </c>
      <c r="RS3" s="27">
        <v>45198</v>
      </c>
      <c r="RT3" s="27">
        <v>45200</v>
      </c>
      <c r="RU3" s="27">
        <v>45202</v>
      </c>
      <c r="RV3" s="27">
        <v>45204</v>
      </c>
      <c r="RW3" s="27">
        <v>45206</v>
      </c>
      <c r="RX3" s="27">
        <v>45206</v>
      </c>
      <c r="RY3" s="27">
        <v>45206</v>
      </c>
      <c r="RZ3" s="27">
        <v>45208</v>
      </c>
      <c r="SA3" s="27">
        <v>45208</v>
      </c>
      <c r="SB3" s="27">
        <v>45210</v>
      </c>
      <c r="SC3" s="27">
        <v>45210</v>
      </c>
      <c r="SD3" s="27">
        <v>45210</v>
      </c>
      <c r="SE3" s="27">
        <v>45212</v>
      </c>
      <c r="SF3" s="27">
        <v>45212</v>
      </c>
      <c r="SG3" s="27">
        <v>45212</v>
      </c>
      <c r="SH3" s="27">
        <v>45211</v>
      </c>
      <c r="SI3" s="27">
        <v>45211</v>
      </c>
      <c r="SJ3" s="27">
        <v>45211</v>
      </c>
      <c r="SK3" s="27">
        <v>45211</v>
      </c>
      <c r="SL3" s="27">
        <v>45213</v>
      </c>
      <c r="SM3" s="27">
        <v>45214</v>
      </c>
      <c r="SN3" s="27">
        <v>45214</v>
      </c>
      <c r="SO3" s="27">
        <v>45215</v>
      </c>
      <c r="SP3" s="27">
        <v>45216</v>
      </c>
      <c r="SQ3" s="27">
        <v>45219</v>
      </c>
      <c r="SR3" s="27">
        <v>45219</v>
      </c>
      <c r="SS3" s="27">
        <v>45219</v>
      </c>
      <c r="ST3" s="27">
        <v>45220</v>
      </c>
      <c r="SU3" s="27">
        <v>45221</v>
      </c>
      <c r="SV3" s="27">
        <v>45222</v>
      </c>
      <c r="SW3" s="27">
        <v>45219</v>
      </c>
      <c r="SX3" s="27">
        <v>45222</v>
      </c>
      <c r="SY3" s="27">
        <v>45220</v>
      </c>
      <c r="SZ3" s="27">
        <v>45224</v>
      </c>
      <c r="TA3" s="27">
        <v>45224</v>
      </c>
      <c r="TB3" s="27">
        <v>46658</v>
      </c>
      <c r="TC3" s="27">
        <v>45532</v>
      </c>
      <c r="TD3" s="27">
        <v>45528</v>
      </c>
      <c r="TE3" s="27">
        <v>45519</v>
      </c>
      <c r="TF3" s="27">
        <v>45504</v>
      </c>
      <c r="TG3" s="27">
        <v>45492</v>
      </c>
      <c r="TH3" s="27">
        <v>45484</v>
      </c>
      <c r="TI3" s="27">
        <v>45479</v>
      </c>
      <c r="TJ3" s="27">
        <v>45472</v>
      </c>
      <c r="TK3" s="27">
        <v>45456</v>
      </c>
      <c r="TL3" s="27">
        <v>45445</v>
      </c>
      <c r="TM3" s="27">
        <v>45437</v>
      </c>
      <c r="TN3" s="27">
        <v>45435</v>
      </c>
      <c r="TO3" s="27">
        <v>45430</v>
      </c>
      <c r="TP3" s="27">
        <v>45422</v>
      </c>
      <c r="TQ3" s="27">
        <v>45402</v>
      </c>
      <c r="TR3" s="27">
        <v>45399</v>
      </c>
      <c r="TS3" s="27">
        <v>45391</v>
      </c>
      <c r="TT3" s="27">
        <v>45384</v>
      </c>
      <c r="TU3" s="27">
        <v>45381</v>
      </c>
      <c r="TV3" s="27">
        <v>45378</v>
      </c>
      <c r="TW3" s="27">
        <v>45374</v>
      </c>
      <c r="TX3" s="27">
        <v>45368</v>
      </c>
      <c r="TY3" s="27">
        <v>45360</v>
      </c>
      <c r="TZ3" s="27">
        <v>45357</v>
      </c>
      <c r="UA3" s="27">
        <v>45354</v>
      </c>
      <c r="UB3" s="27">
        <v>45351</v>
      </c>
      <c r="UC3" s="27">
        <v>45345</v>
      </c>
      <c r="UD3" s="27">
        <v>45340</v>
      </c>
      <c r="UE3" s="27">
        <v>45340</v>
      </c>
      <c r="UF3" s="27">
        <v>45340</v>
      </c>
      <c r="UG3" s="27">
        <v>45339</v>
      </c>
      <c r="UH3" s="27">
        <v>45337</v>
      </c>
      <c r="UI3" s="27">
        <v>45336</v>
      </c>
      <c r="UJ3" s="27">
        <v>45335</v>
      </c>
      <c r="UK3" s="27">
        <v>45334</v>
      </c>
      <c r="UL3" s="27">
        <v>45332</v>
      </c>
      <c r="UM3" s="27">
        <v>45330</v>
      </c>
      <c r="UN3" s="27">
        <v>45328</v>
      </c>
      <c r="UO3" s="27">
        <v>45327</v>
      </c>
      <c r="UP3" s="27">
        <v>45327</v>
      </c>
      <c r="UQ3" s="27">
        <v>45325</v>
      </c>
      <c r="UR3" s="27">
        <v>45324</v>
      </c>
      <c r="US3" s="27">
        <v>45323</v>
      </c>
      <c r="UT3" s="27">
        <v>45322</v>
      </c>
      <c r="UU3" s="27">
        <v>45321</v>
      </c>
      <c r="UV3" s="27">
        <v>45320</v>
      </c>
      <c r="UW3" s="27">
        <v>45320</v>
      </c>
      <c r="UX3" s="27">
        <v>45318</v>
      </c>
      <c r="UY3" s="27">
        <v>45318</v>
      </c>
      <c r="UZ3" s="27">
        <v>45317</v>
      </c>
      <c r="VA3" s="27">
        <v>45316</v>
      </c>
      <c r="VB3" s="27">
        <v>45316</v>
      </c>
      <c r="VC3" s="27">
        <v>45314</v>
      </c>
      <c r="VD3" s="27">
        <v>45314</v>
      </c>
      <c r="VE3" s="27">
        <v>45311</v>
      </c>
      <c r="VF3" s="27">
        <v>45309</v>
      </c>
      <c r="VG3" s="27">
        <v>45308</v>
      </c>
      <c r="VH3" s="27">
        <v>45307</v>
      </c>
      <c r="VI3" s="27">
        <v>45305</v>
      </c>
      <c r="VJ3" s="27" t="s">
        <v>992</v>
      </c>
      <c r="VK3" s="27">
        <v>45304</v>
      </c>
      <c r="VL3" s="27">
        <v>45304</v>
      </c>
      <c r="VM3" s="27">
        <v>45301</v>
      </c>
      <c r="VN3" s="27">
        <v>45301</v>
      </c>
      <c r="VO3" s="27">
        <v>45299</v>
      </c>
      <c r="VP3" s="27">
        <v>45299</v>
      </c>
      <c r="VQ3" s="27">
        <v>45299</v>
      </c>
      <c r="VR3" s="27">
        <v>45297</v>
      </c>
      <c r="VS3" s="27">
        <v>45297</v>
      </c>
      <c r="VT3" s="27">
        <v>45296</v>
      </c>
      <c r="VU3" s="27">
        <v>45295</v>
      </c>
      <c r="VV3" s="27">
        <v>45293</v>
      </c>
      <c r="VW3" s="27">
        <v>45293</v>
      </c>
      <c r="VX3" s="27">
        <v>45292</v>
      </c>
      <c r="VY3" s="27">
        <v>45290</v>
      </c>
      <c r="VZ3" s="27">
        <v>45290</v>
      </c>
      <c r="WA3" s="27">
        <v>45288</v>
      </c>
      <c r="WB3" s="27">
        <v>45287</v>
      </c>
      <c r="WC3" s="27">
        <v>45286</v>
      </c>
      <c r="WD3" s="27">
        <v>45286</v>
      </c>
      <c r="WE3" s="27">
        <v>45283</v>
      </c>
      <c r="WF3" s="27">
        <v>45280</v>
      </c>
      <c r="WG3" s="27">
        <v>45279</v>
      </c>
      <c r="WH3" s="27">
        <v>45277</v>
      </c>
      <c r="WI3" s="27">
        <v>45276</v>
      </c>
      <c r="WJ3" s="27">
        <v>45276</v>
      </c>
      <c r="WK3" s="27">
        <v>45273</v>
      </c>
      <c r="WL3" s="27">
        <v>45273</v>
      </c>
      <c r="WM3" s="27">
        <v>45273</v>
      </c>
      <c r="WN3" s="27">
        <v>45272</v>
      </c>
      <c r="WO3" s="27">
        <v>45270</v>
      </c>
      <c r="WP3" s="27">
        <v>45269</v>
      </c>
      <c r="WQ3" s="27">
        <v>45269</v>
      </c>
      <c r="WR3" s="27">
        <v>45268</v>
      </c>
      <c r="WS3" s="27">
        <v>45267</v>
      </c>
      <c r="WT3" s="27">
        <v>45267</v>
      </c>
      <c r="WU3" s="27">
        <v>45267</v>
      </c>
      <c r="WV3" s="27">
        <v>45266</v>
      </c>
      <c r="WW3" s="27">
        <v>45265</v>
      </c>
      <c r="WX3" s="27">
        <v>45263</v>
      </c>
      <c r="WY3" s="27">
        <v>45262</v>
      </c>
      <c r="WZ3" s="27">
        <v>45262</v>
      </c>
      <c r="XA3" s="27">
        <v>45260</v>
      </c>
      <c r="XB3" s="27">
        <v>45258</v>
      </c>
      <c r="XC3" s="27">
        <v>45258</v>
      </c>
      <c r="XD3" s="27">
        <v>45255</v>
      </c>
      <c r="XE3" s="27">
        <v>45255</v>
      </c>
      <c r="XF3" s="27">
        <v>45255</v>
      </c>
      <c r="XG3" s="27">
        <v>45255</v>
      </c>
      <c r="XH3" s="27">
        <v>45253</v>
      </c>
      <c r="XI3" s="27">
        <v>45253</v>
      </c>
      <c r="XJ3" s="27">
        <v>45252</v>
      </c>
      <c r="XK3" s="27">
        <v>45251</v>
      </c>
      <c r="XL3" s="27">
        <v>45250</v>
      </c>
      <c r="XM3" s="27">
        <v>45248</v>
      </c>
      <c r="XN3" s="27">
        <v>45248</v>
      </c>
      <c r="XO3" s="27">
        <v>45248</v>
      </c>
      <c r="XP3" s="27">
        <v>45245</v>
      </c>
      <c r="XQ3" s="27">
        <v>45245</v>
      </c>
      <c r="XR3" s="27">
        <v>45243</v>
      </c>
      <c r="XS3" s="27">
        <v>45243</v>
      </c>
      <c r="XT3" s="27">
        <v>45243</v>
      </c>
      <c r="XU3" s="27">
        <v>45243</v>
      </c>
      <c r="XV3" s="27">
        <v>45241</v>
      </c>
      <c r="XW3" s="27">
        <v>45239</v>
      </c>
      <c r="XX3" s="27">
        <v>45239</v>
      </c>
      <c r="XY3" s="27">
        <v>45238</v>
      </c>
      <c r="XZ3" s="27">
        <v>45238</v>
      </c>
      <c r="YA3" s="27">
        <v>45236</v>
      </c>
      <c r="YB3" s="27">
        <v>45236</v>
      </c>
      <c r="YC3" s="27" t="s">
        <v>991</v>
      </c>
      <c r="YD3" s="27">
        <v>45203</v>
      </c>
      <c r="YE3" s="27">
        <v>45203</v>
      </c>
      <c r="YF3" s="27">
        <v>45232</v>
      </c>
      <c r="YG3" s="27">
        <v>45232</v>
      </c>
      <c r="YH3" s="27">
        <v>45232</v>
      </c>
      <c r="YI3" s="27">
        <v>45230</v>
      </c>
      <c r="YJ3" s="27">
        <v>45229</v>
      </c>
      <c r="YK3" s="27">
        <v>45228</v>
      </c>
      <c r="YL3" s="27">
        <v>45227</v>
      </c>
      <c r="YM3" s="27">
        <v>45227</v>
      </c>
      <c r="YN3" s="27">
        <v>45184</v>
      </c>
      <c r="YO3" s="27">
        <v>45182</v>
      </c>
      <c r="YP3" s="27">
        <v>45162</v>
      </c>
      <c r="YQ3" s="27">
        <v>45041</v>
      </c>
      <c r="YR3" s="27">
        <v>46033</v>
      </c>
      <c r="YS3" s="27"/>
      <c r="YT3" s="27"/>
      <c r="YU3" s="27"/>
      <c r="YV3" s="27"/>
      <c r="YW3" s="27"/>
      <c r="YX3" s="27"/>
    </row>
    <row r="4" spans="1:676" ht="12" customHeight="1" x14ac:dyDescent="0.25">
      <c r="A4" s="23"/>
      <c r="B4" s="23"/>
      <c r="C4" s="24"/>
      <c r="D4" s="23"/>
      <c r="E4" s="23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2"/>
      <c r="DW4" s="32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2"/>
      <c r="EI4" s="32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2"/>
      <c r="EW4" s="32"/>
      <c r="EX4" s="32"/>
      <c r="EY4" s="32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2"/>
      <c r="FK4" s="32"/>
      <c r="FL4" s="32"/>
      <c r="FM4" s="32"/>
      <c r="FN4" s="32"/>
      <c r="FO4" s="32"/>
      <c r="FP4" s="32"/>
      <c r="FQ4" s="32"/>
      <c r="FR4" s="32"/>
      <c r="FS4" s="32"/>
      <c r="FT4" s="32"/>
      <c r="FU4" s="32"/>
      <c r="FV4" s="32"/>
      <c r="FW4" s="32"/>
      <c r="FX4" s="32"/>
      <c r="FY4" s="32"/>
      <c r="FZ4" s="32"/>
      <c r="GA4" s="32"/>
      <c r="GB4" s="32"/>
      <c r="GC4" s="32"/>
      <c r="GD4" s="32"/>
      <c r="GE4" s="32"/>
      <c r="GF4" s="32"/>
      <c r="GG4" s="32"/>
      <c r="GH4" s="32"/>
      <c r="GI4" s="32"/>
      <c r="GJ4" s="32"/>
      <c r="GK4" s="32"/>
      <c r="GL4" s="32"/>
      <c r="GM4" s="32"/>
      <c r="GN4" s="32"/>
      <c r="GO4" s="32"/>
      <c r="GP4" s="32"/>
      <c r="GQ4" s="32"/>
      <c r="GR4" s="32"/>
      <c r="GS4" s="32"/>
      <c r="GT4" s="32"/>
      <c r="GU4" s="32"/>
      <c r="GV4" s="32"/>
      <c r="GW4" s="32"/>
      <c r="GX4" s="32"/>
      <c r="GY4" s="32"/>
      <c r="GZ4" s="32"/>
      <c r="HA4" s="32"/>
      <c r="HB4" s="32"/>
      <c r="HC4" s="32"/>
      <c r="HD4" s="32"/>
      <c r="HE4" s="32"/>
      <c r="HF4" s="32"/>
      <c r="HG4" s="32"/>
      <c r="HH4" s="32"/>
      <c r="HI4" s="32"/>
      <c r="HJ4" s="32"/>
      <c r="HK4" s="32"/>
      <c r="HL4" s="32"/>
      <c r="HM4" s="32"/>
      <c r="HN4" s="32"/>
      <c r="HO4" s="32"/>
      <c r="HP4" s="32"/>
      <c r="HQ4" s="32"/>
      <c r="HR4" s="32"/>
      <c r="HS4" s="32"/>
      <c r="HT4" s="32"/>
      <c r="HU4" s="32"/>
      <c r="HV4" s="32"/>
      <c r="HW4" s="32"/>
      <c r="HX4" s="32"/>
      <c r="HY4" s="32"/>
      <c r="HZ4" s="32"/>
      <c r="IA4" s="32"/>
      <c r="IB4" s="32"/>
      <c r="IC4" s="32"/>
      <c r="ID4" s="32"/>
      <c r="IE4" s="32"/>
      <c r="IF4" s="32"/>
      <c r="IG4" s="32"/>
      <c r="IH4" s="32"/>
      <c r="II4" s="32"/>
      <c r="IJ4" s="32"/>
      <c r="IK4" s="32"/>
      <c r="IL4" s="32"/>
      <c r="IM4" s="32"/>
      <c r="IN4" s="32"/>
      <c r="IO4" s="32"/>
      <c r="IP4" s="32"/>
      <c r="IQ4" s="32"/>
      <c r="IR4" s="32"/>
      <c r="IS4" s="32"/>
      <c r="IT4" s="32"/>
      <c r="IU4" s="32"/>
      <c r="IV4" s="32"/>
      <c r="IW4" s="32"/>
      <c r="IX4" s="32"/>
      <c r="IY4" s="32"/>
      <c r="IZ4" s="32"/>
      <c r="JA4" s="32"/>
      <c r="JB4" s="32"/>
      <c r="JC4" s="32"/>
      <c r="JD4" s="32"/>
      <c r="JE4" s="32"/>
      <c r="JF4" s="32"/>
      <c r="JG4" s="32"/>
      <c r="JH4" s="32"/>
      <c r="JI4" s="32"/>
      <c r="JJ4" s="32"/>
      <c r="JK4" s="32"/>
      <c r="JL4" s="32"/>
      <c r="JM4" s="32"/>
      <c r="JN4" s="32"/>
      <c r="JO4" s="32"/>
      <c r="JP4" s="32"/>
      <c r="JQ4" s="32"/>
      <c r="JR4" s="32"/>
      <c r="JS4" s="32"/>
      <c r="JT4" s="32"/>
      <c r="JU4" s="32"/>
      <c r="JV4" s="32"/>
      <c r="JW4" s="32"/>
      <c r="JX4" s="32"/>
      <c r="JY4" s="32"/>
      <c r="JZ4" s="32"/>
      <c r="KA4" s="32"/>
      <c r="KB4" s="32"/>
      <c r="KC4" s="32"/>
      <c r="KD4" s="32"/>
      <c r="KE4" s="32"/>
      <c r="KF4" s="32"/>
      <c r="KG4" s="32"/>
      <c r="KH4" s="32"/>
      <c r="KI4" s="32"/>
      <c r="KJ4" s="32"/>
      <c r="KK4" s="32"/>
      <c r="KL4" s="32"/>
      <c r="KM4" s="32"/>
      <c r="KN4" s="32"/>
      <c r="KO4" s="32"/>
      <c r="KP4" s="32"/>
      <c r="KQ4" s="32"/>
      <c r="KR4" s="32"/>
      <c r="KS4" s="32"/>
      <c r="KT4" s="32"/>
      <c r="KU4" s="32"/>
      <c r="KV4" s="32"/>
      <c r="KW4" s="32"/>
      <c r="KX4" s="32"/>
      <c r="KY4" s="32"/>
      <c r="KZ4" s="32"/>
      <c r="LA4" s="32"/>
      <c r="LB4" s="32"/>
      <c r="LC4" s="32"/>
      <c r="LD4" s="32"/>
      <c r="LE4" s="32"/>
      <c r="LF4" s="32"/>
      <c r="LG4" s="32"/>
      <c r="LH4" s="32"/>
      <c r="LI4" s="32"/>
      <c r="LJ4" s="32"/>
      <c r="LK4" s="32"/>
      <c r="LL4" s="32"/>
      <c r="LM4" s="32"/>
      <c r="LN4" s="32"/>
      <c r="LO4" s="32"/>
      <c r="LP4" s="32"/>
      <c r="LQ4" s="32"/>
      <c r="LR4" s="32"/>
      <c r="LS4" s="32"/>
      <c r="LT4" s="32"/>
      <c r="LU4" s="32"/>
      <c r="LV4" s="32"/>
      <c r="LW4" s="32"/>
      <c r="LX4" s="32"/>
      <c r="LY4" s="32"/>
      <c r="LZ4" s="32"/>
      <c r="MA4" s="32"/>
      <c r="MB4" s="32"/>
      <c r="MC4" s="32"/>
      <c r="MD4" s="32"/>
      <c r="ME4" s="32"/>
      <c r="MF4" s="32"/>
      <c r="MG4" s="32"/>
      <c r="MH4" s="32"/>
      <c r="MI4" s="32"/>
      <c r="MJ4" s="32"/>
      <c r="MK4" s="32"/>
      <c r="ML4" s="32"/>
      <c r="MM4" s="32"/>
      <c r="MN4" s="32"/>
      <c r="MO4" s="32"/>
      <c r="MP4" s="32"/>
      <c r="MQ4" s="32"/>
      <c r="MR4" s="32"/>
      <c r="MS4" s="32"/>
      <c r="MT4" s="32"/>
      <c r="MU4" s="32"/>
      <c r="MV4" s="32"/>
      <c r="MW4" s="32"/>
      <c r="MX4" s="32"/>
      <c r="MY4" s="32"/>
      <c r="MZ4" s="32"/>
      <c r="NA4" s="32"/>
      <c r="NB4" s="32"/>
      <c r="NC4" s="32"/>
      <c r="ND4" s="32"/>
      <c r="NE4" s="32"/>
      <c r="NF4" s="32"/>
      <c r="NG4" s="32"/>
      <c r="NH4" s="32"/>
      <c r="NI4" s="32"/>
      <c r="NJ4" s="32"/>
      <c r="NK4" s="32"/>
      <c r="NL4" s="32"/>
      <c r="NM4" s="32"/>
      <c r="NN4" s="32"/>
      <c r="NO4" s="32"/>
      <c r="NP4" s="32"/>
      <c r="NQ4" s="32"/>
      <c r="NR4" s="32"/>
      <c r="NS4" s="32"/>
      <c r="NT4" s="32"/>
      <c r="NU4" s="32"/>
      <c r="NV4" s="32"/>
      <c r="NW4" s="32"/>
      <c r="NX4" s="32"/>
      <c r="NY4" s="32"/>
      <c r="NZ4" s="32"/>
      <c r="OA4" s="32"/>
      <c r="OB4" s="32"/>
      <c r="OC4" s="32"/>
      <c r="OD4" s="32"/>
      <c r="OE4" s="32"/>
      <c r="OF4" s="32"/>
      <c r="OG4" s="32"/>
      <c r="OH4" s="32"/>
      <c r="OI4" s="32"/>
      <c r="OJ4" s="32"/>
      <c r="OK4" s="32"/>
      <c r="OL4" s="32"/>
      <c r="OM4" s="32"/>
      <c r="ON4" s="32"/>
      <c r="OO4" s="32"/>
      <c r="OP4" s="32"/>
      <c r="OQ4" s="32"/>
      <c r="OR4" s="32"/>
      <c r="OS4" s="32"/>
      <c r="OT4" s="32"/>
      <c r="OU4" s="32"/>
      <c r="OV4" s="32"/>
      <c r="OW4" s="32"/>
      <c r="OX4" s="32"/>
      <c r="OY4" s="32"/>
      <c r="OZ4" s="32"/>
      <c r="PA4" s="32"/>
      <c r="PB4" s="32"/>
      <c r="PC4" s="32"/>
      <c r="PD4" s="32"/>
      <c r="PE4" s="32"/>
      <c r="PF4" s="32"/>
      <c r="PG4" s="32"/>
      <c r="PH4" s="32"/>
      <c r="PI4" s="32"/>
      <c r="PJ4" s="32"/>
      <c r="PK4" s="32"/>
      <c r="PL4" s="32"/>
      <c r="PM4" s="32"/>
      <c r="PN4" s="32"/>
      <c r="PO4" s="32"/>
      <c r="PP4" s="32"/>
      <c r="PQ4" s="32"/>
      <c r="PR4" s="32"/>
      <c r="PS4" s="32"/>
      <c r="PT4" s="32"/>
      <c r="PU4" s="32"/>
      <c r="PV4" s="32"/>
      <c r="PW4" s="32"/>
      <c r="PX4" s="32"/>
      <c r="PY4" s="32"/>
      <c r="PZ4" s="32"/>
      <c r="QA4" s="32"/>
      <c r="QB4" s="32"/>
      <c r="QC4" s="32"/>
      <c r="QD4" s="32"/>
      <c r="QE4" s="32"/>
      <c r="QF4" s="32"/>
      <c r="QG4" s="32"/>
      <c r="QH4" s="32"/>
      <c r="QI4" s="32"/>
      <c r="QJ4" s="32"/>
      <c r="QK4" s="32"/>
      <c r="QL4" s="32"/>
      <c r="QM4" s="32"/>
      <c r="QN4" s="32"/>
      <c r="QO4" s="32"/>
      <c r="QP4" s="32"/>
      <c r="QQ4" s="32"/>
      <c r="QR4" s="32"/>
      <c r="QS4" s="32"/>
      <c r="QT4" s="32"/>
      <c r="QU4" s="32"/>
      <c r="QV4" s="32"/>
      <c r="QW4" s="32"/>
      <c r="QX4" s="32"/>
      <c r="QY4" s="32"/>
      <c r="QZ4" s="32"/>
      <c r="RA4" s="32"/>
      <c r="RB4" s="32"/>
      <c r="RC4" s="32"/>
      <c r="RD4" s="32"/>
      <c r="RE4" s="32"/>
      <c r="RF4" s="32"/>
      <c r="RG4" s="32"/>
      <c r="RH4" s="32"/>
      <c r="RI4" s="32"/>
      <c r="RJ4" s="32"/>
      <c r="RK4" s="32"/>
      <c r="RL4" s="32"/>
      <c r="RM4" s="32"/>
      <c r="RN4" s="32"/>
      <c r="RO4" s="32"/>
      <c r="RP4" s="32"/>
      <c r="RQ4" s="32"/>
      <c r="RR4" s="32"/>
      <c r="RS4" s="32"/>
      <c r="RT4" s="32"/>
      <c r="RU4" s="32"/>
      <c r="RV4" s="32"/>
      <c r="RW4" s="32"/>
      <c r="RX4" s="32"/>
      <c r="RY4" s="32"/>
      <c r="RZ4" s="32"/>
      <c r="SA4" s="32"/>
      <c r="SB4" s="32"/>
      <c r="SC4" s="32"/>
      <c r="SD4" s="32"/>
      <c r="SE4" s="32"/>
      <c r="SF4" s="32"/>
      <c r="SG4" s="32"/>
      <c r="SH4" s="32"/>
      <c r="SI4" s="32"/>
      <c r="SJ4" s="32"/>
      <c r="SK4" s="32"/>
      <c r="SL4" s="32"/>
      <c r="SM4" s="32"/>
      <c r="SN4" s="32"/>
      <c r="SO4" s="32"/>
      <c r="SP4" s="32"/>
      <c r="SQ4" s="32"/>
      <c r="SR4" s="32"/>
      <c r="SS4" s="32"/>
      <c r="ST4" s="32"/>
      <c r="SU4" s="32"/>
      <c r="SV4" s="32"/>
      <c r="SW4" s="32"/>
      <c r="SX4" s="32"/>
      <c r="SY4" s="32"/>
      <c r="SZ4" s="32"/>
      <c r="TA4" s="32"/>
      <c r="TB4" s="32"/>
      <c r="TC4" s="32"/>
      <c r="TD4" s="32"/>
      <c r="TE4" s="32"/>
      <c r="TF4" s="32"/>
      <c r="TG4" s="32"/>
      <c r="TH4" s="32"/>
      <c r="TI4" s="32"/>
      <c r="TJ4" s="32"/>
      <c r="TK4" s="32"/>
      <c r="TL4" s="32"/>
      <c r="TM4" s="32"/>
      <c r="TN4" s="32"/>
      <c r="TO4" s="32"/>
      <c r="TP4" s="32"/>
      <c r="TQ4" s="32"/>
      <c r="TR4" s="32"/>
      <c r="TS4" s="32"/>
      <c r="TT4" s="32"/>
      <c r="TU4" s="32"/>
      <c r="TV4" s="32"/>
      <c r="TW4" s="32"/>
      <c r="TX4" s="32"/>
      <c r="TY4" s="32"/>
      <c r="TZ4" s="32"/>
      <c r="UA4" s="32"/>
      <c r="UB4" s="32"/>
      <c r="UC4" s="32"/>
      <c r="UD4" s="32"/>
      <c r="UE4" s="32"/>
      <c r="UF4" s="32"/>
      <c r="UG4" s="32"/>
      <c r="UH4" s="32"/>
      <c r="UI4" s="32"/>
      <c r="UJ4" s="32"/>
      <c r="UK4" s="32"/>
      <c r="UL4" s="32"/>
      <c r="UM4" s="32"/>
      <c r="UN4" s="32"/>
      <c r="UO4" s="32"/>
      <c r="UP4" s="32"/>
      <c r="UQ4" s="32"/>
      <c r="UR4" s="32"/>
      <c r="US4" s="32"/>
      <c r="UT4" s="32"/>
      <c r="UU4" s="32"/>
      <c r="UV4" s="32"/>
      <c r="UW4" s="32"/>
      <c r="UX4" s="32"/>
      <c r="UY4" s="32"/>
      <c r="UZ4" s="32"/>
      <c r="VA4" s="32"/>
      <c r="VB4" s="32"/>
      <c r="VC4" s="32"/>
      <c r="VD4" s="32"/>
      <c r="VE4" s="32"/>
      <c r="VF4" s="32"/>
      <c r="VG4" s="32"/>
      <c r="VH4" s="32"/>
      <c r="VI4" s="32"/>
      <c r="VJ4" s="32"/>
      <c r="VK4" s="32"/>
      <c r="VL4" s="32"/>
      <c r="VM4" s="32"/>
      <c r="VN4" s="32"/>
      <c r="VO4" s="32"/>
      <c r="VP4" s="32"/>
      <c r="VQ4" s="32"/>
      <c r="VR4" s="32"/>
      <c r="VS4" s="32"/>
      <c r="VT4" s="32"/>
      <c r="VU4" s="32"/>
      <c r="VV4" s="32"/>
      <c r="VW4" s="32"/>
      <c r="VX4" s="32"/>
      <c r="VY4" s="32"/>
      <c r="VZ4" s="32"/>
      <c r="WA4" s="32"/>
      <c r="WB4" s="32"/>
      <c r="WC4" s="32"/>
      <c r="WD4" s="32"/>
      <c r="WE4" s="32"/>
      <c r="WF4" s="32"/>
      <c r="WG4" s="32"/>
      <c r="WH4" s="32"/>
      <c r="WI4" s="32"/>
      <c r="WJ4" s="32"/>
      <c r="WK4" s="32"/>
      <c r="WL4" s="32"/>
      <c r="WM4" s="32"/>
      <c r="WN4" s="32"/>
      <c r="WO4" s="32"/>
      <c r="WP4" s="32"/>
      <c r="WQ4" s="32"/>
      <c r="WR4" s="32"/>
      <c r="WS4" s="32"/>
      <c r="WT4" s="32"/>
      <c r="WU4" s="32"/>
      <c r="WV4" s="32"/>
      <c r="WW4" s="32"/>
      <c r="WX4" s="32"/>
      <c r="WY4" s="32"/>
      <c r="WZ4" s="32"/>
      <c r="XA4" s="32"/>
      <c r="XB4" s="32"/>
      <c r="XC4" s="32"/>
      <c r="XD4" s="32"/>
      <c r="XE4" s="32"/>
      <c r="XF4" s="32"/>
      <c r="XG4" s="32"/>
      <c r="XH4" s="32"/>
      <c r="XI4" s="32"/>
      <c r="XJ4" s="32"/>
      <c r="XK4" s="32"/>
      <c r="XL4" s="32"/>
      <c r="XM4" s="32"/>
      <c r="XN4" s="32"/>
      <c r="XO4" s="32"/>
      <c r="XP4" s="32"/>
      <c r="XQ4" s="32"/>
      <c r="XR4" s="32"/>
      <c r="XS4" s="32"/>
      <c r="XT4" s="32"/>
      <c r="XU4" s="32"/>
      <c r="XV4" s="32"/>
      <c r="XW4" s="32"/>
      <c r="XX4" s="32"/>
      <c r="XY4" s="32"/>
      <c r="XZ4" s="32"/>
      <c r="YA4" s="32"/>
      <c r="YB4" s="32"/>
      <c r="YC4" s="32"/>
      <c r="YD4" s="32"/>
      <c r="YE4" s="32"/>
      <c r="YF4" s="32"/>
      <c r="YG4" s="32"/>
      <c r="YH4" s="32"/>
      <c r="YI4" s="32"/>
      <c r="YJ4" s="32"/>
      <c r="YK4" s="32"/>
      <c r="YL4" s="32"/>
      <c r="YM4" s="32"/>
      <c r="YN4" s="32"/>
      <c r="YO4" s="32"/>
      <c r="YP4" s="32"/>
      <c r="YQ4" s="32"/>
      <c r="YR4" s="39" t="s">
        <v>1636</v>
      </c>
      <c r="YS4" s="32"/>
      <c r="YT4" s="32"/>
      <c r="YU4" s="32"/>
      <c r="YV4" s="32"/>
      <c r="YW4" s="32"/>
      <c r="YX4" s="32"/>
    </row>
    <row r="5" spans="1:676" s="22" customFormat="1" x14ac:dyDescent="0.25">
      <c r="A5" s="14">
        <v>1</v>
      </c>
      <c r="B5" s="51">
        <v>5000000005</v>
      </c>
      <c r="C5" s="50" t="s">
        <v>11</v>
      </c>
      <c r="D5" s="44" t="s">
        <v>12</v>
      </c>
      <c r="OZ5" s="115"/>
      <c r="PA5" s="115"/>
      <c r="PB5" s="115"/>
      <c r="PC5" s="115"/>
      <c r="PD5" s="115"/>
      <c r="PE5" s="115"/>
      <c r="PF5" s="115"/>
      <c r="PG5" s="115"/>
      <c r="PH5" s="115"/>
      <c r="PI5" s="115"/>
      <c r="PJ5" s="115"/>
      <c r="PK5" s="115"/>
      <c r="PL5" s="115"/>
      <c r="PM5" s="115"/>
      <c r="PN5" s="115"/>
      <c r="PO5" s="115"/>
      <c r="PP5" s="115"/>
      <c r="PQ5" s="115"/>
      <c r="PR5" s="115"/>
      <c r="PS5" s="115"/>
      <c r="PT5" s="115"/>
      <c r="PU5" s="115"/>
      <c r="PV5" s="115"/>
      <c r="PW5" s="115"/>
      <c r="PX5" s="115"/>
      <c r="PY5" s="115"/>
      <c r="PZ5" s="115"/>
      <c r="QA5" s="115"/>
      <c r="QB5" s="115"/>
      <c r="QC5" s="115"/>
      <c r="QD5" s="115"/>
      <c r="QE5" s="115"/>
      <c r="QF5" s="115"/>
      <c r="QG5" s="115"/>
      <c r="QH5" s="115"/>
      <c r="QI5" s="115"/>
      <c r="QJ5" s="115"/>
      <c r="QK5" s="115"/>
      <c r="QL5" s="115"/>
      <c r="QM5" s="115"/>
      <c r="QN5" s="115"/>
      <c r="QO5" s="115"/>
      <c r="QP5" s="115"/>
      <c r="QQ5" s="115"/>
      <c r="QR5" s="115"/>
      <c r="QS5" s="115"/>
      <c r="QT5" s="115"/>
      <c r="QU5" s="115"/>
      <c r="QV5" s="115"/>
      <c r="QW5" s="115"/>
      <c r="QX5" s="115"/>
      <c r="QY5" s="115"/>
      <c r="QZ5" s="115"/>
      <c r="RA5" s="115"/>
      <c r="RB5" s="115"/>
      <c r="RC5" s="115"/>
      <c r="RD5" s="115"/>
      <c r="RE5" s="115"/>
      <c r="RF5" s="115"/>
      <c r="RG5" s="115"/>
      <c r="RH5" s="115"/>
      <c r="RI5" s="115"/>
      <c r="RJ5" s="115"/>
      <c r="RK5" s="115"/>
      <c r="RL5" s="115"/>
      <c r="RM5" s="115"/>
      <c r="RN5" s="115"/>
      <c r="RO5" s="115"/>
      <c r="RP5" s="115"/>
      <c r="RQ5" s="115"/>
      <c r="RR5" s="115"/>
      <c r="RS5" s="115"/>
      <c r="RT5" s="115"/>
      <c r="RU5" s="115"/>
      <c r="RV5" s="115"/>
      <c r="RW5" s="115"/>
      <c r="RX5" s="115"/>
      <c r="RY5" s="115"/>
      <c r="RZ5" s="115"/>
      <c r="SA5" s="115"/>
      <c r="SB5" s="115"/>
      <c r="SC5" s="115"/>
      <c r="SD5" s="115"/>
      <c r="SE5" s="115"/>
      <c r="SF5" s="115"/>
      <c r="SG5" s="115"/>
      <c r="SH5" s="115"/>
      <c r="SI5" s="115"/>
      <c r="SJ5" s="115"/>
      <c r="SK5" s="115"/>
      <c r="SL5" s="115"/>
      <c r="SM5" s="115"/>
      <c r="SN5" s="115"/>
      <c r="SO5" s="115"/>
      <c r="SP5" s="115"/>
      <c r="SQ5" s="115"/>
      <c r="SR5" s="115"/>
      <c r="SS5" s="115"/>
      <c r="ST5" s="115"/>
      <c r="SU5" s="115"/>
      <c r="SV5" s="115"/>
      <c r="SW5" s="115"/>
      <c r="SX5" s="115"/>
      <c r="SY5" s="115"/>
      <c r="SZ5" s="115"/>
      <c r="TA5" s="115"/>
      <c r="TB5" s="115"/>
      <c r="TC5" s="115"/>
      <c r="TD5" s="115"/>
      <c r="TE5" s="115"/>
      <c r="TF5" s="115"/>
      <c r="TG5" s="115"/>
      <c r="TH5" s="115"/>
      <c r="TI5" s="115"/>
      <c r="TJ5" s="115"/>
      <c r="TK5" s="115"/>
      <c r="TL5" s="115"/>
      <c r="TM5" s="115"/>
      <c r="TN5" s="115"/>
      <c r="TO5" s="115"/>
      <c r="TP5" s="115"/>
      <c r="TQ5" s="115"/>
      <c r="TR5" s="115"/>
      <c r="TS5" s="115"/>
      <c r="TT5" s="115"/>
      <c r="TU5" s="115"/>
      <c r="TV5" s="115"/>
      <c r="TW5" s="115"/>
      <c r="TX5" s="115"/>
      <c r="TY5" s="115"/>
      <c r="TZ5" s="115"/>
      <c r="UA5" s="115"/>
      <c r="UB5" s="115"/>
      <c r="UC5" s="115"/>
      <c r="UD5" s="115"/>
      <c r="UE5" s="115"/>
      <c r="UF5" s="115"/>
      <c r="UG5" s="115"/>
      <c r="UH5" s="115"/>
      <c r="UI5" s="115"/>
      <c r="UJ5" s="115"/>
      <c r="UK5" s="115"/>
      <c r="UL5" s="115"/>
      <c r="UM5" s="115"/>
      <c r="UN5" s="115"/>
      <c r="UO5" s="115"/>
      <c r="UP5" s="115"/>
      <c r="UQ5" s="115"/>
      <c r="UR5" s="115"/>
      <c r="US5" s="115"/>
      <c r="UT5" s="115"/>
      <c r="UU5" s="115"/>
      <c r="UV5" s="115"/>
      <c r="UW5" s="115"/>
      <c r="UX5" s="115"/>
      <c r="UY5" s="115"/>
      <c r="UZ5" s="115"/>
      <c r="VA5" s="115"/>
      <c r="VB5" s="115"/>
      <c r="VC5" s="115"/>
      <c r="VD5" s="115"/>
      <c r="VE5" s="115"/>
      <c r="VF5" s="115"/>
      <c r="VG5" s="115"/>
      <c r="VH5" s="115"/>
      <c r="VI5" s="115"/>
      <c r="VJ5" s="115"/>
      <c r="VK5" s="115"/>
      <c r="VL5" s="115"/>
      <c r="VM5" s="115"/>
      <c r="VN5" s="115"/>
      <c r="VO5" s="115"/>
      <c r="VP5" s="115"/>
      <c r="VQ5" s="115"/>
      <c r="VR5" s="115"/>
      <c r="VS5" s="115"/>
      <c r="VT5" s="115"/>
      <c r="VU5" s="115"/>
      <c r="VV5" s="115"/>
      <c r="VW5" s="115"/>
      <c r="VX5" s="115"/>
      <c r="VY5" s="115"/>
      <c r="VZ5" s="115"/>
      <c r="WA5" s="115"/>
      <c r="WB5" s="115"/>
      <c r="WC5" s="115"/>
      <c r="WD5" s="115"/>
      <c r="WE5" s="115"/>
      <c r="WF5" s="115"/>
      <c r="WG5" s="115"/>
      <c r="WH5" s="115"/>
      <c r="WI5" s="115"/>
      <c r="WJ5" s="115"/>
      <c r="WK5" s="115"/>
      <c r="WL5" s="115"/>
      <c r="WM5" s="115"/>
      <c r="WN5" s="115"/>
      <c r="WO5" s="115"/>
      <c r="WP5" s="115"/>
      <c r="WQ5" s="115"/>
      <c r="WR5" s="115"/>
      <c r="WS5" s="115"/>
      <c r="WT5" s="115"/>
      <c r="WU5" s="115"/>
      <c r="WV5" s="115"/>
      <c r="WW5" s="115"/>
      <c r="WX5" s="115"/>
      <c r="WY5" s="115"/>
      <c r="WZ5" s="115"/>
      <c r="XA5" s="115"/>
      <c r="XB5" s="115"/>
      <c r="XC5" s="115"/>
      <c r="XD5" s="115"/>
      <c r="XE5" s="115"/>
      <c r="XF5" s="115"/>
      <c r="XG5" s="115"/>
      <c r="XH5" s="115"/>
      <c r="XI5" s="115"/>
      <c r="XJ5" s="115"/>
      <c r="XK5" s="115"/>
      <c r="XL5" s="115"/>
      <c r="XM5" s="115"/>
      <c r="XN5" s="115"/>
      <c r="XO5" s="115"/>
      <c r="XP5" s="115"/>
      <c r="XQ5" s="115"/>
      <c r="XR5" s="115"/>
      <c r="XS5" s="115"/>
      <c r="XT5" s="115"/>
      <c r="XU5" s="115"/>
      <c r="XV5" s="115"/>
      <c r="XW5" s="115"/>
      <c r="XX5" s="115"/>
      <c r="XY5" s="115"/>
      <c r="XZ5" s="115"/>
      <c r="YA5" s="115"/>
      <c r="YB5" s="115"/>
      <c r="YC5" s="115"/>
      <c r="YD5" s="115"/>
      <c r="YE5" s="115"/>
      <c r="YF5" s="115"/>
      <c r="YG5" s="115"/>
      <c r="YH5" s="115"/>
      <c r="YI5" s="115"/>
      <c r="YJ5" s="115"/>
      <c r="YK5" s="115"/>
      <c r="YL5" s="115"/>
      <c r="YM5" s="115"/>
      <c r="YN5" s="115"/>
      <c r="YO5" s="115"/>
      <c r="YP5" s="115"/>
      <c r="YQ5" s="115"/>
      <c r="YX5" s="22">
        <v>0</v>
      </c>
      <c r="YY5" s="22">
        <f>VLOOKUP(B5,'SCAFFOLDING MATERIAL OVERALL'!B7:S189,18,FALSE)</f>
        <v>4</v>
      </c>
      <c r="YZ5" s="22">
        <f>YX5*YY5</f>
        <v>0</v>
      </c>
    </row>
    <row r="6" spans="1:676" s="22" customFormat="1" x14ac:dyDescent="0.25">
      <c r="A6" s="17">
        <v>2</v>
      </c>
      <c r="B6" s="48">
        <v>1000006673</v>
      </c>
      <c r="C6" s="49" t="s">
        <v>13</v>
      </c>
      <c r="D6" s="44" t="s">
        <v>12</v>
      </c>
      <c r="NX6" s="22">
        <v>6</v>
      </c>
      <c r="OZ6" s="115"/>
      <c r="PA6" s="115"/>
      <c r="PB6" s="115"/>
      <c r="PC6" s="115"/>
      <c r="PD6" s="115"/>
      <c r="PE6" s="115"/>
      <c r="PF6" s="115"/>
      <c r="PG6" s="115"/>
      <c r="PH6" s="115"/>
      <c r="PI6" s="115"/>
      <c r="PJ6" s="115"/>
      <c r="PK6" s="115"/>
      <c r="PL6" s="115"/>
      <c r="PM6" s="115"/>
      <c r="PN6" s="115"/>
      <c r="PO6" s="115"/>
      <c r="PP6" s="115"/>
      <c r="PQ6" s="115"/>
      <c r="PR6" s="115"/>
      <c r="PS6" s="115"/>
      <c r="PT6" s="115"/>
      <c r="PU6" s="115"/>
      <c r="PV6" s="115"/>
      <c r="PW6" s="115"/>
      <c r="PX6" s="115"/>
      <c r="PY6" s="115"/>
      <c r="PZ6" s="115"/>
      <c r="QA6" s="115"/>
      <c r="QB6" s="115"/>
      <c r="QC6" s="115"/>
      <c r="QD6" s="115"/>
      <c r="QE6" s="115"/>
      <c r="QF6" s="115"/>
      <c r="QG6" s="115"/>
      <c r="QH6" s="115"/>
      <c r="QI6" s="115"/>
      <c r="QJ6" s="115"/>
      <c r="QK6" s="115"/>
      <c r="QL6" s="115"/>
      <c r="QM6" s="115"/>
      <c r="QN6" s="115"/>
      <c r="QO6" s="115"/>
      <c r="QP6" s="115"/>
      <c r="QQ6" s="115"/>
      <c r="QR6" s="115"/>
      <c r="QS6" s="115"/>
      <c r="QT6" s="115"/>
      <c r="QU6" s="115"/>
      <c r="QV6" s="115"/>
      <c r="QW6" s="115"/>
      <c r="QX6" s="115"/>
      <c r="QY6" s="115"/>
      <c r="QZ6" s="115"/>
      <c r="RA6" s="115"/>
      <c r="RB6" s="115"/>
      <c r="RC6" s="115"/>
      <c r="RD6" s="115"/>
      <c r="RE6" s="115"/>
      <c r="RF6" s="115"/>
      <c r="RG6" s="115"/>
      <c r="RH6" s="115"/>
      <c r="RI6" s="115"/>
      <c r="RJ6" s="115"/>
      <c r="RK6" s="115"/>
      <c r="RL6" s="115"/>
      <c r="RM6" s="115"/>
      <c r="RN6" s="115"/>
      <c r="RO6" s="115"/>
      <c r="RP6" s="115"/>
      <c r="RQ6" s="115"/>
      <c r="RR6" s="115"/>
      <c r="RS6" s="115"/>
      <c r="RT6" s="115"/>
      <c r="RU6" s="115"/>
      <c r="RV6" s="115"/>
      <c r="RW6" s="115"/>
      <c r="RX6" s="115"/>
      <c r="RY6" s="115"/>
      <c r="RZ6" s="115"/>
      <c r="SA6" s="115"/>
      <c r="SB6" s="115"/>
      <c r="SC6" s="115"/>
      <c r="SD6" s="115"/>
      <c r="SE6" s="115"/>
      <c r="SF6" s="115"/>
      <c r="SG6" s="115"/>
      <c r="SH6" s="115"/>
      <c r="SI6" s="115"/>
      <c r="SJ6" s="115"/>
      <c r="SK6" s="115"/>
      <c r="SL6" s="115"/>
      <c r="SM6" s="115"/>
      <c r="SN6" s="115"/>
      <c r="SO6" s="115"/>
      <c r="SP6" s="115"/>
      <c r="SQ6" s="115"/>
      <c r="SR6" s="115"/>
      <c r="SS6" s="115"/>
      <c r="ST6" s="115"/>
      <c r="SU6" s="115"/>
      <c r="SV6" s="115"/>
      <c r="SW6" s="115"/>
      <c r="SX6" s="115"/>
      <c r="SY6" s="115"/>
      <c r="SZ6" s="115"/>
      <c r="TA6" s="115"/>
      <c r="TB6" s="115"/>
      <c r="TC6" s="115"/>
      <c r="TD6" s="115"/>
      <c r="TE6" s="115"/>
      <c r="TF6" s="115"/>
      <c r="TG6" s="115"/>
      <c r="TH6" s="115"/>
      <c r="TI6" s="115"/>
      <c r="TJ6" s="115"/>
      <c r="TK6" s="115"/>
      <c r="TL6" s="115"/>
      <c r="TM6" s="115"/>
      <c r="TN6" s="115"/>
      <c r="TO6" s="115"/>
      <c r="TP6" s="115"/>
      <c r="TQ6" s="115"/>
      <c r="TR6" s="115"/>
      <c r="TS6" s="115"/>
      <c r="TT6" s="115"/>
      <c r="TU6" s="115"/>
      <c r="TV6" s="115"/>
      <c r="TW6" s="115"/>
      <c r="TX6" s="115"/>
      <c r="TY6" s="115"/>
      <c r="TZ6" s="115"/>
      <c r="UA6" s="115"/>
      <c r="UB6" s="115"/>
      <c r="UC6" s="115"/>
      <c r="UD6" s="115"/>
      <c r="UE6" s="115"/>
      <c r="UF6" s="115"/>
      <c r="UG6" s="115"/>
      <c r="UH6" s="115"/>
      <c r="UI6" s="115"/>
      <c r="UJ6" s="115"/>
      <c r="UK6" s="115"/>
      <c r="UL6" s="115"/>
      <c r="UM6" s="115"/>
      <c r="UN6" s="115"/>
      <c r="UO6" s="115"/>
      <c r="UP6" s="115"/>
      <c r="UQ6" s="115"/>
      <c r="UR6" s="115"/>
      <c r="US6" s="115"/>
      <c r="UT6" s="115"/>
      <c r="UU6" s="115"/>
      <c r="UV6" s="115"/>
      <c r="UW6" s="115"/>
      <c r="UX6" s="115"/>
      <c r="UY6" s="115"/>
      <c r="UZ6" s="115"/>
      <c r="VA6" s="115"/>
      <c r="VB6" s="115"/>
      <c r="VC6" s="115"/>
      <c r="VD6" s="115"/>
      <c r="VE6" s="115"/>
      <c r="VF6" s="115"/>
      <c r="VG6" s="115"/>
      <c r="VH6" s="115"/>
      <c r="VI6" s="115"/>
      <c r="VJ6" s="115"/>
      <c r="VK6" s="115"/>
      <c r="VL6" s="115"/>
      <c r="VM6" s="115"/>
      <c r="VN6" s="115"/>
      <c r="VO6" s="115"/>
      <c r="VP6" s="115"/>
      <c r="VQ6" s="115"/>
      <c r="VR6" s="115"/>
      <c r="VS6" s="115"/>
      <c r="VT6" s="115"/>
      <c r="VU6" s="115"/>
      <c r="VV6" s="115"/>
      <c r="VW6" s="115"/>
      <c r="VX6" s="115"/>
      <c r="VY6" s="115"/>
      <c r="VZ6" s="115"/>
      <c r="WA6" s="115"/>
      <c r="WB6" s="115"/>
      <c r="WC6" s="115"/>
      <c r="WD6" s="115"/>
      <c r="WE6" s="115"/>
      <c r="WF6" s="115"/>
      <c r="WG6" s="115"/>
      <c r="WH6" s="115"/>
      <c r="WI6" s="115"/>
      <c r="WJ6" s="115"/>
      <c r="WK6" s="115"/>
      <c r="WL6" s="115"/>
      <c r="WM6" s="115"/>
      <c r="WN6" s="115"/>
      <c r="WO6" s="115"/>
      <c r="WP6" s="115"/>
      <c r="WQ6" s="115"/>
      <c r="WR6" s="115"/>
      <c r="WS6" s="115"/>
      <c r="WT6" s="115"/>
      <c r="WU6" s="115"/>
      <c r="WV6" s="115"/>
      <c r="WW6" s="115"/>
      <c r="WX6" s="115"/>
      <c r="WY6" s="115"/>
      <c r="WZ6" s="115"/>
      <c r="XA6" s="115"/>
      <c r="XB6" s="115"/>
      <c r="XC6" s="115"/>
      <c r="XD6" s="115"/>
      <c r="XE6" s="115"/>
      <c r="XF6" s="115"/>
      <c r="XG6" s="115"/>
      <c r="XH6" s="115"/>
      <c r="XI6" s="115"/>
      <c r="XJ6" s="115"/>
      <c r="XK6" s="115"/>
      <c r="XL6" s="115"/>
      <c r="XM6" s="115"/>
      <c r="XN6" s="115"/>
      <c r="XO6" s="115"/>
      <c r="XP6" s="115"/>
      <c r="XQ6" s="115"/>
      <c r="XR6" s="115"/>
      <c r="XS6" s="115"/>
      <c r="XT6" s="115"/>
      <c r="XU6" s="115"/>
      <c r="XV6" s="115"/>
      <c r="XW6" s="115"/>
      <c r="XX6" s="115"/>
      <c r="XY6" s="115"/>
      <c r="XZ6" s="115"/>
      <c r="YA6" s="115"/>
      <c r="YB6" s="115"/>
      <c r="YC6" s="115"/>
      <c r="YD6" s="115"/>
      <c r="YE6" s="115"/>
      <c r="YF6" s="115"/>
      <c r="YG6" s="115"/>
      <c r="YH6" s="115"/>
      <c r="YI6" s="115"/>
      <c r="YJ6" s="115"/>
      <c r="YK6" s="115"/>
      <c r="YL6" s="115"/>
      <c r="YM6" s="115"/>
      <c r="YN6" s="115"/>
      <c r="YO6" s="115"/>
      <c r="YP6" s="115"/>
      <c r="YQ6" s="115"/>
      <c r="YX6" s="22">
        <v>6</v>
      </c>
      <c r="YY6" s="22">
        <f>VLOOKUP(B6,'SCAFFOLDING MATERIAL OVERALL'!B8:S190,18,FALSE)</f>
        <v>13</v>
      </c>
      <c r="YZ6" s="22">
        <f>YX6*YY6</f>
        <v>78</v>
      </c>
    </row>
    <row r="7" spans="1:676" s="22" customFormat="1" x14ac:dyDescent="0.25">
      <c r="A7" s="14">
        <v>3</v>
      </c>
      <c r="B7" s="48">
        <v>1000006674</v>
      </c>
      <c r="C7" s="49" t="s">
        <v>14</v>
      </c>
      <c r="D7" s="44" t="s">
        <v>12</v>
      </c>
      <c r="NX7" s="22">
        <v>6</v>
      </c>
      <c r="OZ7" s="115"/>
      <c r="PA7" s="115"/>
      <c r="PB7" s="115"/>
      <c r="PC7" s="115"/>
      <c r="PD7" s="115"/>
      <c r="PE7" s="115"/>
      <c r="PF7" s="115"/>
      <c r="PG7" s="115"/>
      <c r="PH7" s="115"/>
      <c r="PI7" s="115"/>
      <c r="PJ7" s="115"/>
      <c r="PK7" s="115"/>
      <c r="PL7" s="115"/>
      <c r="PM7" s="115"/>
      <c r="PN7" s="115"/>
      <c r="PO7" s="115"/>
      <c r="PP7" s="115"/>
      <c r="PQ7" s="115"/>
      <c r="PR7" s="115"/>
      <c r="PS7" s="115"/>
      <c r="PT7" s="115"/>
      <c r="PU7" s="115"/>
      <c r="PV7" s="115"/>
      <c r="PW7" s="115"/>
      <c r="PX7" s="115"/>
      <c r="PY7" s="115"/>
      <c r="PZ7" s="115"/>
      <c r="QA7" s="115"/>
      <c r="QB7" s="115"/>
      <c r="QC7" s="115"/>
      <c r="QD7" s="115"/>
      <c r="QE7" s="115"/>
      <c r="QF7" s="115"/>
      <c r="QG7" s="115"/>
      <c r="QH7" s="115"/>
      <c r="QI7" s="115"/>
      <c r="QJ7" s="115"/>
      <c r="QK7" s="115"/>
      <c r="QL7" s="115"/>
      <c r="QM7" s="115"/>
      <c r="QN7" s="115"/>
      <c r="QO7" s="115"/>
      <c r="QP7" s="115"/>
      <c r="QQ7" s="115"/>
      <c r="QR7" s="115"/>
      <c r="QS7" s="115"/>
      <c r="QT7" s="115"/>
      <c r="QU7" s="115"/>
      <c r="QV7" s="115"/>
      <c r="QW7" s="115"/>
      <c r="QX7" s="115"/>
      <c r="QY7" s="115"/>
      <c r="QZ7" s="115"/>
      <c r="RA7" s="115"/>
      <c r="RB7" s="115"/>
      <c r="RC7" s="115"/>
      <c r="RD7" s="115"/>
      <c r="RE7" s="115"/>
      <c r="RF7" s="115"/>
      <c r="RG7" s="115"/>
      <c r="RH7" s="115"/>
      <c r="RI7" s="115"/>
      <c r="RJ7" s="115"/>
      <c r="RK7" s="115"/>
      <c r="RL7" s="115"/>
      <c r="RM7" s="115"/>
      <c r="RN7" s="115"/>
      <c r="RO7" s="115"/>
      <c r="RP7" s="115"/>
      <c r="RQ7" s="115"/>
      <c r="RR7" s="115"/>
      <c r="RS7" s="115"/>
      <c r="RT7" s="115"/>
      <c r="RU7" s="115"/>
      <c r="RV7" s="115"/>
      <c r="RW7" s="115"/>
      <c r="RX7" s="115"/>
      <c r="RY7" s="115"/>
      <c r="RZ7" s="115"/>
      <c r="SA7" s="115"/>
      <c r="SB7" s="115"/>
      <c r="SC7" s="115"/>
      <c r="SD7" s="115"/>
      <c r="SE7" s="115"/>
      <c r="SF7" s="115"/>
      <c r="SG7" s="115"/>
      <c r="SH7" s="115"/>
      <c r="SI7" s="115"/>
      <c r="SJ7" s="115"/>
      <c r="SK7" s="115"/>
      <c r="SL7" s="115"/>
      <c r="SM7" s="115"/>
      <c r="SN7" s="115"/>
      <c r="SO7" s="115"/>
      <c r="SP7" s="115"/>
      <c r="SQ7" s="115"/>
      <c r="SR7" s="115"/>
      <c r="SS7" s="115"/>
      <c r="ST7" s="115"/>
      <c r="SU7" s="115"/>
      <c r="SV7" s="115"/>
      <c r="SW7" s="115"/>
      <c r="SX7" s="115"/>
      <c r="SY7" s="115"/>
      <c r="SZ7" s="115"/>
      <c r="TA7" s="115"/>
      <c r="TB7" s="115"/>
      <c r="TC7" s="115"/>
      <c r="TD7" s="115"/>
      <c r="TE7" s="115"/>
      <c r="TF7" s="115"/>
      <c r="TG7" s="115"/>
      <c r="TH7" s="115"/>
      <c r="TI7" s="115"/>
      <c r="TJ7" s="115"/>
      <c r="TK7" s="115"/>
      <c r="TL7" s="115"/>
      <c r="TM7" s="115"/>
      <c r="TN7" s="115"/>
      <c r="TO7" s="115"/>
      <c r="TP7" s="115"/>
      <c r="TQ7" s="115"/>
      <c r="TR7" s="115"/>
      <c r="TS7" s="115"/>
      <c r="TT7" s="115"/>
      <c r="TU7" s="115"/>
      <c r="TV7" s="115"/>
      <c r="TW7" s="115"/>
      <c r="TX7" s="115"/>
      <c r="TY7" s="115"/>
      <c r="TZ7" s="115"/>
      <c r="UA7" s="115"/>
      <c r="UB7" s="115"/>
      <c r="UC7" s="115"/>
      <c r="UD7" s="115"/>
      <c r="UE7" s="115"/>
      <c r="UF7" s="115"/>
      <c r="UG7" s="115"/>
      <c r="UH7" s="115"/>
      <c r="UI7" s="115"/>
      <c r="UJ7" s="115"/>
      <c r="UK7" s="115"/>
      <c r="UL7" s="115"/>
      <c r="UM7" s="115"/>
      <c r="UN7" s="115"/>
      <c r="UO7" s="115"/>
      <c r="UP7" s="115"/>
      <c r="UQ7" s="115"/>
      <c r="UR7" s="115"/>
      <c r="US7" s="115"/>
      <c r="UT7" s="115"/>
      <c r="UU7" s="115"/>
      <c r="UV7" s="115"/>
      <c r="UW7" s="115"/>
      <c r="UX7" s="115"/>
      <c r="UY7" s="115"/>
      <c r="UZ7" s="115"/>
      <c r="VA7" s="115"/>
      <c r="VB7" s="115"/>
      <c r="VC7" s="115"/>
      <c r="VD7" s="115"/>
      <c r="VE7" s="115"/>
      <c r="VF7" s="115"/>
      <c r="VG7" s="115"/>
      <c r="VH7" s="115"/>
      <c r="VI7" s="115"/>
      <c r="VJ7" s="115"/>
      <c r="VK7" s="115"/>
      <c r="VL7" s="115"/>
      <c r="VM7" s="115"/>
      <c r="VN7" s="115"/>
      <c r="VO7" s="115"/>
      <c r="VP7" s="115"/>
      <c r="VQ7" s="115"/>
      <c r="VR7" s="115"/>
      <c r="VS7" s="115"/>
      <c r="VT7" s="115"/>
      <c r="VU7" s="115"/>
      <c r="VV7" s="115"/>
      <c r="VW7" s="115"/>
      <c r="VX7" s="115"/>
      <c r="VY7" s="115"/>
      <c r="VZ7" s="115"/>
      <c r="WA7" s="115"/>
      <c r="WB7" s="115"/>
      <c r="WC7" s="115"/>
      <c r="WD7" s="115"/>
      <c r="WE7" s="115"/>
      <c r="WF7" s="115"/>
      <c r="WG7" s="115"/>
      <c r="WH7" s="115"/>
      <c r="WI7" s="115"/>
      <c r="WJ7" s="115"/>
      <c r="WK7" s="115"/>
      <c r="WL7" s="115"/>
      <c r="WM7" s="115"/>
      <c r="WN7" s="115"/>
      <c r="WO7" s="115"/>
      <c r="WP7" s="115"/>
      <c r="WQ7" s="115"/>
      <c r="WR7" s="115"/>
      <c r="WS7" s="115"/>
      <c r="WT7" s="115"/>
      <c r="WU7" s="115"/>
      <c r="WV7" s="115"/>
      <c r="WW7" s="115"/>
      <c r="WX7" s="115"/>
      <c r="WY7" s="115"/>
      <c r="WZ7" s="115"/>
      <c r="XA7" s="115"/>
      <c r="XB7" s="115"/>
      <c r="XC7" s="115"/>
      <c r="XD7" s="115"/>
      <c r="XE7" s="115"/>
      <c r="XF7" s="115"/>
      <c r="XG7" s="115"/>
      <c r="XH7" s="115"/>
      <c r="XI7" s="115"/>
      <c r="XJ7" s="115"/>
      <c r="XK7" s="115"/>
      <c r="XL7" s="115"/>
      <c r="XM7" s="115"/>
      <c r="XN7" s="115"/>
      <c r="XO7" s="115"/>
      <c r="XP7" s="115"/>
      <c r="XQ7" s="115"/>
      <c r="XR7" s="115"/>
      <c r="XS7" s="115"/>
      <c r="XT7" s="115"/>
      <c r="XU7" s="115"/>
      <c r="XV7" s="115"/>
      <c r="XW7" s="115"/>
      <c r="XX7" s="115"/>
      <c r="XY7" s="115"/>
      <c r="XZ7" s="115"/>
      <c r="YA7" s="115"/>
      <c r="YB7" s="115"/>
      <c r="YC7" s="115"/>
      <c r="YD7" s="115"/>
      <c r="YE7" s="115"/>
      <c r="YF7" s="115"/>
      <c r="YG7" s="115"/>
      <c r="YH7" s="115"/>
      <c r="YI7" s="115"/>
      <c r="YJ7" s="115"/>
      <c r="YK7" s="115"/>
      <c r="YL7" s="115"/>
      <c r="YM7" s="115"/>
      <c r="YN7" s="115"/>
      <c r="YO7" s="115"/>
      <c r="YP7" s="115"/>
      <c r="YQ7" s="115"/>
      <c r="YX7" s="22">
        <v>6</v>
      </c>
      <c r="YY7" s="22">
        <f>VLOOKUP(B7,'SCAFFOLDING MATERIAL OVERALL'!B9:S191,18,FALSE)</f>
        <v>16.25</v>
      </c>
      <c r="YZ7" s="22">
        <f>YX7*YY7</f>
        <v>97.5</v>
      </c>
    </row>
    <row r="8" spans="1:676" s="22" customFormat="1" x14ac:dyDescent="0.25">
      <c r="A8" s="14">
        <v>4</v>
      </c>
      <c r="B8" s="48">
        <v>4000015242</v>
      </c>
      <c r="C8" s="49" t="s">
        <v>15</v>
      </c>
      <c r="D8" s="44" t="s">
        <v>12</v>
      </c>
      <c r="AD8" s="22">
        <v>10</v>
      </c>
      <c r="BZ8" s="22">
        <v>10</v>
      </c>
      <c r="EY8" s="22">
        <v>32</v>
      </c>
      <c r="GC8" s="22">
        <v>17</v>
      </c>
      <c r="GS8" s="22">
        <v>32</v>
      </c>
      <c r="IC8" s="22">
        <v>20</v>
      </c>
      <c r="IE8" s="22">
        <v>65</v>
      </c>
      <c r="JK8" s="22">
        <v>11</v>
      </c>
      <c r="MR8" s="22">
        <v>24</v>
      </c>
      <c r="MS8" s="22">
        <v>6</v>
      </c>
      <c r="NA8" s="22">
        <v>21</v>
      </c>
      <c r="NC8" s="22">
        <v>15</v>
      </c>
      <c r="NI8" s="22">
        <v>3</v>
      </c>
      <c r="NM8" s="22">
        <v>21</v>
      </c>
      <c r="NN8" s="22">
        <v>5</v>
      </c>
      <c r="NU8" s="22">
        <v>22</v>
      </c>
      <c r="OC8" s="22">
        <v>25</v>
      </c>
      <c r="OL8" s="22">
        <v>30</v>
      </c>
      <c r="OO8" s="22">
        <v>38</v>
      </c>
      <c r="OW8" s="22">
        <v>34</v>
      </c>
      <c r="OX8" s="22">
        <v>9</v>
      </c>
      <c r="OZ8" s="115"/>
      <c r="PA8" s="115"/>
      <c r="PB8" s="115"/>
      <c r="PC8" s="115"/>
      <c r="PD8" s="115"/>
      <c r="PE8" s="115"/>
      <c r="PF8" s="115"/>
      <c r="PG8" s="115"/>
      <c r="PH8" s="115"/>
      <c r="PI8" s="115"/>
      <c r="PJ8" s="115"/>
      <c r="PK8" s="115"/>
      <c r="PL8" s="115"/>
      <c r="PM8" s="115"/>
      <c r="PN8" s="115"/>
      <c r="PO8" s="115"/>
      <c r="PP8" s="115"/>
      <c r="PQ8" s="115"/>
      <c r="PR8" s="115"/>
      <c r="PS8" s="115"/>
      <c r="PT8" s="115"/>
      <c r="PU8" s="115"/>
      <c r="PV8" s="115"/>
      <c r="PW8" s="115"/>
      <c r="PX8" s="115"/>
      <c r="PY8" s="115"/>
      <c r="PZ8" s="115"/>
      <c r="QA8" s="115"/>
      <c r="QB8" s="115"/>
      <c r="QC8" s="115"/>
      <c r="QD8" s="115"/>
      <c r="QE8" s="115"/>
      <c r="QF8" s="115">
        <v>40</v>
      </c>
      <c r="QG8" s="115"/>
      <c r="QH8" s="115"/>
      <c r="QI8" s="115"/>
      <c r="QJ8" s="115"/>
      <c r="QK8" s="115"/>
      <c r="QL8" s="115"/>
      <c r="QM8" s="115"/>
      <c r="QN8" s="115"/>
      <c r="QO8" s="115"/>
      <c r="QP8" s="115"/>
      <c r="QQ8" s="115"/>
      <c r="QR8" s="115"/>
      <c r="QS8" s="115"/>
      <c r="QT8" s="115"/>
      <c r="QU8" s="115"/>
      <c r="QV8" s="115"/>
      <c r="QW8" s="115"/>
      <c r="QX8" s="115"/>
      <c r="QY8" s="115"/>
      <c r="QZ8" s="115"/>
      <c r="RA8" s="115"/>
      <c r="RB8" s="115"/>
      <c r="RC8" s="115"/>
      <c r="RD8" s="115"/>
      <c r="RE8" s="115"/>
      <c r="RF8" s="115">
        <v>15</v>
      </c>
      <c r="RG8" s="115"/>
      <c r="RH8" s="115"/>
      <c r="RI8" s="115"/>
      <c r="RJ8" s="115"/>
      <c r="RK8" s="115"/>
      <c r="RL8" s="115"/>
      <c r="RM8" s="115"/>
      <c r="RN8" s="115"/>
      <c r="RO8" s="115"/>
      <c r="RP8" s="115"/>
      <c r="RQ8" s="115"/>
      <c r="RR8" s="115"/>
      <c r="RS8" s="115"/>
      <c r="RT8" s="115"/>
      <c r="RU8" s="115"/>
      <c r="RV8" s="115"/>
      <c r="RW8" s="115"/>
      <c r="RX8" s="115"/>
      <c r="RY8" s="115"/>
      <c r="RZ8" s="115"/>
      <c r="SA8" s="115"/>
      <c r="SB8" s="115"/>
      <c r="SC8" s="115"/>
      <c r="SD8" s="115"/>
      <c r="SE8" s="115"/>
      <c r="SF8" s="115"/>
      <c r="SG8" s="115"/>
      <c r="SH8" s="115"/>
      <c r="SI8" s="115"/>
      <c r="SJ8" s="115"/>
      <c r="SK8" s="115"/>
      <c r="SL8" s="115"/>
      <c r="SM8" s="115"/>
      <c r="SN8" s="115"/>
      <c r="SO8" s="115"/>
      <c r="SP8" s="115"/>
      <c r="SQ8" s="115"/>
      <c r="SR8" s="115"/>
      <c r="SS8" s="115"/>
      <c r="ST8" s="115"/>
      <c r="SU8" s="115"/>
      <c r="SV8" s="115"/>
      <c r="SW8" s="115"/>
      <c r="SX8" s="115"/>
      <c r="SY8" s="115"/>
      <c r="SZ8" s="115"/>
      <c r="TA8" s="115"/>
      <c r="TB8" s="115"/>
      <c r="TC8" s="115"/>
      <c r="TD8" s="115"/>
      <c r="TE8" s="115"/>
      <c r="TF8" s="115">
        <v>8</v>
      </c>
      <c r="TG8" s="115">
        <v>182</v>
      </c>
      <c r="TH8" s="115">
        <v>10</v>
      </c>
      <c r="TI8" s="115"/>
      <c r="TJ8" s="115">
        <v>20</v>
      </c>
      <c r="TK8" s="115"/>
      <c r="TL8" s="115"/>
      <c r="TM8" s="115"/>
      <c r="TN8" s="115"/>
      <c r="TO8" s="115"/>
      <c r="TP8" s="115"/>
      <c r="TQ8" s="115"/>
      <c r="TR8" s="115"/>
      <c r="TS8" s="115"/>
      <c r="TT8" s="115"/>
      <c r="TU8" s="115"/>
      <c r="TV8" s="115"/>
      <c r="TW8" s="115"/>
      <c r="TX8" s="115"/>
      <c r="TY8" s="115"/>
      <c r="TZ8" s="115"/>
      <c r="UA8" s="115"/>
      <c r="UB8" s="115"/>
      <c r="UC8" s="115"/>
      <c r="UD8" s="115"/>
      <c r="UE8" s="115"/>
      <c r="UF8" s="115"/>
      <c r="UG8" s="115"/>
      <c r="UH8" s="115"/>
      <c r="UI8" s="115"/>
      <c r="UJ8" s="115"/>
      <c r="UK8" s="115"/>
      <c r="UL8" s="115"/>
      <c r="UM8" s="115"/>
      <c r="UN8" s="115"/>
      <c r="UO8" s="115"/>
      <c r="UP8" s="115"/>
      <c r="UQ8" s="115"/>
      <c r="UR8" s="115"/>
      <c r="US8" s="115"/>
      <c r="UT8" s="115"/>
      <c r="UU8" s="115"/>
      <c r="UV8" s="115"/>
      <c r="UW8" s="115"/>
      <c r="UX8" s="115"/>
      <c r="UY8" s="115"/>
      <c r="UZ8" s="115"/>
      <c r="VA8" s="115"/>
      <c r="VB8" s="115"/>
      <c r="VC8" s="115"/>
      <c r="VD8" s="115"/>
      <c r="VE8" s="115"/>
      <c r="VF8" s="115"/>
      <c r="VG8" s="115"/>
      <c r="VH8" s="115"/>
      <c r="VI8" s="115"/>
      <c r="VJ8" s="115"/>
      <c r="VK8" s="115"/>
      <c r="VL8" s="115"/>
      <c r="VM8" s="115"/>
      <c r="VN8" s="115"/>
      <c r="VO8" s="115"/>
      <c r="VP8" s="115"/>
      <c r="VQ8" s="115"/>
      <c r="VR8" s="115"/>
      <c r="VS8" s="115"/>
      <c r="VT8" s="115"/>
      <c r="VU8" s="115"/>
      <c r="VV8" s="115"/>
      <c r="VW8" s="115"/>
      <c r="VX8" s="115"/>
      <c r="VY8" s="115"/>
      <c r="VZ8" s="115"/>
      <c r="WA8" s="115"/>
      <c r="WB8" s="115"/>
      <c r="WC8" s="115"/>
      <c r="WD8" s="115"/>
      <c r="WE8" s="115"/>
      <c r="WF8" s="115"/>
      <c r="WG8" s="115"/>
      <c r="WH8" s="115"/>
      <c r="WI8" s="115"/>
      <c r="WJ8" s="115"/>
      <c r="WK8" s="115"/>
      <c r="WL8" s="115"/>
      <c r="WM8" s="115"/>
      <c r="WN8" s="115"/>
      <c r="WO8" s="115"/>
      <c r="WP8" s="115"/>
      <c r="WQ8" s="115"/>
      <c r="WR8" s="115"/>
      <c r="WS8" s="115"/>
      <c r="WT8" s="115"/>
      <c r="WU8" s="115"/>
      <c r="WV8" s="115"/>
      <c r="WW8" s="115"/>
      <c r="WX8" s="115"/>
      <c r="WY8" s="115"/>
      <c r="WZ8" s="115"/>
      <c r="XA8" s="115"/>
      <c r="XB8" s="115"/>
      <c r="XC8" s="115"/>
      <c r="XD8" s="115"/>
      <c r="XE8" s="115"/>
      <c r="XF8" s="115"/>
      <c r="XG8" s="115"/>
      <c r="XH8" s="115"/>
      <c r="XI8" s="115"/>
      <c r="XJ8" s="115"/>
      <c r="XK8" s="115"/>
      <c r="XL8" s="115"/>
      <c r="XM8" s="115"/>
      <c r="XN8" s="115"/>
      <c r="XO8" s="115"/>
      <c r="XP8" s="115"/>
      <c r="XQ8" s="115"/>
      <c r="XR8" s="115"/>
      <c r="XS8" s="115"/>
      <c r="XT8" s="115"/>
      <c r="XU8" s="115"/>
      <c r="XV8" s="115"/>
      <c r="XW8" s="115"/>
      <c r="XX8" s="115"/>
      <c r="XY8" s="115"/>
      <c r="XZ8" s="115"/>
      <c r="YA8" s="115"/>
      <c r="YB8" s="115"/>
      <c r="YC8" s="115"/>
      <c r="YD8" s="115"/>
      <c r="YE8" s="115"/>
      <c r="YF8" s="115"/>
      <c r="YG8" s="115"/>
      <c r="YH8" s="115"/>
      <c r="YI8" s="115"/>
      <c r="YJ8" s="115"/>
      <c r="YK8" s="115"/>
      <c r="YL8" s="115"/>
      <c r="YM8" s="115"/>
      <c r="YN8" s="115"/>
      <c r="YO8" s="115"/>
      <c r="YP8" s="115"/>
      <c r="YQ8" s="115"/>
      <c r="YX8" s="22">
        <v>725</v>
      </c>
      <c r="YY8" s="22">
        <f>VLOOKUP(B8,'SCAFFOLDING MATERIAL OVERALL'!B10:S192,18,FALSE)</f>
        <v>19.5</v>
      </c>
      <c r="YZ8" s="22">
        <f t="shared" ref="YZ8:YZ71" si="0">YX8*YY8</f>
        <v>14137.5</v>
      </c>
    </row>
    <row r="9" spans="1:676" s="22" customFormat="1" x14ac:dyDescent="0.25">
      <c r="A9" s="17">
        <v>5</v>
      </c>
      <c r="B9" s="48">
        <v>4000015243</v>
      </c>
      <c r="C9" s="49" t="s">
        <v>16</v>
      </c>
      <c r="D9" s="44" t="s">
        <v>12</v>
      </c>
      <c r="I9" s="22">
        <v>49</v>
      </c>
      <c r="AD9" s="22">
        <v>10</v>
      </c>
      <c r="AM9" s="22">
        <v>49</v>
      </c>
      <c r="BC9" s="22">
        <v>49</v>
      </c>
      <c r="BZ9" s="22">
        <v>11</v>
      </c>
      <c r="EY9" s="22">
        <v>9</v>
      </c>
      <c r="GC9" s="22">
        <v>8</v>
      </c>
      <c r="GS9" s="22">
        <v>15</v>
      </c>
      <c r="HH9" s="22">
        <v>15</v>
      </c>
      <c r="HQ9" s="22">
        <v>150</v>
      </c>
      <c r="IC9" s="22">
        <v>100</v>
      </c>
      <c r="JG9" s="22">
        <v>5</v>
      </c>
      <c r="MR9" s="22">
        <v>6</v>
      </c>
      <c r="MS9" s="22">
        <v>9</v>
      </c>
      <c r="MY9" s="22">
        <v>62</v>
      </c>
      <c r="NA9" s="22">
        <v>6</v>
      </c>
      <c r="NC9" s="22">
        <v>7</v>
      </c>
      <c r="NI9" s="22">
        <v>2</v>
      </c>
      <c r="NM9" s="22">
        <v>25</v>
      </c>
      <c r="NN9" s="22">
        <v>8</v>
      </c>
      <c r="NU9" s="22">
        <v>13</v>
      </c>
      <c r="NY9" s="22">
        <v>22</v>
      </c>
      <c r="OL9" s="22">
        <v>40</v>
      </c>
      <c r="OW9" s="22">
        <v>21</v>
      </c>
      <c r="OX9" s="22">
        <v>18</v>
      </c>
      <c r="OZ9" s="115"/>
      <c r="PA9" s="115"/>
      <c r="PB9" s="115"/>
      <c r="PC9" s="115"/>
      <c r="PD9" s="115"/>
      <c r="PE9" s="115"/>
      <c r="PF9" s="115"/>
      <c r="PG9" s="115"/>
      <c r="PH9" s="115"/>
      <c r="PI9" s="115"/>
      <c r="PJ9" s="115"/>
      <c r="PK9" s="115"/>
      <c r="PL9" s="115"/>
      <c r="PM9" s="115"/>
      <c r="PN9" s="115"/>
      <c r="PO9" s="115"/>
      <c r="PP9" s="115"/>
      <c r="PQ9" s="115"/>
      <c r="PR9" s="115"/>
      <c r="PS9" s="115"/>
      <c r="PT9" s="115"/>
      <c r="PU9" s="115"/>
      <c r="PV9" s="115"/>
      <c r="PW9" s="115">
        <v>40</v>
      </c>
      <c r="PX9" s="115"/>
      <c r="PY9" s="115"/>
      <c r="PZ9" s="115"/>
      <c r="QA9" s="115"/>
      <c r="QB9" s="115"/>
      <c r="QC9" s="115"/>
      <c r="QD9" s="115"/>
      <c r="QE9" s="115"/>
      <c r="QF9" s="115"/>
      <c r="QG9" s="115"/>
      <c r="QH9" s="115"/>
      <c r="QI9" s="115"/>
      <c r="QJ9" s="115"/>
      <c r="QK9" s="115"/>
      <c r="QL9" s="115"/>
      <c r="QM9" s="115"/>
      <c r="QN9" s="115"/>
      <c r="QO9" s="115"/>
      <c r="QP9" s="115"/>
      <c r="QQ9" s="115"/>
      <c r="QR9" s="115"/>
      <c r="QS9" s="115"/>
      <c r="QT9" s="115"/>
      <c r="QU9" s="115"/>
      <c r="QV9" s="115"/>
      <c r="QW9" s="115"/>
      <c r="QX9" s="115"/>
      <c r="QY9" s="115">
        <v>50</v>
      </c>
      <c r="QZ9" s="115"/>
      <c r="RA9" s="115"/>
      <c r="RB9" s="115"/>
      <c r="RC9" s="115"/>
      <c r="RD9" s="115"/>
      <c r="RE9" s="115"/>
      <c r="RF9" s="115"/>
      <c r="RG9" s="115"/>
      <c r="RH9" s="115"/>
      <c r="RI9" s="115"/>
      <c r="RJ9" s="115"/>
      <c r="RK9" s="115"/>
      <c r="RL9" s="115"/>
      <c r="RM9" s="115"/>
      <c r="RN9" s="115"/>
      <c r="RO9" s="115"/>
      <c r="RP9" s="115"/>
      <c r="RQ9" s="115"/>
      <c r="RR9" s="115"/>
      <c r="RS9" s="115"/>
      <c r="RT9" s="115"/>
      <c r="RU9" s="115"/>
      <c r="RV9" s="115"/>
      <c r="RW9" s="115"/>
      <c r="RX9" s="115"/>
      <c r="RY9" s="115"/>
      <c r="RZ9" s="115"/>
      <c r="SA9" s="115"/>
      <c r="SB9" s="115"/>
      <c r="SC9" s="115"/>
      <c r="SD9" s="115"/>
      <c r="SE9" s="115"/>
      <c r="SF9" s="115"/>
      <c r="SG9" s="115"/>
      <c r="SH9" s="115"/>
      <c r="SI9" s="115"/>
      <c r="SJ9" s="115"/>
      <c r="SK9" s="115"/>
      <c r="SL9" s="115"/>
      <c r="SM9" s="115"/>
      <c r="SN9" s="115"/>
      <c r="SO9" s="115"/>
      <c r="SP9" s="115"/>
      <c r="SQ9" s="115"/>
      <c r="SR9" s="115"/>
      <c r="SS9" s="115"/>
      <c r="ST9" s="115"/>
      <c r="SU9" s="115"/>
      <c r="SV9" s="115"/>
      <c r="SW9" s="115"/>
      <c r="SX9" s="115"/>
      <c r="SY9" s="115"/>
      <c r="SZ9" s="115"/>
      <c r="TA9" s="115">
        <v>68</v>
      </c>
      <c r="TB9" s="115">
        <v>80</v>
      </c>
      <c r="TC9" s="115"/>
      <c r="TD9" s="115"/>
      <c r="TE9" s="115">
        <v>81</v>
      </c>
      <c r="TF9" s="115">
        <v>102</v>
      </c>
      <c r="TG9" s="115"/>
      <c r="TH9" s="115">
        <v>36</v>
      </c>
      <c r="TI9" s="115"/>
      <c r="TJ9" s="115">
        <v>50</v>
      </c>
      <c r="TK9" s="115"/>
      <c r="TL9" s="115"/>
      <c r="TM9" s="115"/>
      <c r="TN9" s="115"/>
      <c r="TO9" s="115"/>
      <c r="TP9" s="115"/>
      <c r="TQ9" s="115"/>
      <c r="TR9" s="115"/>
      <c r="TS9" s="115"/>
      <c r="TT9" s="115"/>
      <c r="TU9" s="115"/>
      <c r="TV9" s="115"/>
      <c r="TW9" s="115">
        <v>25</v>
      </c>
      <c r="TX9" s="115">
        <v>46</v>
      </c>
      <c r="TY9" s="115">
        <v>23</v>
      </c>
      <c r="TZ9" s="115">
        <v>6</v>
      </c>
      <c r="UA9" s="115"/>
      <c r="UB9" s="115"/>
      <c r="UC9" s="115"/>
      <c r="UD9" s="115"/>
      <c r="UE9" s="115"/>
      <c r="UF9" s="115"/>
      <c r="UG9" s="115"/>
      <c r="UH9" s="115"/>
      <c r="UI9" s="115"/>
      <c r="UJ9" s="115"/>
      <c r="UK9" s="115"/>
      <c r="UL9" s="115"/>
      <c r="UM9" s="115"/>
      <c r="UN9" s="115"/>
      <c r="UO9" s="115"/>
      <c r="UP9" s="115">
        <v>17</v>
      </c>
      <c r="UQ9" s="115">
        <v>36</v>
      </c>
      <c r="UR9" s="115"/>
      <c r="US9" s="115"/>
      <c r="UT9" s="115"/>
      <c r="UU9" s="115"/>
      <c r="UV9" s="115"/>
      <c r="UW9" s="115"/>
      <c r="UX9" s="115"/>
      <c r="UY9" s="115"/>
      <c r="UZ9" s="115"/>
      <c r="VA9" s="115"/>
      <c r="VB9" s="115"/>
      <c r="VC9" s="115"/>
      <c r="VD9" s="115"/>
      <c r="VE9" s="115"/>
      <c r="VF9" s="115"/>
      <c r="VG9" s="115"/>
      <c r="VH9" s="115">
        <v>12</v>
      </c>
      <c r="VI9" s="115"/>
      <c r="VJ9" s="115"/>
      <c r="VK9" s="115"/>
      <c r="VL9" s="115"/>
      <c r="VM9" s="115">
        <v>12</v>
      </c>
      <c r="VN9" s="115"/>
      <c r="VO9" s="115">
        <v>23</v>
      </c>
      <c r="VP9" s="115"/>
      <c r="VQ9" s="115"/>
      <c r="VR9" s="115"/>
      <c r="VS9" s="115"/>
      <c r="VT9" s="115"/>
      <c r="VU9" s="115"/>
      <c r="VV9" s="115"/>
      <c r="VW9" s="115"/>
      <c r="VX9" s="115"/>
      <c r="VY9" s="115"/>
      <c r="VZ9" s="115"/>
      <c r="WA9" s="115"/>
      <c r="WB9" s="115"/>
      <c r="WC9" s="115"/>
      <c r="WD9" s="115"/>
      <c r="WE9" s="115"/>
      <c r="WF9" s="115"/>
      <c r="WG9" s="115">
        <v>46</v>
      </c>
      <c r="WH9" s="115"/>
      <c r="WI9" s="115">
        <v>10</v>
      </c>
      <c r="WJ9" s="115">
        <v>10</v>
      </c>
      <c r="WK9" s="115"/>
      <c r="WL9" s="115"/>
      <c r="WM9" s="115"/>
      <c r="WN9" s="115"/>
      <c r="WO9" s="115"/>
      <c r="WP9" s="115"/>
      <c r="WQ9" s="115"/>
      <c r="WR9" s="115"/>
      <c r="WS9" s="115"/>
      <c r="WT9" s="115"/>
      <c r="WU9" s="115"/>
      <c r="WV9" s="115"/>
      <c r="WW9" s="115"/>
      <c r="WX9" s="115">
        <v>9</v>
      </c>
      <c r="WY9" s="115"/>
      <c r="WZ9" s="115"/>
      <c r="XA9" s="115"/>
      <c r="XB9" s="115"/>
      <c r="XC9" s="115"/>
      <c r="XD9" s="115"/>
      <c r="XE9" s="115"/>
      <c r="XF9" s="115"/>
      <c r="XG9" s="115"/>
      <c r="XH9" s="115"/>
      <c r="XI9" s="115"/>
      <c r="XJ9" s="115"/>
      <c r="XK9" s="115"/>
      <c r="XL9" s="115"/>
      <c r="XM9" s="115"/>
      <c r="XN9" s="115"/>
      <c r="XO9" s="115"/>
      <c r="XP9" s="115"/>
      <c r="XQ9" s="115"/>
      <c r="XR9" s="115"/>
      <c r="XS9" s="115"/>
      <c r="XT9" s="115"/>
      <c r="XU9" s="115"/>
      <c r="XV9" s="115"/>
      <c r="XW9" s="115"/>
      <c r="XX9" s="115"/>
      <c r="XY9" s="115"/>
      <c r="XZ9" s="115"/>
      <c r="YA9" s="115"/>
      <c r="YB9" s="115"/>
      <c r="YC9" s="115"/>
      <c r="YD9" s="115"/>
      <c r="YE9" s="115"/>
      <c r="YF9" s="115"/>
      <c r="YG9" s="115"/>
      <c r="YH9" s="115"/>
      <c r="YI9" s="115"/>
      <c r="YJ9" s="115"/>
      <c r="YK9" s="115"/>
      <c r="YL9" s="115"/>
      <c r="YM9" s="115"/>
      <c r="YN9" s="115"/>
      <c r="YO9" s="115"/>
      <c r="YP9" s="115"/>
      <c r="YQ9" s="115"/>
      <c r="YX9" s="22">
        <v>1491</v>
      </c>
      <c r="YY9" s="22">
        <f>VLOOKUP(B9,'SCAFFOLDING MATERIAL OVERALL'!B11:S193,18,FALSE)</f>
        <v>26</v>
      </c>
      <c r="YZ9" s="22">
        <f t="shared" si="0"/>
        <v>38766</v>
      </c>
    </row>
    <row r="10" spans="1:676" s="22" customFormat="1" x14ac:dyDescent="0.25">
      <c r="A10" s="14">
        <v>6</v>
      </c>
      <c r="B10" s="48">
        <v>4000015244</v>
      </c>
      <c r="C10" s="47" t="s">
        <v>17</v>
      </c>
      <c r="D10" s="44" t="s">
        <v>12</v>
      </c>
      <c r="M10" s="22">
        <v>3</v>
      </c>
      <c r="EY10" s="22">
        <v>15</v>
      </c>
      <c r="GC10" s="22">
        <v>4</v>
      </c>
      <c r="GS10" s="22">
        <v>8</v>
      </c>
      <c r="JG10" s="22">
        <v>1</v>
      </c>
      <c r="JK10" s="22">
        <v>1</v>
      </c>
      <c r="MR10" s="22">
        <v>24</v>
      </c>
      <c r="MS10" s="22">
        <v>3</v>
      </c>
      <c r="NA10" s="22">
        <v>12</v>
      </c>
      <c r="NC10" s="22">
        <v>9</v>
      </c>
      <c r="NI10" s="22">
        <v>2</v>
      </c>
      <c r="NN10" s="22">
        <v>11</v>
      </c>
      <c r="OZ10" s="115"/>
      <c r="PA10" s="115"/>
      <c r="PB10" s="115"/>
      <c r="PC10" s="115"/>
      <c r="PD10" s="115"/>
      <c r="PE10" s="115"/>
      <c r="PF10" s="115"/>
      <c r="PG10" s="115"/>
      <c r="PH10" s="115"/>
      <c r="PI10" s="115"/>
      <c r="PJ10" s="115"/>
      <c r="PK10" s="115"/>
      <c r="PL10" s="115"/>
      <c r="PM10" s="115"/>
      <c r="PN10" s="115"/>
      <c r="PO10" s="115"/>
      <c r="PP10" s="115"/>
      <c r="PQ10" s="115"/>
      <c r="PR10" s="115"/>
      <c r="PS10" s="115"/>
      <c r="PT10" s="115"/>
      <c r="PU10" s="115"/>
      <c r="PV10" s="115"/>
      <c r="PW10" s="115"/>
      <c r="PX10" s="115"/>
      <c r="PY10" s="115"/>
      <c r="PZ10" s="115"/>
      <c r="QA10" s="115"/>
      <c r="QB10" s="115"/>
      <c r="QC10" s="115"/>
      <c r="QD10" s="115"/>
      <c r="QE10" s="115"/>
      <c r="QF10" s="115"/>
      <c r="QG10" s="115"/>
      <c r="QH10" s="115"/>
      <c r="QI10" s="115"/>
      <c r="QJ10" s="115"/>
      <c r="QK10" s="115"/>
      <c r="QL10" s="115"/>
      <c r="QM10" s="115"/>
      <c r="QN10" s="115"/>
      <c r="QO10" s="115"/>
      <c r="QP10" s="115"/>
      <c r="QQ10" s="115"/>
      <c r="QR10" s="115"/>
      <c r="QS10" s="115"/>
      <c r="QT10" s="115"/>
      <c r="QU10" s="115"/>
      <c r="QV10" s="115"/>
      <c r="QW10" s="115"/>
      <c r="QX10" s="115"/>
      <c r="QY10" s="115"/>
      <c r="QZ10" s="115"/>
      <c r="RA10" s="115"/>
      <c r="RB10" s="115"/>
      <c r="RC10" s="115"/>
      <c r="RD10" s="115"/>
      <c r="RE10" s="115"/>
      <c r="RF10" s="115"/>
      <c r="RG10" s="115"/>
      <c r="RH10" s="115"/>
      <c r="RI10" s="115"/>
      <c r="RJ10" s="115"/>
      <c r="RK10" s="115"/>
      <c r="RL10" s="115"/>
      <c r="RM10" s="115"/>
      <c r="RN10" s="115"/>
      <c r="RO10" s="115"/>
      <c r="RP10" s="115"/>
      <c r="RQ10" s="115"/>
      <c r="RR10" s="115"/>
      <c r="RS10" s="115"/>
      <c r="RT10" s="115"/>
      <c r="RU10" s="115"/>
      <c r="RV10" s="115"/>
      <c r="RW10" s="115"/>
      <c r="RX10" s="115"/>
      <c r="RY10" s="115"/>
      <c r="RZ10" s="115"/>
      <c r="SA10" s="115"/>
      <c r="SB10" s="115"/>
      <c r="SC10" s="115"/>
      <c r="SD10" s="115"/>
      <c r="SE10" s="115"/>
      <c r="SF10" s="115"/>
      <c r="SG10" s="115"/>
      <c r="SH10" s="115"/>
      <c r="SI10" s="115"/>
      <c r="SJ10" s="115"/>
      <c r="SK10" s="115"/>
      <c r="SL10" s="115"/>
      <c r="SM10" s="115"/>
      <c r="SN10" s="115"/>
      <c r="SO10" s="115"/>
      <c r="SP10" s="115"/>
      <c r="SQ10" s="115"/>
      <c r="SR10" s="115"/>
      <c r="SS10" s="115"/>
      <c r="ST10" s="115"/>
      <c r="SU10" s="115"/>
      <c r="SV10" s="115"/>
      <c r="SW10" s="115"/>
      <c r="SX10" s="115"/>
      <c r="SY10" s="115"/>
      <c r="SZ10" s="115"/>
      <c r="TA10" s="115"/>
      <c r="TB10" s="115"/>
      <c r="TC10" s="115"/>
      <c r="TD10" s="115"/>
      <c r="TE10" s="115"/>
      <c r="TF10" s="115"/>
      <c r="TG10" s="115"/>
      <c r="TH10" s="115"/>
      <c r="TI10" s="115"/>
      <c r="TJ10" s="115"/>
      <c r="TK10" s="115"/>
      <c r="TL10" s="115"/>
      <c r="TM10" s="115"/>
      <c r="TN10" s="115"/>
      <c r="TO10" s="115"/>
      <c r="TP10" s="115"/>
      <c r="TQ10" s="115"/>
      <c r="TR10" s="115"/>
      <c r="TS10" s="115"/>
      <c r="TT10" s="115"/>
      <c r="TU10" s="115"/>
      <c r="TV10" s="115"/>
      <c r="TW10" s="115"/>
      <c r="TX10" s="115"/>
      <c r="TY10" s="115"/>
      <c r="TZ10" s="115"/>
      <c r="UA10" s="115"/>
      <c r="UB10" s="115"/>
      <c r="UC10" s="115"/>
      <c r="UD10" s="115"/>
      <c r="UE10" s="115"/>
      <c r="UF10" s="115"/>
      <c r="UG10" s="115"/>
      <c r="UH10" s="115"/>
      <c r="UI10" s="115"/>
      <c r="UJ10" s="115"/>
      <c r="UK10" s="115"/>
      <c r="UL10" s="115"/>
      <c r="UM10" s="115"/>
      <c r="UN10" s="115"/>
      <c r="UO10" s="115"/>
      <c r="UP10" s="115"/>
      <c r="UQ10" s="115"/>
      <c r="UR10" s="115"/>
      <c r="US10" s="115"/>
      <c r="UT10" s="115"/>
      <c r="UU10" s="115"/>
      <c r="UV10" s="115"/>
      <c r="UW10" s="115"/>
      <c r="UX10" s="115"/>
      <c r="UY10" s="115"/>
      <c r="UZ10" s="115"/>
      <c r="VA10" s="115"/>
      <c r="VB10" s="115"/>
      <c r="VC10" s="115"/>
      <c r="VD10" s="115"/>
      <c r="VE10" s="115"/>
      <c r="VF10" s="115"/>
      <c r="VG10" s="115"/>
      <c r="VH10" s="115"/>
      <c r="VI10" s="115"/>
      <c r="VJ10" s="115"/>
      <c r="VK10" s="115"/>
      <c r="VL10" s="115"/>
      <c r="VM10" s="115"/>
      <c r="VN10" s="115"/>
      <c r="VO10" s="115"/>
      <c r="VP10" s="115"/>
      <c r="VQ10" s="115"/>
      <c r="VR10" s="115"/>
      <c r="VS10" s="115"/>
      <c r="VT10" s="115"/>
      <c r="VU10" s="115"/>
      <c r="VV10" s="115"/>
      <c r="VW10" s="115"/>
      <c r="VX10" s="115"/>
      <c r="VY10" s="115"/>
      <c r="VZ10" s="115"/>
      <c r="WA10" s="115"/>
      <c r="WB10" s="115"/>
      <c r="WC10" s="115"/>
      <c r="WD10" s="115"/>
      <c r="WE10" s="115"/>
      <c r="WF10" s="115"/>
      <c r="WG10" s="115"/>
      <c r="WH10" s="115"/>
      <c r="WI10" s="115"/>
      <c r="WJ10" s="115"/>
      <c r="WK10" s="115"/>
      <c r="WL10" s="115"/>
      <c r="WM10" s="115"/>
      <c r="WN10" s="115"/>
      <c r="WO10" s="115"/>
      <c r="WP10" s="115"/>
      <c r="WQ10" s="115"/>
      <c r="WR10" s="115"/>
      <c r="WS10" s="115"/>
      <c r="WT10" s="115"/>
      <c r="WU10" s="115"/>
      <c r="WV10" s="115"/>
      <c r="WW10" s="115"/>
      <c r="WX10" s="115"/>
      <c r="WY10" s="115"/>
      <c r="WZ10" s="115"/>
      <c r="XA10" s="115"/>
      <c r="XB10" s="115"/>
      <c r="XC10" s="115"/>
      <c r="XD10" s="115"/>
      <c r="XE10" s="115"/>
      <c r="XF10" s="115"/>
      <c r="XG10" s="115"/>
      <c r="XH10" s="115"/>
      <c r="XI10" s="115"/>
      <c r="XJ10" s="115"/>
      <c r="XK10" s="115"/>
      <c r="XL10" s="115"/>
      <c r="XM10" s="115"/>
      <c r="XN10" s="115"/>
      <c r="XO10" s="115"/>
      <c r="XP10" s="115"/>
      <c r="XQ10" s="115"/>
      <c r="XR10" s="115"/>
      <c r="XS10" s="115"/>
      <c r="XT10" s="115"/>
      <c r="XU10" s="115"/>
      <c r="XV10" s="115"/>
      <c r="XW10" s="115"/>
      <c r="XX10" s="115"/>
      <c r="XY10" s="115"/>
      <c r="XZ10" s="115"/>
      <c r="YA10" s="115"/>
      <c r="YB10" s="115"/>
      <c r="YC10" s="115"/>
      <c r="YD10" s="115"/>
      <c r="YE10" s="115"/>
      <c r="YF10" s="115"/>
      <c r="YG10" s="115"/>
      <c r="YH10" s="115"/>
      <c r="YI10" s="115"/>
      <c r="YJ10" s="115"/>
      <c r="YK10" s="115"/>
      <c r="YL10" s="115"/>
      <c r="YM10" s="115"/>
      <c r="YN10" s="115"/>
      <c r="YO10" s="115"/>
      <c r="YP10" s="115"/>
      <c r="YQ10" s="115"/>
      <c r="YX10" s="22">
        <v>93</v>
      </c>
      <c r="YY10" s="22">
        <f>VLOOKUP(B10,'SCAFFOLDING MATERIAL OVERALL'!B12:S194,18,FALSE)</f>
        <v>32.5</v>
      </c>
      <c r="YZ10" s="22">
        <f t="shared" si="0"/>
        <v>3022.5</v>
      </c>
    </row>
    <row r="11" spans="1:676" s="22" customFormat="1" x14ac:dyDescent="0.25">
      <c r="A11" s="14">
        <v>7</v>
      </c>
      <c r="B11" s="46">
        <v>4000015245</v>
      </c>
      <c r="C11" s="45" t="s">
        <v>18</v>
      </c>
      <c r="D11" s="44" t="s">
        <v>12</v>
      </c>
      <c r="M11" s="22">
        <v>3</v>
      </c>
      <c r="R11" s="22">
        <v>25</v>
      </c>
      <c r="AD11" s="22">
        <v>10</v>
      </c>
      <c r="DO11" s="22">
        <v>30</v>
      </c>
      <c r="EY11" s="22">
        <v>9</v>
      </c>
      <c r="GC11" s="22">
        <v>6</v>
      </c>
      <c r="GS11" s="22">
        <v>6</v>
      </c>
      <c r="HH11" s="22">
        <v>15</v>
      </c>
      <c r="HP11" s="22">
        <v>10</v>
      </c>
      <c r="HQ11" s="22">
        <v>90</v>
      </c>
      <c r="IW11" s="22">
        <v>30</v>
      </c>
      <c r="JK11" s="22">
        <v>6</v>
      </c>
      <c r="MS11" s="22">
        <v>8</v>
      </c>
      <c r="MY11" s="22">
        <v>10</v>
      </c>
      <c r="NA11" s="22">
        <v>7</v>
      </c>
      <c r="NI11" s="22">
        <v>5</v>
      </c>
      <c r="NN11" s="22">
        <v>10</v>
      </c>
      <c r="OZ11" s="115"/>
      <c r="PA11" s="115"/>
      <c r="PB11" s="115"/>
      <c r="PC11" s="115"/>
      <c r="PD11" s="115"/>
      <c r="PE11" s="115"/>
      <c r="PF11" s="115"/>
      <c r="PG11" s="115"/>
      <c r="PH11" s="115"/>
      <c r="PI11" s="115"/>
      <c r="PJ11" s="115"/>
      <c r="PK11" s="115"/>
      <c r="PL11" s="115"/>
      <c r="PM11" s="115"/>
      <c r="PN11" s="115"/>
      <c r="PO11" s="115"/>
      <c r="PP11" s="115"/>
      <c r="PQ11" s="115"/>
      <c r="PR11" s="115"/>
      <c r="PS11" s="115"/>
      <c r="PT11" s="115"/>
      <c r="PU11" s="115"/>
      <c r="PV11" s="115"/>
      <c r="PW11" s="115">
        <v>20</v>
      </c>
      <c r="PX11" s="115"/>
      <c r="PY11" s="115"/>
      <c r="PZ11" s="115"/>
      <c r="QA11" s="115">
        <v>100</v>
      </c>
      <c r="QB11" s="115"/>
      <c r="QC11" s="115"/>
      <c r="QD11" s="115"/>
      <c r="QE11" s="115"/>
      <c r="QF11" s="115">
        <v>90</v>
      </c>
      <c r="QG11" s="115"/>
      <c r="QH11" s="115"/>
      <c r="QI11" s="115"/>
      <c r="QJ11" s="115"/>
      <c r="QK11" s="115"/>
      <c r="QL11" s="115"/>
      <c r="QM11" s="115"/>
      <c r="QN11" s="115"/>
      <c r="QO11" s="115"/>
      <c r="QP11" s="115"/>
      <c r="QQ11" s="115"/>
      <c r="QR11" s="115"/>
      <c r="QS11" s="115"/>
      <c r="QT11" s="115"/>
      <c r="QU11" s="115"/>
      <c r="QV11" s="115"/>
      <c r="QW11" s="115"/>
      <c r="QX11" s="115"/>
      <c r="QY11" s="115">
        <v>50</v>
      </c>
      <c r="QZ11" s="115"/>
      <c r="RA11" s="115"/>
      <c r="RB11" s="115"/>
      <c r="RC11" s="115"/>
      <c r="RD11" s="115"/>
      <c r="RE11" s="115"/>
      <c r="RF11" s="115"/>
      <c r="RG11" s="115"/>
      <c r="RH11" s="115"/>
      <c r="RI11" s="115"/>
      <c r="RJ11" s="115"/>
      <c r="RK11" s="115"/>
      <c r="RL11" s="115"/>
      <c r="RM11" s="115"/>
      <c r="RN11" s="115"/>
      <c r="RO11" s="115"/>
      <c r="RP11" s="115"/>
      <c r="RQ11" s="115"/>
      <c r="RR11" s="115"/>
      <c r="RS11" s="115"/>
      <c r="RT11" s="115"/>
      <c r="RU11" s="115"/>
      <c r="RV11" s="115"/>
      <c r="RW11" s="115"/>
      <c r="RX11" s="115"/>
      <c r="RY11" s="115"/>
      <c r="RZ11" s="115"/>
      <c r="SA11" s="115"/>
      <c r="SB11" s="115"/>
      <c r="SC11" s="115"/>
      <c r="SD11" s="115"/>
      <c r="SE11" s="115"/>
      <c r="SF11" s="115"/>
      <c r="SG11" s="115"/>
      <c r="SH11" s="115"/>
      <c r="SI11" s="115"/>
      <c r="SJ11" s="115"/>
      <c r="SK11" s="115"/>
      <c r="SL11" s="115"/>
      <c r="SM11" s="115"/>
      <c r="SN11" s="115"/>
      <c r="SO11" s="115"/>
      <c r="SP11" s="115"/>
      <c r="SQ11" s="115"/>
      <c r="SR11" s="115"/>
      <c r="SS11" s="115"/>
      <c r="ST11" s="115"/>
      <c r="SU11" s="115"/>
      <c r="SV11" s="115"/>
      <c r="SW11" s="115"/>
      <c r="SX11" s="115"/>
      <c r="SY11" s="115"/>
      <c r="SZ11" s="115"/>
      <c r="TA11" s="115"/>
      <c r="TB11" s="115">
        <v>40</v>
      </c>
      <c r="TC11" s="115"/>
      <c r="TD11" s="115"/>
      <c r="TE11" s="115"/>
      <c r="TF11" s="115">
        <v>20</v>
      </c>
      <c r="TG11" s="115">
        <v>106</v>
      </c>
      <c r="TH11" s="115">
        <v>32</v>
      </c>
      <c r="TI11" s="115">
        <v>30</v>
      </c>
      <c r="TJ11" s="115">
        <v>10</v>
      </c>
      <c r="TK11" s="115"/>
      <c r="TL11" s="115"/>
      <c r="TM11" s="115"/>
      <c r="TN11" s="115"/>
      <c r="TO11" s="115"/>
      <c r="TP11" s="115"/>
      <c r="TQ11" s="115"/>
      <c r="TR11" s="115">
        <v>19</v>
      </c>
      <c r="TS11" s="115">
        <v>7</v>
      </c>
      <c r="TT11" s="115"/>
      <c r="TU11" s="115"/>
      <c r="TV11" s="115"/>
      <c r="TW11" s="115">
        <v>50</v>
      </c>
      <c r="TX11" s="115">
        <v>4</v>
      </c>
      <c r="TY11" s="115">
        <v>15</v>
      </c>
      <c r="TZ11" s="115">
        <v>5</v>
      </c>
      <c r="UA11" s="115"/>
      <c r="UB11" s="115"/>
      <c r="UC11" s="115"/>
      <c r="UD11" s="115"/>
      <c r="UE11" s="115"/>
      <c r="UF11" s="115"/>
      <c r="UG11" s="115"/>
      <c r="UH11" s="115"/>
      <c r="UI11" s="115"/>
      <c r="UJ11" s="115"/>
      <c r="UK11" s="115"/>
      <c r="UL11" s="115"/>
      <c r="UM11" s="115"/>
      <c r="UN11" s="115"/>
      <c r="UO11" s="115">
        <v>34</v>
      </c>
      <c r="UP11" s="115">
        <v>24</v>
      </c>
      <c r="UQ11" s="115">
        <v>12</v>
      </c>
      <c r="UR11" s="115"/>
      <c r="US11" s="115"/>
      <c r="UT11" s="115"/>
      <c r="UU11" s="115"/>
      <c r="UV11" s="115"/>
      <c r="UW11" s="115"/>
      <c r="UX11" s="115"/>
      <c r="UY11" s="115"/>
      <c r="UZ11" s="115"/>
      <c r="VA11" s="115"/>
      <c r="VB11" s="115"/>
      <c r="VC11" s="115">
        <v>18</v>
      </c>
      <c r="VD11" s="115"/>
      <c r="VE11" s="115"/>
      <c r="VF11" s="115"/>
      <c r="VG11" s="115"/>
      <c r="VH11" s="115"/>
      <c r="VI11" s="115"/>
      <c r="VJ11" s="115"/>
      <c r="VK11" s="115"/>
      <c r="VL11" s="115"/>
      <c r="VM11" s="115">
        <v>13</v>
      </c>
      <c r="VN11" s="115"/>
      <c r="VO11" s="115"/>
      <c r="VP11" s="115"/>
      <c r="VQ11" s="115"/>
      <c r="VR11" s="115"/>
      <c r="VS11" s="115"/>
      <c r="VT11" s="115"/>
      <c r="VU11" s="115"/>
      <c r="VV11" s="115"/>
      <c r="VW11" s="115"/>
      <c r="VX11" s="115"/>
      <c r="VY11" s="115"/>
      <c r="VZ11" s="115"/>
      <c r="WA11" s="115"/>
      <c r="WB11" s="115"/>
      <c r="WC11" s="115"/>
      <c r="WD11" s="115"/>
      <c r="WE11" s="115"/>
      <c r="WF11" s="115"/>
      <c r="WG11" s="115"/>
      <c r="WH11" s="115"/>
      <c r="WI11" s="115">
        <v>14</v>
      </c>
      <c r="WJ11" s="115">
        <v>29</v>
      </c>
      <c r="WK11" s="115"/>
      <c r="WL11" s="115"/>
      <c r="WM11" s="115"/>
      <c r="WN11" s="115">
        <v>15</v>
      </c>
      <c r="WO11" s="115"/>
      <c r="WP11" s="115"/>
      <c r="WQ11" s="115">
        <v>21</v>
      </c>
      <c r="WR11" s="115"/>
      <c r="WS11" s="115"/>
      <c r="WT11" s="115"/>
      <c r="WU11" s="115"/>
      <c r="WV11" s="115"/>
      <c r="WW11" s="115"/>
      <c r="WX11" s="115">
        <v>10</v>
      </c>
      <c r="WY11" s="115"/>
      <c r="WZ11" s="115">
        <v>10</v>
      </c>
      <c r="XA11" s="115"/>
      <c r="XB11" s="115"/>
      <c r="XC11" s="115"/>
      <c r="XD11" s="115"/>
      <c r="XE11" s="115"/>
      <c r="XF11" s="115"/>
      <c r="XG11" s="115"/>
      <c r="XH11" s="115"/>
      <c r="XI11" s="115"/>
      <c r="XJ11" s="115"/>
      <c r="XK11" s="115"/>
      <c r="XL11" s="115"/>
      <c r="XM11" s="115"/>
      <c r="XN11" s="115"/>
      <c r="XO11" s="115"/>
      <c r="XP11" s="115"/>
      <c r="XQ11" s="115"/>
      <c r="XR11" s="115"/>
      <c r="XS11" s="115"/>
      <c r="XT11" s="115"/>
      <c r="XU11" s="115"/>
      <c r="XV11" s="115"/>
      <c r="XW11" s="115"/>
      <c r="XX11" s="115"/>
      <c r="XY11" s="115"/>
      <c r="XZ11" s="115"/>
      <c r="YA11" s="115"/>
      <c r="YB11" s="115"/>
      <c r="YC11" s="115"/>
      <c r="YD11" s="115"/>
      <c r="YE11" s="115"/>
      <c r="YF11" s="115"/>
      <c r="YG11" s="115"/>
      <c r="YH11" s="115"/>
      <c r="YI11" s="115"/>
      <c r="YJ11" s="115"/>
      <c r="YK11" s="115"/>
      <c r="YL11" s="115"/>
      <c r="YM11" s="115"/>
      <c r="YN11" s="115"/>
      <c r="YO11" s="115"/>
      <c r="YP11" s="115"/>
      <c r="YQ11" s="115"/>
      <c r="YX11" s="22">
        <v>1078</v>
      </c>
      <c r="YY11" s="22">
        <f>VLOOKUP(B11,'SCAFFOLDING MATERIAL OVERALL'!B13:S195,18,FALSE)</f>
        <v>39</v>
      </c>
      <c r="YZ11" s="22">
        <f t="shared" si="0"/>
        <v>42042</v>
      </c>
    </row>
    <row r="12" spans="1:676" s="22" customFormat="1" x14ac:dyDescent="0.25">
      <c r="A12" s="17">
        <v>8</v>
      </c>
      <c r="B12" s="46">
        <v>4000000224</v>
      </c>
      <c r="C12" s="45" t="s">
        <v>19</v>
      </c>
      <c r="D12" s="44" t="s">
        <v>12</v>
      </c>
      <c r="OZ12" s="115"/>
      <c r="PA12" s="115"/>
      <c r="PB12" s="115"/>
      <c r="PC12" s="115"/>
      <c r="PD12" s="115"/>
      <c r="PE12" s="115"/>
      <c r="PF12" s="115"/>
      <c r="PG12" s="115"/>
      <c r="PH12" s="115"/>
      <c r="PI12" s="115"/>
      <c r="PJ12" s="115"/>
      <c r="PK12" s="115"/>
      <c r="PL12" s="115"/>
      <c r="PM12" s="115"/>
      <c r="PN12" s="115"/>
      <c r="PO12" s="115"/>
      <c r="PP12" s="115"/>
      <c r="PQ12" s="115"/>
      <c r="PR12" s="115"/>
      <c r="PS12" s="115"/>
      <c r="PT12" s="115"/>
      <c r="PU12" s="115"/>
      <c r="PV12" s="115"/>
      <c r="PW12" s="115"/>
      <c r="PX12" s="115"/>
      <c r="PY12" s="115"/>
      <c r="PZ12" s="115"/>
      <c r="QA12" s="115"/>
      <c r="QB12" s="115"/>
      <c r="QC12" s="115"/>
      <c r="QD12" s="115"/>
      <c r="QE12" s="115"/>
      <c r="QF12" s="115"/>
      <c r="QG12" s="115"/>
      <c r="QH12" s="115"/>
      <c r="QI12" s="115"/>
      <c r="QJ12" s="115"/>
      <c r="QK12" s="115"/>
      <c r="QL12" s="115"/>
      <c r="QM12" s="115"/>
      <c r="QN12" s="115"/>
      <c r="QO12" s="115"/>
      <c r="QP12" s="115"/>
      <c r="QQ12" s="115"/>
      <c r="QR12" s="115"/>
      <c r="QS12" s="115"/>
      <c r="QT12" s="115"/>
      <c r="QU12" s="115"/>
      <c r="QV12" s="115"/>
      <c r="QW12" s="115"/>
      <c r="QX12" s="115"/>
      <c r="QY12" s="115"/>
      <c r="QZ12" s="115"/>
      <c r="RA12" s="115"/>
      <c r="RB12" s="115"/>
      <c r="RC12" s="115"/>
      <c r="RD12" s="115"/>
      <c r="RE12" s="115"/>
      <c r="RF12" s="115"/>
      <c r="RG12" s="115"/>
      <c r="RH12" s="115"/>
      <c r="RI12" s="115"/>
      <c r="RJ12" s="115"/>
      <c r="RK12" s="115"/>
      <c r="RL12" s="115"/>
      <c r="RM12" s="115"/>
      <c r="RN12" s="115"/>
      <c r="RO12" s="115"/>
      <c r="RP12" s="115"/>
      <c r="RQ12" s="115"/>
      <c r="RR12" s="115"/>
      <c r="RS12" s="115"/>
      <c r="RT12" s="115"/>
      <c r="RU12" s="115"/>
      <c r="RV12" s="115"/>
      <c r="RW12" s="115"/>
      <c r="RX12" s="115"/>
      <c r="RY12" s="115"/>
      <c r="RZ12" s="115"/>
      <c r="SA12" s="115"/>
      <c r="SB12" s="115"/>
      <c r="SC12" s="115"/>
      <c r="SD12" s="115"/>
      <c r="SE12" s="115"/>
      <c r="SF12" s="115"/>
      <c r="SG12" s="115"/>
      <c r="SH12" s="115"/>
      <c r="SI12" s="115"/>
      <c r="SJ12" s="115"/>
      <c r="SK12" s="115"/>
      <c r="SL12" s="115"/>
      <c r="SM12" s="115"/>
      <c r="SN12" s="115"/>
      <c r="SO12" s="115"/>
      <c r="SP12" s="115"/>
      <c r="SQ12" s="115"/>
      <c r="SR12" s="115"/>
      <c r="SS12" s="115"/>
      <c r="ST12" s="115"/>
      <c r="SU12" s="115"/>
      <c r="SV12" s="115"/>
      <c r="SW12" s="115"/>
      <c r="SX12" s="115"/>
      <c r="SY12" s="115"/>
      <c r="SZ12" s="115"/>
      <c r="TA12" s="115"/>
      <c r="TB12" s="115"/>
      <c r="TC12" s="115"/>
      <c r="TD12" s="115"/>
      <c r="TE12" s="115"/>
      <c r="TF12" s="115"/>
      <c r="TG12" s="115"/>
      <c r="TH12" s="115"/>
      <c r="TI12" s="115"/>
      <c r="TJ12" s="115"/>
      <c r="TK12" s="115"/>
      <c r="TL12" s="115"/>
      <c r="TM12" s="115"/>
      <c r="TN12" s="115"/>
      <c r="TO12" s="115"/>
      <c r="TP12" s="115"/>
      <c r="TQ12" s="115"/>
      <c r="TR12" s="115"/>
      <c r="TS12" s="115"/>
      <c r="TT12" s="115"/>
      <c r="TU12" s="115"/>
      <c r="TV12" s="115"/>
      <c r="TW12" s="115"/>
      <c r="TX12" s="115"/>
      <c r="TY12" s="115"/>
      <c r="TZ12" s="115"/>
      <c r="UA12" s="115"/>
      <c r="UB12" s="115"/>
      <c r="UC12" s="115"/>
      <c r="UD12" s="115"/>
      <c r="UE12" s="115"/>
      <c r="UF12" s="115"/>
      <c r="UG12" s="115"/>
      <c r="UH12" s="115"/>
      <c r="UI12" s="115"/>
      <c r="UJ12" s="115"/>
      <c r="UK12" s="115"/>
      <c r="UL12" s="115"/>
      <c r="UM12" s="115"/>
      <c r="UN12" s="115"/>
      <c r="UO12" s="115"/>
      <c r="UP12" s="115"/>
      <c r="UQ12" s="115"/>
      <c r="UR12" s="115"/>
      <c r="US12" s="115"/>
      <c r="UT12" s="115"/>
      <c r="UU12" s="115"/>
      <c r="UV12" s="115"/>
      <c r="UW12" s="115"/>
      <c r="UX12" s="115"/>
      <c r="UY12" s="115"/>
      <c r="UZ12" s="115"/>
      <c r="VA12" s="115"/>
      <c r="VB12" s="115"/>
      <c r="VC12" s="115"/>
      <c r="VD12" s="115"/>
      <c r="VE12" s="115"/>
      <c r="VF12" s="115"/>
      <c r="VG12" s="115"/>
      <c r="VH12" s="115"/>
      <c r="VI12" s="115"/>
      <c r="VJ12" s="115"/>
      <c r="VK12" s="115"/>
      <c r="VL12" s="115"/>
      <c r="VM12" s="115"/>
      <c r="VN12" s="115"/>
      <c r="VO12" s="115"/>
      <c r="VP12" s="115"/>
      <c r="VQ12" s="115"/>
      <c r="VR12" s="115"/>
      <c r="VS12" s="115"/>
      <c r="VT12" s="115"/>
      <c r="VU12" s="115"/>
      <c r="VV12" s="115"/>
      <c r="VW12" s="115"/>
      <c r="VX12" s="115"/>
      <c r="VY12" s="115"/>
      <c r="VZ12" s="115"/>
      <c r="WA12" s="115"/>
      <c r="WB12" s="115"/>
      <c r="WC12" s="115"/>
      <c r="WD12" s="115"/>
      <c r="WE12" s="115"/>
      <c r="WF12" s="115"/>
      <c r="WG12" s="115"/>
      <c r="WH12" s="115"/>
      <c r="WI12" s="115"/>
      <c r="WJ12" s="115"/>
      <c r="WK12" s="115"/>
      <c r="WL12" s="115"/>
      <c r="WM12" s="115"/>
      <c r="WN12" s="115"/>
      <c r="WO12" s="115"/>
      <c r="WP12" s="115"/>
      <c r="WQ12" s="115"/>
      <c r="WR12" s="115"/>
      <c r="WS12" s="115"/>
      <c r="WT12" s="115"/>
      <c r="WU12" s="115"/>
      <c r="WV12" s="115"/>
      <c r="WW12" s="115"/>
      <c r="WX12" s="115"/>
      <c r="WY12" s="115"/>
      <c r="WZ12" s="115"/>
      <c r="XA12" s="115"/>
      <c r="XB12" s="115"/>
      <c r="XC12" s="115"/>
      <c r="XD12" s="115"/>
      <c r="XE12" s="115"/>
      <c r="XF12" s="115"/>
      <c r="XG12" s="115"/>
      <c r="XH12" s="115"/>
      <c r="XI12" s="115"/>
      <c r="XJ12" s="115"/>
      <c r="XK12" s="115"/>
      <c r="XL12" s="115"/>
      <c r="XM12" s="115"/>
      <c r="XN12" s="115"/>
      <c r="XO12" s="115"/>
      <c r="XP12" s="115"/>
      <c r="XQ12" s="115"/>
      <c r="XR12" s="115"/>
      <c r="XS12" s="115"/>
      <c r="XT12" s="115"/>
      <c r="XU12" s="115"/>
      <c r="XV12" s="115"/>
      <c r="XW12" s="115"/>
      <c r="XX12" s="115"/>
      <c r="XY12" s="115"/>
      <c r="XZ12" s="115"/>
      <c r="YA12" s="115"/>
      <c r="YB12" s="115"/>
      <c r="YC12" s="115"/>
      <c r="YD12" s="115"/>
      <c r="YE12" s="115"/>
      <c r="YF12" s="115"/>
      <c r="YG12" s="115"/>
      <c r="YH12" s="115"/>
      <c r="YI12" s="115"/>
      <c r="YJ12" s="115"/>
      <c r="YK12" s="115"/>
      <c r="YL12" s="115"/>
      <c r="YM12" s="115"/>
      <c r="YN12" s="115"/>
      <c r="YO12" s="115"/>
      <c r="YP12" s="115"/>
      <c r="YQ12" s="115"/>
      <c r="YX12" s="22">
        <v>0</v>
      </c>
      <c r="YY12" s="22">
        <f>VLOOKUP(B12,'SCAFFOLDING MATERIAL OVERALL'!B14:S196,18,FALSE)</f>
        <v>3.5920000000000001</v>
      </c>
      <c r="YZ12" s="22">
        <f t="shared" si="0"/>
        <v>0</v>
      </c>
    </row>
    <row r="13" spans="1:676" s="22" customFormat="1" x14ac:dyDescent="0.25">
      <c r="A13" s="14">
        <v>9</v>
      </c>
      <c r="B13" s="46">
        <v>3000002332</v>
      </c>
      <c r="C13" s="45" t="s">
        <v>20</v>
      </c>
      <c r="D13" s="44" t="s">
        <v>12</v>
      </c>
      <c r="OZ13" s="115"/>
      <c r="PA13" s="115"/>
      <c r="PB13" s="115"/>
      <c r="PC13" s="115"/>
      <c r="PD13" s="115"/>
      <c r="PE13" s="115"/>
      <c r="PF13" s="115"/>
      <c r="PG13" s="115"/>
      <c r="PH13" s="115"/>
      <c r="PI13" s="115"/>
      <c r="PJ13" s="115"/>
      <c r="PK13" s="115"/>
      <c r="PL13" s="115"/>
      <c r="PM13" s="115"/>
      <c r="PN13" s="115"/>
      <c r="PO13" s="115"/>
      <c r="PP13" s="115"/>
      <c r="PQ13" s="115"/>
      <c r="PR13" s="115"/>
      <c r="PS13" s="115"/>
      <c r="PT13" s="115"/>
      <c r="PU13" s="115"/>
      <c r="PV13" s="115"/>
      <c r="PW13" s="115"/>
      <c r="PX13" s="115"/>
      <c r="PY13" s="115"/>
      <c r="PZ13" s="115"/>
      <c r="QA13" s="115"/>
      <c r="QB13" s="115"/>
      <c r="QC13" s="115"/>
      <c r="QD13" s="115"/>
      <c r="QE13" s="115"/>
      <c r="QF13" s="115"/>
      <c r="QG13" s="115"/>
      <c r="QH13" s="115"/>
      <c r="QI13" s="115"/>
      <c r="QJ13" s="115"/>
      <c r="QK13" s="115"/>
      <c r="QL13" s="115"/>
      <c r="QM13" s="115"/>
      <c r="QN13" s="115"/>
      <c r="QO13" s="115"/>
      <c r="QP13" s="115"/>
      <c r="QQ13" s="115"/>
      <c r="QR13" s="115"/>
      <c r="QS13" s="115"/>
      <c r="QT13" s="115"/>
      <c r="QU13" s="115"/>
      <c r="QV13" s="115"/>
      <c r="QW13" s="115"/>
      <c r="QX13" s="115"/>
      <c r="QY13" s="115"/>
      <c r="QZ13" s="115"/>
      <c r="RA13" s="115"/>
      <c r="RB13" s="115"/>
      <c r="RC13" s="115"/>
      <c r="RD13" s="115"/>
      <c r="RE13" s="115"/>
      <c r="RF13" s="115"/>
      <c r="RG13" s="115"/>
      <c r="RH13" s="115"/>
      <c r="RI13" s="115"/>
      <c r="RJ13" s="115"/>
      <c r="RK13" s="115"/>
      <c r="RL13" s="115"/>
      <c r="RM13" s="115"/>
      <c r="RN13" s="115"/>
      <c r="RO13" s="115"/>
      <c r="RP13" s="115"/>
      <c r="RQ13" s="115"/>
      <c r="RR13" s="115"/>
      <c r="RS13" s="115"/>
      <c r="RT13" s="115"/>
      <c r="RU13" s="115"/>
      <c r="RV13" s="115"/>
      <c r="RW13" s="115"/>
      <c r="RX13" s="115"/>
      <c r="RY13" s="115"/>
      <c r="RZ13" s="115"/>
      <c r="SA13" s="115"/>
      <c r="SB13" s="115"/>
      <c r="SC13" s="115"/>
      <c r="SD13" s="115"/>
      <c r="SE13" s="115"/>
      <c r="SF13" s="115"/>
      <c r="SG13" s="115"/>
      <c r="SH13" s="115"/>
      <c r="SI13" s="115"/>
      <c r="SJ13" s="115"/>
      <c r="SK13" s="115"/>
      <c r="SL13" s="115"/>
      <c r="SM13" s="115"/>
      <c r="SN13" s="115"/>
      <c r="SO13" s="115"/>
      <c r="SP13" s="115"/>
      <c r="SQ13" s="115"/>
      <c r="SR13" s="115"/>
      <c r="SS13" s="115"/>
      <c r="ST13" s="115"/>
      <c r="SU13" s="115"/>
      <c r="SV13" s="115"/>
      <c r="SW13" s="115"/>
      <c r="SX13" s="115"/>
      <c r="SY13" s="115"/>
      <c r="SZ13" s="115"/>
      <c r="TA13" s="115"/>
      <c r="TB13" s="115"/>
      <c r="TC13" s="115"/>
      <c r="TD13" s="115"/>
      <c r="TE13" s="115"/>
      <c r="TF13" s="115"/>
      <c r="TG13" s="115"/>
      <c r="TH13" s="115"/>
      <c r="TI13" s="115"/>
      <c r="TJ13" s="115"/>
      <c r="TK13" s="115"/>
      <c r="TL13" s="115"/>
      <c r="TM13" s="115"/>
      <c r="TN13" s="115"/>
      <c r="TO13" s="115"/>
      <c r="TP13" s="115"/>
      <c r="TQ13" s="115"/>
      <c r="TR13" s="115"/>
      <c r="TS13" s="115"/>
      <c r="TT13" s="115"/>
      <c r="TU13" s="115"/>
      <c r="TV13" s="115"/>
      <c r="TW13" s="115"/>
      <c r="TX13" s="115"/>
      <c r="TY13" s="115"/>
      <c r="TZ13" s="115"/>
      <c r="UA13" s="115"/>
      <c r="UB13" s="115"/>
      <c r="UC13" s="115"/>
      <c r="UD13" s="115"/>
      <c r="UE13" s="115"/>
      <c r="UF13" s="115"/>
      <c r="UG13" s="115"/>
      <c r="UH13" s="115"/>
      <c r="UI13" s="115"/>
      <c r="UJ13" s="115"/>
      <c r="UK13" s="115"/>
      <c r="UL13" s="115"/>
      <c r="UM13" s="115"/>
      <c r="UN13" s="115"/>
      <c r="UO13" s="115"/>
      <c r="UP13" s="115"/>
      <c r="UQ13" s="115"/>
      <c r="UR13" s="115"/>
      <c r="US13" s="115"/>
      <c r="UT13" s="115"/>
      <c r="UU13" s="115"/>
      <c r="UV13" s="115"/>
      <c r="UW13" s="115"/>
      <c r="UX13" s="115"/>
      <c r="UY13" s="115"/>
      <c r="UZ13" s="115"/>
      <c r="VA13" s="115"/>
      <c r="VB13" s="115"/>
      <c r="VC13" s="115"/>
      <c r="VD13" s="115"/>
      <c r="VE13" s="115"/>
      <c r="VF13" s="115"/>
      <c r="VG13" s="115"/>
      <c r="VH13" s="115"/>
      <c r="VI13" s="115"/>
      <c r="VJ13" s="115"/>
      <c r="VK13" s="115"/>
      <c r="VL13" s="115"/>
      <c r="VM13" s="115"/>
      <c r="VN13" s="115"/>
      <c r="VO13" s="115"/>
      <c r="VP13" s="115"/>
      <c r="VQ13" s="115"/>
      <c r="VR13" s="115"/>
      <c r="VS13" s="115"/>
      <c r="VT13" s="115"/>
      <c r="VU13" s="115"/>
      <c r="VV13" s="115"/>
      <c r="VW13" s="115"/>
      <c r="VX13" s="115"/>
      <c r="VY13" s="115"/>
      <c r="VZ13" s="115"/>
      <c r="WA13" s="115"/>
      <c r="WB13" s="115"/>
      <c r="WC13" s="115"/>
      <c r="WD13" s="115"/>
      <c r="WE13" s="115"/>
      <c r="WF13" s="115"/>
      <c r="WG13" s="115"/>
      <c r="WH13" s="115"/>
      <c r="WI13" s="115"/>
      <c r="WJ13" s="115"/>
      <c r="WK13" s="115"/>
      <c r="WL13" s="115"/>
      <c r="WM13" s="115"/>
      <c r="WN13" s="115"/>
      <c r="WO13" s="115"/>
      <c r="WP13" s="115"/>
      <c r="WQ13" s="115"/>
      <c r="WR13" s="115"/>
      <c r="WS13" s="115"/>
      <c r="WT13" s="115"/>
      <c r="WU13" s="115"/>
      <c r="WV13" s="115"/>
      <c r="WW13" s="115"/>
      <c r="WX13" s="115"/>
      <c r="WY13" s="115"/>
      <c r="WZ13" s="115"/>
      <c r="XA13" s="115"/>
      <c r="XB13" s="115"/>
      <c r="XC13" s="115"/>
      <c r="XD13" s="115"/>
      <c r="XE13" s="115"/>
      <c r="XF13" s="115"/>
      <c r="XG13" s="115"/>
      <c r="XH13" s="115"/>
      <c r="XI13" s="115"/>
      <c r="XJ13" s="115"/>
      <c r="XK13" s="115"/>
      <c r="XL13" s="115"/>
      <c r="XM13" s="115"/>
      <c r="XN13" s="115"/>
      <c r="XO13" s="115"/>
      <c r="XP13" s="115"/>
      <c r="XQ13" s="115"/>
      <c r="XR13" s="115"/>
      <c r="XS13" s="115"/>
      <c r="XT13" s="115"/>
      <c r="XU13" s="115"/>
      <c r="XV13" s="115"/>
      <c r="XW13" s="115"/>
      <c r="XX13" s="115"/>
      <c r="XY13" s="115"/>
      <c r="XZ13" s="115"/>
      <c r="YA13" s="115"/>
      <c r="YB13" s="115"/>
      <c r="YC13" s="115"/>
      <c r="YD13" s="115"/>
      <c r="YE13" s="115"/>
      <c r="YF13" s="115"/>
      <c r="YG13" s="115"/>
      <c r="YH13" s="115"/>
      <c r="YI13" s="115"/>
      <c r="YJ13" s="115"/>
      <c r="YK13" s="115"/>
      <c r="YL13" s="115"/>
      <c r="YM13" s="115"/>
      <c r="YN13" s="115"/>
      <c r="YO13" s="115"/>
      <c r="YP13" s="115"/>
      <c r="YQ13" s="115"/>
      <c r="YX13" s="22">
        <v>0</v>
      </c>
      <c r="YY13" s="22">
        <f>VLOOKUP(B13,'SCAFFOLDING MATERIAL OVERALL'!B15:S197,18,FALSE)</f>
        <v>3.5920000000000001</v>
      </c>
      <c r="YZ13" s="22">
        <f t="shared" si="0"/>
        <v>0</v>
      </c>
    </row>
    <row r="14" spans="1:676" s="22" customFormat="1" x14ac:dyDescent="0.25">
      <c r="A14" s="14">
        <v>10</v>
      </c>
      <c r="B14" s="46">
        <v>3000000010</v>
      </c>
      <c r="C14" s="45" t="s">
        <v>21</v>
      </c>
      <c r="D14" s="44" t="s">
        <v>12</v>
      </c>
      <c r="OZ14" s="115"/>
      <c r="PA14" s="115"/>
      <c r="PB14" s="115"/>
      <c r="PC14" s="115"/>
      <c r="PD14" s="115"/>
      <c r="PE14" s="115"/>
      <c r="PF14" s="115"/>
      <c r="PG14" s="115"/>
      <c r="PH14" s="115"/>
      <c r="PI14" s="115"/>
      <c r="PJ14" s="115"/>
      <c r="PK14" s="115"/>
      <c r="PL14" s="115"/>
      <c r="PM14" s="115"/>
      <c r="PN14" s="115"/>
      <c r="PO14" s="115"/>
      <c r="PP14" s="115"/>
      <c r="PQ14" s="115"/>
      <c r="PR14" s="115"/>
      <c r="PS14" s="115"/>
      <c r="PT14" s="115"/>
      <c r="PU14" s="115"/>
      <c r="PV14" s="115"/>
      <c r="PW14" s="115"/>
      <c r="PX14" s="115"/>
      <c r="PY14" s="115"/>
      <c r="PZ14" s="115"/>
      <c r="QA14" s="115"/>
      <c r="QB14" s="115"/>
      <c r="QC14" s="115"/>
      <c r="QD14" s="115"/>
      <c r="QE14" s="115"/>
      <c r="QF14" s="115"/>
      <c r="QG14" s="115"/>
      <c r="QH14" s="115"/>
      <c r="QI14" s="115"/>
      <c r="QJ14" s="115"/>
      <c r="QK14" s="115"/>
      <c r="QL14" s="115"/>
      <c r="QM14" s="115"/>
      <c r="QN14" s="115"/>
      <c r="QO14" s="115"/>
      <c r="QP14" s="115"/>
      <c r="QQ14" s="115"/>
      <c r="QR14" s="115"/>
      <c r="QS14" s="115"/>
      <c r="QT14" s="115"/>
      <c r="QU14" s="115"/>
      <c r="QV14" s="115"/>
      <c r="QW14" s="115"/>
      <c r="QX14" s="115"/>
      <c r="QY14" s="115"/>
      <c r="QZ14" s="115"/>
      <c r="RA14" s="115"/>
      <c r="RB14" s="115"/>
      <c r="RC14" s="115"/>
      <c r="RD14" s="115"/>
      <c r="RE14" s="115"/>
      <c r="RF14" s="115"/>
      <c r="RG14" s="115"/>
      <c r="RH14" s="115"/>
      <c r="RI14" s="115"/>
      <c r="RJ14" s="115"/>
      <c r="RK14" s="115"/>
      <c r="RL14" s="115"/>
      <c r="RM14" s="115"/>
      <c r="RN14" s="115"/>
      <c r="RO14" s="115"/>
      <c r="RP14" s="115"/>
      <c r="RQ14" s="115"/>
      <c r="RR14" s="115"/>
      <c r="RS14" s="115"/>
      <c r="RT14" s="115"/>
      <c r="RU14" s="115"/>
      <c r="RV14" s="115"/>
      <c r="RW14" s="115"/>
      <c r="RX14" s="115"/>
      <c r="RY14" s="115"/>
      <c r="RZ14" s="115"/>
      <c r="SA14" s="115"/>
      <c r="SB14" s="115"/>
      <c r="SC14" s="115"/>
      <c r="SD14" s="115"/>
      <c r="SE14" s="115"/>
      <c r="SF14" s="115"/>
      <c r="SG14" s="115"/>
      <c r="SH14" s="115"/>
      <c r="SI14" s="115"/>
      <c r="SJ14" s="115"/>
      <c r="SK14" s="115"/>
      <c r="SL14" s="115"/>
      <c r="SM14" s="115"/>
      <c r="SN14" s="115"/>
      <c r="SO14" s="115"/>
      <c r="SP14" s="115"/>
      <c r="SQ14" s="115"/>
      <c r="SR14" s="115"/>
      <c r="SS14" s="115"/>
      <c r="ST14" s="115"/>
      <c r="SU14" s="115"/>
      <c r="SV14" s="115"/>
      <c r="SW14" s="115"/>
      <c r="SX14" s="115"/>
      <c r="SY14" s="115"/>
      <c r="SZ14" s="115"/>
      <c r="TA14" s="115"/>
      <c r="TB14" s="115"/>
      <c r="TC14" s="115"/>
      <c r="TD14" s="115"/>
      <c r="TE14" s="115"/>
      <c r="TF14" s="115"/>
      <c r="TG14" s="115"/>
      <c r="TH14" s="115"/>
      <c r="TI14" s="115"/>
      <c r="TJ14" s="115"/>
      <c r="TK14" s="115"/>
      <c r="TL14" s="115"/>
      <c r="TM14" s="115"/>
      <c r="TN14" s="115"/>
      <c r="TO14" s="115"/>
      <c r="TP14" s="115"/>
      <c r="TQ14" s="115"/>
      <c r="TR14" s="115"/>
      <c r="TS14" s="115"/>
      <c r="TT14" s="115"/>
      <c r="TU14" s="115"/>
      <c r="TV14" s="115"/>
      <c r="TW14" s="115"/>
      <c r="TX14" s="115"/>
      <c r="TY14" s="115"/>
      <c r="TZ14" s="115"/>
      <c r="UA14" s="115"/>
      <c r="UB14" s="115"/>
      <c r="UC14" s="115"/>
      <c r="UD14" s="115"/>
      <c r="UE14" s="115"/>
      <c r="UF14" s="115"/>
      <c r="UG14" s="115"/>
      <c r="UH14" s="115"/>
      <c r="UI14" s="115"/>
      <c r="UJ14" s="115"/>
      <c r="UK14" s="115"/>
      <c r="UL14" s="115"/>
      <c r="UM14" s="115"/>
      <c r="UN14" s="115"/>
      <c r="UO14" s="115"/>
      <c r="UP14" s="115"/>
      <c r="UQ14" s="115"/>
      <c r="UR14" s="115"/>
      <c r="US14" s="115"/>
      <c r="UT14" s="115"/>
      <c r="UU14" s="115"/>
      <c r="UV14" s="115"/>
      <c r="UW14" s="115"/>
      <c r="UX14" s="115"/>
      <c r="UY14" s="115"/>
      <c r="UZ14" s="115"/>
      <c r="VA14" s="115"/>
      <c r="VB14" s="115"/>
      <c r="VC14" s="115"/>
      <c r="VD14" s="115"/>
      <c r="VE14" s="115"/>
      <c r="VF14" s="115"/>
      <c r="VG14" s="115"/>
      <c r="VH14" s="115"/>
      <c r="VI14" s="115"/>
      <c r="VJ14" s="115"/>
      <c r="VK14" s="115"/>
      <c r="VL14" s="115"/>
      <c r="VM14" s="115"/>
      <c r="VN14" s="115"/>
      <c r="VO14" s="115"/>
      <c r="VP14" s="115"/>
      <c r="VQ14" s="115"/>
      <c r="VR14" s="115"/>
      <c r="VS14" s="115"/>
      <c r="VT14" s="115"/>
      <c r="VU14" s="115"/>
      <c r="VV14" s="115"/>
      <c r="VW14" s="115"/>
      <c r="VX14" s="115"/>
      <c r="VY14" s="115"/>
      <c r="VZ14" s="115"/>
      <c r="WA14" s="115"/>
      <c r="WB14" s="115"/>
      <c r="WC14" s="115"/>
      <c r="WD14" s="115"/>
      <c r="WE14" s="115"/>
      <c r="WF14" s="115"/>
      <c r="WG14" s="115"/>
      <c r="WH14" s="115"/>
      <c r="WI14" s="115"/>
      <c r="WJ14" s="115"/>
      <c r="WK14" s="115"/>
      <c r="WL14" s="115"/>
      <c r="WM14" s="115"/>
      <c r="WN14" s="115"/>
      <c r="WO14" s="115"/>
      <c r="WP14" s="115"/>
      <c r="WQ14" s="115"/>
      <c r="WR14" s="115"/>
      <c r="WS14" s="115"/>
      <c r="WT14" s="115"/>
      <c r="WU14" s="115"/>
      <c r="WV14" s="115"/>
      <c r="WW14" s="115"/>
      <c r="WX14" s="115"/>
      <c r="WY14" s="115"/>
      <c r="WZ14" s="115"/>
      <c r="XA14" s="115"/>
      <c r="XB14" s="115"/>
      <c r="XC14" s="115"/>
      <c r="XD14" s="115"/>
      <c r="XE14" s="115"/>
      <c r="XF14" s="115"/>
      <c r="XG14" s="115"/>
      <c r="XH14" s="115"/>
      <c r="XI14" s="115"/>
      <c r="XJ14" s="115"/>
      <c r="XK14" s="115"/>
      <c r="XL14" s="115"/>
      <c r="XM14" s="115"/>
      <c r="XN14" s="115"/>
      <c r="XO14" s="115"/>
      <c r="XP14" s="115"/>
      <c r="XQ14" s="115"/>
      <c r="XR14" s="115"/>
      <c r="XS14" s="115"/>
      <c r="XT14" s="115"/>
      <c r="XU14" s="115"/>
      <c r="XV14" s="115"/>
      <c r="XW14" s="115"/>
      <c r="XX14" s="115"/>
      <c r="XY14" s="115"/>
      <c r="XZ14" s="115"/>
      <c r="YA14" s="115"/>
      <c r="YB14" s="115"/>
      <c r="YC14" s="115"/>
      <c r="YD14" s="115"/>
      <c r="YE14" s="115"/>
      <c r="YF14" s="115"/>
      <c r="YG14" s="115"/>
      <c r="YH14" s="115"/>
      <c r="YI14" s="115"/>
      <c r="YJ14" s="115"/>
      <c r="YK14" s="115"/>
      <c r="YL14" s="115"/>
      <c r="YM14" s="115"/>
      <c r="YN14" s="115"/>
      <c r="YO14" s="115"/>
      <c r="YP14" s="115"/>
      <c r="YQ14" s="115"/>
      <c r="YX14" s="22">
        <v>0</v>
      </c>
      <c r="YY14" s="22">
        <f>VLOOKUP(B14,'SCAFFOLDING MATERIAL OVERALL'!B16:S198,18,FALSE)</f>
        <v>4.8</v>
      </c>
      <c r="YZ14" s="22">
        <f t="shared" si="0"/>
        <v>0</v>
      </c>
    </row>
    <row r="15" spans="1:676" s="22" customFormat="1" x14ac:dyDescent="0.25">
      <c r="A15" s="17">
        <v>11</v>
      </c>
      <c r="B15" s="46">
        <v>3000002338</v>
      </c>
      <c r="C15" s="45" t="s">
        <v>22</v>
      </c>
      <c r="D15" s="44" t="s">
        <v>12</v>
      </c>
      <c r="OZ15" s="115"/>
      <c r="PA15" s="115"/>
      <c r="PB15" s="115"/>
      <c r="PC15" s="115"/>
      <c r="PD15" s="115"/>
      <c r="PE15" s="115"/>
      <c r="PF15" s="115"/>
      <c r="PG15" s="115"/>
      <c r="PH15" s="115"/>
      <c r="PI15" s="115"/>
      <c r="PJ15" s="115"/>
      <c r="PK15" s="115"/>
      <c r="PL15" s="115"/>
      <c r="PM15" s="115"/>
      <c r="PN15" s="115"/>
      <c r="PO15" s="115"/>
      <c r="PP15" s="115"/>
      <c r="PQ15" s="115"/>
      <c r="PR15" s="115"/>
      <c r="PS15" s="115"/>
      <c r="PT15" s="115"/>
      <c r="PU15" s="115"/>
      <c r="PV15" s="115"/>
      <c r="PW15" s="115"/>
      <c r="PX15" s="115"/>
      <c r="PY15" s="115"/>
      <c r="PZ15" s="115"/>
      <c r="QA15" s="115"/>
      <c r="QB15" s="115"/>
      <c r="QC15" s="115"/>
      <c r="QD15" s="115"/>
      <c r="QE15" s="115"/>
      <c r="QF15" s="115"/>
      <c r="QG15" s="115"/>
      <c r="QH15" s="115"/>
      <c r="QI15" s="115"/>
      <c r="QJ15" s="115"/>
      <c r="QK15" s="115"/>
      <c r="QL15" s="115"/>
      <c r="QM15" s="115"/>
      <c r="QN15" s="115"/>
      <c r="QO15" s="115"/>
      <c r="QP15" s="115"/>
      <c r="QQ15" s="115"/>
      <c r="QR15" s="115"/>
      <c r="QS15" s="115"/>
      <c r="QT15" s="115"/>
      <c r="QU15" s="115"/>
      <c r="QV15" s="115"/>
      <c r="QW15" s="115"/>
      <c r="QX15" s="115"/>
      <c r="QY15" s="115"/>
      <c r="QZ15" s="115"/>
      <c r="RA15" s="115"/>
      <c r="RB15" s="115"/>
      <c r="RC15" s="115"/>
      <c r="RD15" s="115"/>
      <c r="RE15" s="115"/>
      <c r="RF15" s="115"/>
      <c r="RG15" s="115"/>
      <c r="RH15" s="115"/>
      <c r="RI15" s="115"/>
      <c r="RJ15" s="115"/>
      <c r="RK15" s="115"/>
      <c r="RL15" s="115"/>
      <c r="RM15" s="115"/>
      <c r="RN15" s="115"/>
      <c r="RO15" s="115"/>
      <c r="RP15" s="115"/>
      <c r="RQ15" s="115"/>
      <c r="RR15" s="115"/>
      <c r="RS15" s="115"/>
      <c r="RT15" s="115"/>
      <c r="RU15" s="115"/>
      <c r="RV15" s="115"/>
      <c r="RW15" s="115"/>
      <c r="RX15" s="115"/>
      <c r="RY15" s="115"/>
      <c r="RZ15" s="115"/>
      <c r="SA15" s="115"/>
      <c r="SB15" s="115"/>
      <c r="SC15" s="115"/>
      <c r="SD15" s="115"/>
      <c r="SE15" s="115"/>
      <c r="SF15" s="115"/>
      <c r="SG15" s="115"/>
      <c r="SH15" s="115"/>
      <c r="SI15" s="115"/>
      <c r="SJ15" s="115"/>
      <c r="SK15" s="115"/>
      <c r="SL15" s="115"/>
      <c r="SM15" s="115"/>
      <c r="SN15" s="115"/>
      <c r="SO15" s="115"/>
      <c r="SP15" s="115"/>
      <c r="SQ15" s="115"/>
      <c r="SR15" s="115"/>
      <c r="SS15" s="115"/>
      <c r="ST15" s="115"/>
      <c r="SU15" s="115"/>
      <c r="SV15" s="115"/>
      <c r="SW15" s="115"/>
      <c r="SX15" s="115"/>
      <c r="SY15" s="115"/>
      <c r="SZ15" s="115"/>
      <c r="TA15" s="115"/>
      <c r="TB15" s="115"/>
      <c r="TC15" s="115"/>
      <c r="TD15" s="115"/>
      <c r="TE15" s="115"/>
      <c r="TF15" s="115"/>
      <c r="TG15" s="115"/>
      <c r="TH15" s="115"/>
      <c r="TI15" s="115"/>
      <c r="TJ15" s="115"/>
      <c r="TK15" s="115"/>
      <c r="TL15" s="115"/>
      <c r="TM15" s="115"/>
      <c r="TN15" s="115"/>
      <c r="TO15" s="115"/>
      <c r="TP15" s="115"/>
      <c r="TQ15" s="115"/>
      <c r="TR15" s="115"/>
      <c r="TS15" s="115"/>
      <c r="TT15" s="115"/>
      <c r="TU15" s="115"/>
      <c r="TV15" s="115"/>
      <c r="TW15" s="115"/>
      <c r="TX15" s="115"/>
      <c r="TY15" s="115"/>
      <c r="TZ15" s="115"/>
      <c r="UA15" s="115"/>
      <c r="UB15" s="115"/>
      <c r="UC15" s="115"/>
      <c r="UD15" s="115"/>
      <c r="UE15" s="115"/>
      <c r="UF15" s="115"/>
      <c r="UG15" s="115"/>
      <c r="UH15" s="115"/>
      <c r="UI15" s="115"/>
      <c r="UJ15" s="115"/>
      <c r="UK15" s="115"/>
      <c r="UL15" s="115"/>
      <c r="UM15" s="115"/>
      <c r="UN15" s="115"/>
      <c r="UO15" s="115"/>
      <c r="UP15" s="115"/>
      <c r="UQ15" s="115"/>
      <c r="UR15" s="115"/>
      <c r="US15" s="115"/>
      <c r="UT15" s="115"/>
      <c r="UU15" s="115"/>
      <c r="UV15" s="115"/>
      <c r="UW15" s="115"/>
      <c r="UX15" s="115"/>
      <c r="UY15" s="115"/>
      <c r="UZ15" s="115"/>
      <c r="VA15" s="115"/>
      <c r="VB15" s="115"/>
      <c r="VC15" s="115"/>
      <c r="VD15" s="115"/>
      <c r="VE15" s="115"/>
      <c r="VF15" s="115"/>
      <c r="VG15" s="115"/>
      <c r="VH15" s="115"/>
      <c r="VI15" s="115"/>
      <c r="VJ15" s="115"/>
      <c r="VK15" s="115"/>
      <c r="VL15" s="115"/>
      <c r="VM15" s="115"/>
      <c r="VN15" s="115"/>
      <c r="VO15" s="115"/>
      <c r="VP15" s="115"/>
      <c r="VQ15" s="115"/>
      <c r="VR15" s="115"/>
      <c r="VS15" s="115"/>
      <c r="VT15" s="115"/>
      <c r="VU15" s="115"/>
      <c r="VV15" s="115"/>
      <c r="VW15" s="115"/>
      <c r="VX15" s="115"/>
      <c r="VY15" s="115"/>
      <c r="VZ15" s="115"/>
      <c r="WA15" s="115"/>
      <c r="WB15" s="115"/>
      <c r="WC15" s="115"/>
      <c r="WD15" s="115"/>
      <c r="WE15" s="115"/>
      <c r="WF15" s="115"/>
      <c r="WG15" s="115"/>
      <c r="WH15" s="115"/>
      <c r="WI15" s="115"/>
      <c r="WJ15" s="115"/>
      <c r="WK15" s="115"/>
      <c r="WL15" s="115"/>
      <c r="WM15" s="115"/>
      <c r="WN15" s="115"/>
      <c r="WO15" s="115"/>
      <c r="WP15" s="115"/>
      <c r="WQ15" s="115"/>
      <c r="WR15" s="115"/>
      <c r="WS15" s="115"/>
      <c r="WT15" s="115"/>
      <c r="WU15" s="115"/>
      <c r="WV15" s="115"/>
      <c r="WW15" s="115"/>
      <c r="WX15" s="115"/>
      <c r="WY15" s="115"/>
      <c r="WZ15" s="115"/>
      <c r="XA15" s="115"/>
      <c r="XB15" s="115"/>
      <c r="XC15" s="115"/>
      <c r="XD15" s="115"/>
      <c r="XE15" s="115"/>
      <c r="XF15" s="115"/>
      <c r="XG15" s="115"/>
      <c r="XH15" s="115"/>
      <c r="XI15" s="115"/>
      <c r="XJ15" s="115"/>
      <c r="XK15" s="115"/>
      <c r="XL15" s="115"/>
      <c r="XM15" s="115"/>
      <c r="XN15" s="115"/>
      <c r="XO15" s="115"/>
      <c r="XP15" s="115"/>
      <c r="XQ15" s="115"/>
      <c r="XR15" s="115"/>
      <c r="XS15" s="115"/>
      <c r="XT15" s="115"/>
      <c r="XU15" s="115"/>
      <c r="XV15" s="115"/>
      <c r="XW15" s="115"/>
      <c r="XX15" s="115"/>
      <c r="XY15" s="115"/>
      <c r="XZ15" s="115"/>
      <c r="YA15" s="115"/>
      <c r="YB15" s="115"/>
      <c r="YC15" s="115"/>
      <c r="YD15" s="115"/>
      <c r="YE15" s="115"/>
      <c r="YF15" s="115"/>
      <c r="YG15" s="115"/>
      <c r="YH15" s="115"/>
      <c r="YI15" s="115"/>
      <c r="YJ15" s="115"/>
      <c r="YK15" s="115"/>
      <c r="YL15" s="115"/>
      <c r="YM15" s="115"/>
      <c r="YN15" s="115"/>
      <c r="YO15" s="115"/>
      <c r="YP15" s="115"/>
      <c r="YQ15" s="115"/>
      <c r="YX15" s="22">
        <v>0</v>
      </c>
      <c r="YY15" s="22">
        <f>VLOOKUP(B15,'SCAFFOLDING MATERIAL OVERALL'!B17:S199,18,FALSE)</f>
        <v>5.9850000000000003</v>
      </c>
      <c r="YZ15" s="22">
        <f t="shared" si="0"/>
        <v>0</v>
      </c>
    </row>
    <row r="16" spans="1:676" s="22" customFormat="1" x14ac:dyDescent="0.25">
      <c r="A16" s="14">
        <v>12</v>
      </c>
      <c r="B16" s="46">
        <v>3000002322</v>
      </c>
      <c r="C16" s="45" t="s">
        <v>23</v>
      </c>
      <c r="D16" s="44" t="s">
        <v>12</v>
      </c>
      <c r="OZ16" s="115"/>
      <c r="PA16" s="115"/>
      <c r="PB16" s="115"/>
      <c r="PC16" s="115"/>
      <c r="PD16" s="115"/>
      <c r="PE16" s="115"/>
      <c r="PF16" s="115"/>
      <c r="PG16" s="115"/>
      <c r="PH16" s="115"/>
      <c r="PI16" s="115"/>
      <c r="PJ16" s="115"/>
      <c r="PK16" s="115"/>
      <c r="PL16" s="115"/>
      <c r="PM16" s="115"/>
      <c r="PN16" s="115"/>
      <c r="PO16" s="115"/>
      <c r="PP16" s="115"/>
      <c r="PQ16" s="115"/>
      <c r="PR16" s="115"/>
      <c r="PS16" s="115"/>
      <c r="PT16" s="115"/>
      <c r="PU16" s="115"/>
      <c r="PV16" s="115"/>
      <c r="PW16" s="115"/>
      <c r="PX16" s="115"/>
      <c r="PY16" s="115"/>
      <c r="PZ16" s="115"/>
      <c r="QA16" s="115"/>
      <c r="QB16" s="115"/>
      <c r="QC16" s="115"/>
      <c r="QD16" s="115"/>
      <c r="QE16" s="115"/>
      <c r="QF16" s="115"/>
      <c r="QG16" s="115"/>
      <c r="QH16" s="115"/>
      <c r="QI16" s="115"/>
      <c r="QJ16" s="115"/>
      <c r="QK16" s="115"/>
      <c r="QL16" s="115"/>
      <c r="QM16" s="115"/>
      <c r="QN16" s="115"/>
      <c r="QO16" s="115"/>
      <c r="QP16" s="115"/>
      <c r="QQ16" s="115"/>
      <c r="QR16" s="115"/>
      <c r="QS16" s="115"/>
      <c r="QT16" s="115"/>
      <c r="QU16" s="115"/>
      <c r="QV16" s="115"/>
      <c r="QW16" s="115"/>
      <c r="QX16" s="115"/>
      <c r="QY16" s="115"/>
      <c r="QZ16" s="115"/>
      <c r="RA16" s="115"/>
      <c r="RB16" s="115"/>
      <c r="RC16" s="115"/>
      <c r="RD16" s="115"/>
      <c r="RE16" s="115"/>
      <c r="RF16" s="115"/>
      <c r="RG16" s="115"/>
      <c r="RH16" s="115"/>
      <c r="RI16" s="115"/>
      <c r="RJ16" s="115"/>
      <c r="RK16" s="115"/>
      <c r="RL16" s="115"/>
      <c r="RM16" s="115"/>
      <c r="RN16" s="115"/>
      <c r="RO16" s="115"/>
      <c r="RP16" s="115"/>
      <c r="RQ16" s="115"/>
      <c r="RR16" s="115"/>
      <c r="RS16" s="115"/>
      <c r="RT16" s="115"/>
      <c r="RU16" s="115"/>
      <c r="RV16" s="115"/>
      <c r="RW16" s="115"/>
      <c r="RX16" s="115"/>
      <c r="RY16" s="115"/>
      <c r="RZ16" s="115"/>
      <c r="SA16" s="115"/>
      <c r="SB16" s="115"/>
      <c r="SC16" s="115"/>
      <c r="SD16" s="115"/>
      <c r="SE16" s="115"/>
      <c r="SF16" s="115"/>
      <c r="SG16" s="115"/>
      <c r="SH16" s="115"/>
      <c r="SI16" s="115"/>
      <c r="SJ16" s="115"/>
      <c r="SK16" s="115"/>
      <c r="SL16" s="115"/>
      <c r="SM16" s="115"/>
      <c r="SN16" s="115"/>
      <c r="SO16" s="115"/>
      <c r="SP16" s="115"/>
      <c r="SQ16" s="115"/>
      <c r="SR16" s="115"/>
      <c r="SS16" s="115"/>
      <c r="ST16" s="115"/>
      <c r="SU16" s="115"/>
      <c r="SV16" s="115"/>
      <c r="SW16" s="115"/>
      <c r="SX16" s="115"/>
      <c r="SY16" s="115"/>
      <c r="SZ16" s="115"/>
      <c r="TA16" s="115"/>
      <c r="TB16" s="115"/>
      <c r="TC16" s="115"/>
      <c r="TD16" s="115"/>
      <c r="TE16" s="115"/>
      <c r="TF16" s="115"/>
      <c r="TG16" s="115"/>
      <c r="TH16" s="115"/>
      <c r="TI16" s="115"/>
      <c r="TJ16" s="115"/>
      <c r="TK16" s="115"/>
      <c r="TL16" s="115"/>
      <c r="TM16" s="115"/>
      <c r="TN16" s="115"/>
      <c r="TO16" s="115"/>
      <c r="TP16" s="115"/>
      <c r="TQ16" s="115"/>
      <c r="TR16" s="115"/>
      <c r="TS16" s="115"/>
      <c r="TT16" s="115"/>
      <c r="TU16" s="115"/>
      <c r="TV16" s="115"/>
      <c r="TW16" s="115"/>
      <c r="TX16" s="115"/>
      <c r="TY16" s="115"/>
      <c r="TZ16" s="115"/>
      <c r="UA16" s="115"/>
      <c r="UB16" s="115"/>
      <c r="UC16" s="115"/>
      <c r="UD16" s="115"/>
      <c r="UE16" s="115"/>
      <c r="UF16" s="115"/>
      <c r="UG16" s="115"/>
      <c r="UH16" s="115"/>
      <c r="UI16" s="115"/>
      <c r="UJ16" s="115"/>
      <c r="UK16" s="115"/>
      <c r="UL16" s="115"/>
      <c r="UM16" s="115"/>
      <c r="UN16" s="115"/>
      <c r="UO16" s="115"/>
      <c r="UP16" s="115"/>
      <c r="UQ16" s="115"/>
      <c r="UR16" s="115"/>
      <c r="US16" s="115"/>
      <c r="UT16" s="115"/>
      <c r="UU16" s="115"/>
      <c r="UV16" s="115"/>
      <c r="UW16" s="115"/>
      <c r="UX16" s="115"/>
      <c r="UY16" s="115"/>
      <c r="UZ16" s="115"/>
      <c r="VA16" s="115"/>
      <c r="VB16" s="115"/>
      <c r="VC16" s="115"/>
      <c r="VD16" s="115"/>
      <c r="VE16" s="115"/>
      <c r="VF16" s="115"/>
      <c r="VG16" s="115"/>
      <c r="VH16" s="115"/>
      <c r="VI16" s="115"/>
      <c r="VJ16" s="115"/>
      <c r="VK16" s="115"/>
      <c r="VL16" s="115"/>
      <c r="VM16" s="115"/>
      <c r="VN16" s="115"/>
      <c r="VO16" s="115"/>
      <c r="VP16" s="115"/>
      <c r="VQ16" s="115"/>
      <c r="VR16" s="115"/>
      <c r="VS16" s="115"/>
      <c r="VT16" s="115"/>
      <c r="VU16" s="115"/>
      <c r="VV16" s="115"/>
      <c r="VW16" s="115"/>
      <c r="VX16" s="115"/>
      <c r="VY16" s="115"/>
      <c r="VZ16" s="115"/>
      <c r="WA16" s="115"/>
      <c r="WB16" s="115"/>
      <c r="WC16" s="115"/>
      <c r="WD16" s="115"/>
      <c r="WE16" s="115"/>
      <c r="WF16" s="115"/>
      <c r="WG16" s="115"/>
      <c r="WH16" s="115"/>
      <c r="WI16" s="115"/>
      <c r="WJ16" s="115"/>
      <c r="WK16" s="115"/>
      <c r="WL16" s="115"/>
      <c r="WM16" s="115"/>
      <c r="WN16" s="115"/>
      <c r="WO16" s="115"/>
      <c r="WP16" s="115"/>
      <c r="WQ16" s="115"/>
      <c r="WR16" s="115"/>
      <c r="WS16" s="115"/>
      <c r="WT16" s="115"/>
      <c r="WU16" s="115"/>
      <c r="WV16" s="115"/>
      <c r="WW16" s="115"/>
      <c r="WX16" s="115"/>
      <c r="WY16" s="115"/>
      <c r="WZ16" s="115"/>
      <c r="XA16" s="115"/>
      <c r="XB16" s="115"/>
      <c r="XC16" s="115"/>
      <c r="XD16" s="115"/>
      <c r="XE16" s="115"/>
      <c r="XF16" s="115"/>
      <c r="XG16" s="115"/>
      <c r="XH16" s="115"/>
      <c r="XI16" s="115"/>
      <c r="XJ16" s="115"/>
      <c r="XK16" s="115"/>
      <c r="XL16" s="115"/>
      <c r="XM16" s="115"/>
      <c r="XN16" s="115"/>
      <c r="XO16" s="115"/>
      <c r="XP16" s="115"/>
      <c r="XQ16" s="115"/>
      <c r="XR16" s="115"/>
      <c r="XS16" s="115"/>
      <c r="XT16" s="115"/>
      <c r="XU16" s="115"/>
      <c r="XV16" s="115"/>
      <c r="XW16" s="115"/>
      <c r="XX16" s="115"/>
      <c r="XY16" s="115"/>
      <c r="XZ16" s="115"/>
      <c r="YA16" s="115"/>
      <c r="YB16" s="115"/>
      <c r="YC16" s="115"/>
      <c r="YD16" s="115"/>
      <c r="YE16" s="115"/>
      <c r="YF16" s="115"/>
      <c r="YG16" s="115"/>
      <c r="YH16" s="115"/>
      <c r="YI16" s="115"/>
      <c r="YJ16" s="115"/>
      <c r="YK16" s="115"/>
      <c r="YL16" s="115"/>
      <c r="YM16" s="115"/>
      <c r="YN16" s="115"/>
      <c r="YO16" s="115"/>
      <c r="YP16" s="115"/>
      <c r="YQ16" s="115"/>
      <c r="YX16" s="22">
        <v>0</v>
      </c>
      <c r="YY16" s="22">
        <f>VLOOKUP(B16,'SCAFFOLDING MATERIAL OVERALL'!B18:S200,18,FALSE)</f>
        <v>6.65</v>
      </c>
      <c r="YZ16" s="22">
        <f t="shared" si="0"/>
        <v>0</v>
      </c>
    </row>
    <row r="17" spans="1:676" s="22" customFormat="1" x14ac:dyDescent="0.25">
      <c r="A17" s="14">
        <v>13</v>
      </c>
      <c r="B17" s="46">
        <v>3000002330</v>
      </c>
      <c r="C17" s="45" t="s">
        <v>24</v>
      </c>
      <c r="D17" s="44" t="s">
        <v>12</v>
      </c>
      <c r="OZ17" s="115"/>
      <c r="PA17" s="115"/>
      <c r="PB17" s="115"/>
      <c r="PC17" s="115"/>
      <c r="PD17" s="115"/>
      <c r="PE17" s="115"/>
      <c r="PF17" s="115"/>
      <c r="PG17" s="115"/>
      <c r="PH17" s="115"/>
      <c r="PI17" s="115"/>
      <c r="PJ17" s="115"/>
      <c r="PK17" s="115"/>
      <c r="PL17" s="115"/>
      <c r="PM17" s="115"/>
      <c r="PN17" s="115"/>
      <c r="PO17" s="115"/>
      <c r="PP17" s="115"/>
      <c r="PQ17" s="115"/>
      <c r="PR17" s="115"/>
      <c r="PS17" s="115"/>
      <c r="PT17" s="115"/>
      <c r="PU17" s="115"/>
      <c r="PV17" s="115"/>
      <c r="PW17" s="115"/>
      <c r="PX17" s="115"/>
      <c r="PY17" s="115"/>
      <c r="PZ17" s="115"/>
      <c r="QA17" s="115"/>
      <c r="QB17" s="115"/>
      <c r="QC17" s="115"/>
      <c r="QD17" s="115"/>
      <c r="QE17" s="115"/>
      <c r="QF17" s="115"/>
      <c r="QG17" s="115"/>
      <c r="QH17" s="115"/>
      <c r="QI17" s="115"/>
      <c r="QJ17" s="115"/>
      <c r="QK17" s="115"/>
      <c r="QL17" s="115"/>
      <c r="QM17" s="115"/>
      <c r="QN17" s="115"/>
      <c r="QO17" s="115"/>
      <c r="QP17" s="115"/>
      <c r="QQ17" s="115"/>
      <c r="QR17" s="115"/>
      <c r="QS17" s="115"/>
      <c r="QT17" s="115"/>
      <c r="QU17" s="115"/>
      <c r="QV17" s="115"/>
      <c r="QW17" s="115"/>
      <c r="QX17" s="115"/>
      <c r="QY17" s="115"/>
      <c r="QZ17" s="115"/>
      <c r="RA17" s="115"/>
      <c r="RB17" s="115"/>
      <c r="RC17" s="115"/>
      <c r="RD17" s="115"/>
      <c r="RE17" s="115"/>
      <c r="RF17" s="115"/>
      <c r="RG17" s="115"/>
      <c r="RH17" s="115"/>
      <c r="RI17" s="115"/>
      <c r="RJ17" s="115"/>
      <c r="RK17" s="115"/>
      <c r="RL17" s="115"/>
      <c r="RM17" s="115"/>
      <c r="RN17" s="115"/>
      <c r="RO17" s="115"/>
      <c r="RP17" s="115"/>
      <c r="RQ17" s="115"/>
      <c r="RR17" s="115"/>
      <c r="RS17" s="115"/>
      <c r="RT17" s="115"/>
      <c r="RU17" s="115"/>
      <c r="RV17" s="115"/>
      <c r="RW17" s="115"/>
      <c r="RX17" s="115"/>
      <c r="RY17" s="115"/>
      <c r="RZ17" s="115"/>
      <c r="SA17" s="115"/>
      <c r="SB17" s="115"/>
      <c r="SC17" s="115"/>
      <c r="SD17" s="115"/>
      <c r="SE17" s="115"/>
      <c r="SF17" s="115"/>
      <c r="SG17" s="115"/>
      <c r="SH17" s="115"/>
      <c r="SI17" s="115"/>
      <c r="SJ17" s="115"/>
      <c r="SK17" s="115"/>
      <c r="SL17" s="115"/>
      <c r="SM17" s="115"/>
      <c r="SN17" s="115"/>
      <c r="SO17" s="115"/>
      <c r="SP17" s="115"/>
      <c r="SQ17" s="115"/>
      <c r="SR17" s="115"/>
      <c r="SS17" s="115"/>
      <c r="ST17" s="115"/>
      <c r="SU17" s="115"/>
      <c r="SV17" s="115"/>
      <c r="SW17" s="115"/>
      <c r="SX17" s="115"/>
      <c r="SY17" s="115"/>
      <c r="SZ17" s="115"/>
      <c r="TA17" s="115"/>
      <c r="TB17" s="115"/>
      <c r="TC17" s="115"/>
      <c r="TD17" s="115"/>
      <c r="TE17" s="115"/>
      <c r="TF17" s="115"/>
      <c r="TG17" s="115"/>
      <c r="TH17" s="115"/>
      <c r="TI17" s="115"/>
      <c r="TJ17" s="115"/>
      <c r="TK17" s="115"/>
      <c r="TL17" s="115"/>
      <c r="TM17" s="115"/>
      <c r="TN17" s="115"/>
      <c r="TO17" s="115"/>
      <c r="TP17" s="115"/>
      <c r="TQ17" s="115"/>
      <c r="TR17" s="115"/>
      <c r="TS17" s="115"/>
      <c r="TT17" s="115"/>
      <c r="TU17" s="115"/>
      <c r="TV17" s="115"/>
      <c r="TW17" s="115"/>
      <c r="TX17" s="115"/>
      <c r="TY17" s="115"/>
      <c r="TZ17" s="115"/>
      <c r="UA17" s="115"/>
      <c r="UB17" s="115"/>
      <c r="UC17" s="115"/>
      <c r="UD17" s="115"/>
      <c r="UE17" s="115"/>
      <c r="UF17" s="115"/>
      <c r="UG17" s="115"/>
      <c r="UH17" s="115"/>
      <c r="UI17" s="115"/>
      <c r="UJ17" s="115"/>
      <c r="UK17" s="115"/>
      <c r="UL17" s="115"/>
      <c r="UM17" s="115"/>
      <c r="UN17" s="115"/>
      <c r="UO17" s="115"/>
      <c r="UP17" s="115"/>
      <c r="UQ17" s="115"/>
      <c r="UR17" s="115"/>
      <c r="US17" s="115"/>
      <c r="UT17" s="115"/>
      <c r="UU17" s="115"/>
      <c r="UV17" s="115"/>
      <c r="UW17" s="115"/>
      <c r="UX17" s="115"/>
      <c r="UY17" s="115"/>
      <c r="UZ17" s="115"/>
      <c r="VA17" s="115"/>
      <c r="VB17" s="115"/>
      <c r="VC17" s="115"/>
      <c r="VD17" s="115"/>
      <c r="VE17" s="115"/>
      <c r="VF17" s="115"/>
      <c r="VG17" s="115"/>
      <c r="VH17" s="115"/>
      <c r="VI17" s="115"/>
      <c r="VJ17" s="115"/>
      <c r="VK17" s="115"/>
      <c r="VL17" s="115"/>
      <c r="VM17" s="115"/>
      <c r="VN17" s="115"/>
      <c r="VO17" s="115"/>
      <c r="VP17" s="115"/>
      <c r="VQ17" s="115"/>
      <c r="VR17" s="115"/>
      <c r="VS17" s="115"/>
      <c r="VT17" s="115"/>
      <c r="VU17" s="115"/>
      <c r="VV17" s="115"/>
      <c r="VW17" s="115"/>
      <c r="VX17" s="115"/>
      <c r="VY17" s="115"/>
      <c r="VZ17" s="115"/>
      <c r="WA17" s="115"/>
      <c r="WB17" s="115"/>
      <c r="WC17" s="115"/>
      <c r="WD17" s="115"/>
      <c r="WE17" s="115"/>
      <c r="WF17" s="115"/>
      <c r="WG17" s="115"/>
      <c r="WH17" s="115"/>
      <c r="WI17" s="115"/>
      <c r="WJ17" s="115"/>
      <c r="WK17" s="115"/>
      <c r="WL17" s="115"/>
      <c r="WM17" s="115"/>
      <c r="WN17" s="115"/>
      <c r="WO17" s="115"/>
      <c r="WP17" s="115"/>
      <c r="WQ17" s="115"/>
      <c r="WR17" s="115"/>
      <c r="WS17" s="115"/>
      <c r="WT17" s="115"/>
      <c r="WU17" s="115"/>
      <c r="WV17" s="115"/>
      <c r="WW17" s="115"/>
      <c r="WX17" s="115"/>
      <c r="WY17" s="115"/>
      <c r="WZ17" s="115"/>
      <c r="XA17" s="115"/>
      <c r="XB17" s="115"/>
      <c r="XC17" s="115"/>
      <c r="XD17" s="115"/>
      <c r="XE17" s="115"/>
      <c r="XF17" s="115"/>
      <c r="XG17" s="115"/>
      <c r="XH17" s="115"/>
      <c r="XI17" s="115"/>
      <c r="XJ17" s="115"/>
      <c r="XK17" s="115"/>
      <c r="XL17" s="115"/>
      <c r="XM17" s="115"/>
      <c r="XN17" s="115"/>
      <c r="XO17" s="115"/>
      <c r="XP17" s="115"/>
      <c r="XQ17" s="115"/>
      <c r="XR17" s="115"/>
      <c r="XS17" s="115"/>
      <c r="XT17" s="115"/>
      <c r="XU17" s="115"/>
      <c r="XV17" s="115"/>
      <c r="XW17" s="115"/>
      <c r="XX17" s="115"/>
      <c r="XY17" s="115"/>
      <c r="XZ17" s="115"/>
      <c r="YA17" s="115"/>
      <c r="YB17" s="115"/>
      <c r="YC17" s="115"/>
      <c r="YD17" s="115"/>
      <c r="YE17" s="115"/>
      <c r="YF17" s="115"/>
      <c r="YG17" s="115"/>
      <c r="YH17" s="115"/>
      <c r="YI17" s="115"/>
      <c r="YJ17" s="115"/>
      <c r="YK17" s="115"/>
      <c r="YL17" s="115"/>
      <c r="YM17" s="115"/>
      <c r="YN17" s="115"/>
      <c r="YO17" s="115"/>
      <c r="YP17" s="115"/>
      <c r="YQ17" s="115"/>
      <c r="YX17" s="22">
        <v>0</v>
      </c>
      <c r="YY17" s="22">
        <f>VLOOKUP(B17,'SCAFFOLDING MATERIAL OVERALL'!B19:S201,18,FALSE)</f>
        <v>9.1649999999999991</v>
      </c>
      <c r="YZ17" s="22">
        <f t="shared" si="0"/>
        <v>0</v>
      </c>
    </row>
    <row r="18" spans="1:676" s="22" customFormat="1" x14ac:dyDescent="0.25">
      <c r="A18" s="17">
        <v>14</v>
      </c>
      <c r="B18" s="46">
        <v>3000000012</v>
      </c>
      <c r="C18" s="45" t="s">
        <v>25</v>
      </c>
      <c r="D18" s="44" t="s">
        <v>12</v>
      </c>
      <c r="OZ18" s="115"/>
      <c r="PA18" s="115"/>
      <c r="PB18" s="115"/>
      <c r="PC18" s="115"/>
      <c r="PD18" s="115"/>
      <c r="PE18" s="115"/>
      <c r="PF18" s="115"/>
      <c r="PG18" s="115"/>
      <c r="PH18" s="115"/>
      <c r="PI18" s="115"/>
      <c r="PJ18" s="115"/>
      <c r="PK18" s="115"/>
      <c r="PL18" s="115"/>
      <c r="PM18" s="115"/>
      <c r="PN18" s="115"/>
      <c r="PO18" s="115"/>
      <c r="PP18" s="115"/>
      <c r="PQ18" s="115"/>
      <c r="PR18" s="115"/>
      <c r="PS18" s="115"/>
      <c r="PT18" s="115"/>
      <c r="PU18" s="115"/>
      <c r="PV18" s="115"/>
      <c r="PW18" s="115"/>
      <c r="PX18" s="115"/>
      <c r="PY18" s="115"/>
      <c r="PZ18" s="115"/>
      <c r="QA18" s="115"/>
      <c r="QB18" s="115"/>
      <c r="QC18" s="115"/>
      <c r="QD18" s="115"/>
      <c r="QE18" s="115"/>
      <c r="QF18" s="115"/>
      <c r="QG18" s="115"/>
      <c r="QH18" s="115"/>
      <c r="QI18" s="115"/>
      <c r="QJ18" s="115"/>
      <c r="QK18" s="115"/>
      <c r="QL18" s="115"/>
      <c r="QM18" s="115"/>
      <c r="QN18" s="115"/>
      <c r="QO18" s="115"/>
      <c r="QP18" s="115"/>
      <c r="QQ18" s="115"/>
      <c r="QR18" s="115"/>
      <c r="QS18" s="115"/>
      <c r="QT18" s="115"/>
      <c r="QU18" s="115"/>
      <c r="QV18" s="115"/>
      <c r="QW18" s="115"/>
      <c r="QX18" s="115"/>
      <c r="QY18" s="115"/>
      <c r="QZ18" s="115"/>
      <c r="RA18" s="115"/>
      <c r="RB18" s="115"/>
      <c r="RC18" s="115"/>
      <c r="RD18" s="115"/>
      <c r="RE18" s="115"/>
      <c r="RF18" s="115"/>
      <c r="RG18" s="115"/>
      <c r="RH18" s="115"/>
      <c r="RI18" s="115"/>
      <c r="RJ18" s="115"/>
      <c r="RK18" s="115"/>
      <c r="RL18" s="115"/>
      <c r="RM18" s="115"/>
      <c r="RN18" s="115"/>
      <c r="RO18" s="115"/>
      <c r="RP18" s="115"/>
      <c r="RQ18" s="115"/>
      <c r="RR18" s="115"/>
      <c r="RS18" s="115"/>
      <c r="RT18" s="115"/>
      <c r="RU18" s="115"/>
      <c r="RV18" s="115"/>
      <c r="RW18" s="115"/>
      <c r="RX18" s="115"/>
      <c r="RY18" s="115"/>
      <c r="RZ18" s="115"/>
      <c r="SA18" s="115"/>
      <c r="SB18" s="115"/>
      <c r="SC18" s="115"/>
      <c r="SD18" s="115"/>
      <c r="SE18" s="115"/>
      <c r="SF18" s="115"/>
      <c r="SG18" s="115"/>
      <c r="SH18" s="115"/>
      <c r="SI18" s="115"/>
      <c r="SJ18" s="115"/>
      <c r="SK18" s="115"/>
      <c r="SL18" s="115"/>
      <c r="SM18" s="115"/>
      <c r="SN18" s="115"/>
      <c r="SO18" s="115"/>
      <c r="SP18" s="115"/>
      <c r="SQ18" s="115"/>
      <c r="SR18" s="115"/>
      <c r="SS18" s="115"/>
      <c r="ST18" s="115"/>
      <c r="SU18" s="115"/>
      <c r="SV18" s="115"/>
      <c r="SW18" s="115"/>
      <c r="SX18" s="115"/>
      <c r="SY18" s="115"/>
      <c r="SZ18" s="115"/>
      <c r="TA18" s="115"/>
      <c r="TB18" s="115"/>
      <c r="TC18" s="115"/>
      <c r="TD18" s="115"/>
      <c r="TE18" s="115"/>
      <c r="TF18" s="115"/>
      <c r="TG18" s="115"/>
      <c r="TH18" s="115"/>
      <c r="TI18" s="115"/>
      <c r="TJ18" s="115"/>
      <c r="TK18" s="115"/>
      <c r="TL18" s="115"/>
      <c r="TM18" s="115"/>
      <c r="TN18" s="115"/>
      <c r="TO18" s="115"/>
      <c r="TP18" s="115"/>
      <c r="TQ18" s="115"/>
      <c r="TR18" s="115"/>
      <c r="TS18" s="115"/>
      <c r="TT18" s="115"/>
      <c r="TU18" s="115"/>
      <c r="TV18" s="115"/>
      <c r="TW18" s="115"/>
      <c r="TX18" s="115"/>
      <c r="TY18" s="115"/>
      <c r="TZ18" s="115"/>
      <c r="UA18" s="115"/>
      <c r="UB18" s="115"/>
      <c r="UC18" s="115"/>
      <c r="UD18" s="115"/>
      <c r="UE18" s="115"/>
      <c r="UF18" s="115"/>
      <c r="UG18" s="115"/>
      <c r="UH18" s="115"/>
      <c r="UI18" s="115"/>
      <c r="UJ18" s="115"/>
      <c r="UK18" s="115"/>
      <c r="UL18" s="115"/>
      <c r="UM18" s="115"/>
      <c r="UN18" s="115"/>
      <c r="UO18" s="115"/>
      <c r="UP18" s="115"/>
      <c r="UQ18" s="115"/>
      <c r="UR18" s="115"/>
      <c r="US18" s="115"/>
      <c r="UT18" s="115"/>
      <c r="UU18" s="115"/>
      <c r="UV18" s="115"/>
      <c r="UW18" s="115"/>
      <c r="UX18" s="115"/>
      <c r="UY18" s="115"/>
      <c r="UZ18" s="115"/>
      <c r="VA18" s="115"/>
      <c r="VB18" s="115"/>
      <c r="VC18" s="115"/>
      <c r="VD18" s="115"/>
      <c r="VE18" s="115"/>
      <c r="VF18" s="115"/>
      <c r="VG18" s="115"/>
      <c r="VH18" s="115"/>
      <c r="VI18" s="115"/>
      <c r="VJ18" s="115"/>
      <c r="VK18" s="115"/>
      <c r="VL18" s="115"/>
      <c r="VM18" s="115"/>
      <c r="VN18" s="115"/>
      <c r="VO18" s="115"/>
      <c r="VP18" s="115"/>
      <c r="VQ18" s="115"/>
      <c r="VR18" s="115"/>
      <c r="VS18" s="115"/>
      <c r="VT18" s="115"/>
      <c r="VU18" s="115"/>
      <c r="VV18" s="115"/>
      <c r="VW18" s="115"/>
      <c r="VX18" s="115"/>
      <c r="VY18" s="115"/>
      <c r="VZ18" s="115"/>
      <c r="WA18" s="115"/>
      <c r="WB18" s="115"/>
      <c r="WC18" s="115"/>
      <c r="WD18" s="115"/>
      <c r="WE18" s="115"/>
      <c r="WF18" s="115"/>
      <c r="WG18" s="115"/>
      <c r="WH18" s="115"/>
      <c r="WI18" s="115"/>
      <c r="WJ18" s="115"/>
      <c r="WK18" s="115"/>
      <c r="WL18" s="115"/>
      <c r="WM18" s="115"/>
      <c r="WN18" s="115"/>
      <c r="WO18" s="115"/>
      <c r="WP18" s="115"/>
      <c r="WQ18" s="115"/>
      <c r="WR18" s="115"/>
      <c r="WS18" s="115"/>
      <c r="WT18" s="115"/>
      <c r="WU18" s="115"/>
      <c r="WV18" s="115"/>
      <c r="WW18" s="115"/>
      <c r="WX18" s="115"/>
      <c r="WY18" s="115"/>
      <c r="WZ18" s="115"/>
      <c r="XA18" s="115"/>
      <c r="XB18" s="115"/>
      <c r="XC18" s="115"/>
      <c r="XD18" s="115"/>
      <c r="XE18" s="115"/>
      <c r="XF18" s="115"/>
      <c r="XG18" s="115"/>
      <c r="XH18" s="115"/>
      <c r="XI18" s="115"/>
      <c r="XJ18" s="115"/>
      <c r="XK18" s="115"/>
      <c r="XL18" s="115"/>
      <c r="XM18" s="115"/>
      <c r="XN18" s="115"/>
      <c r="XO18" s="115"/>
      <c r="XP18" s="115"/>
      <c r="XQ18" s="115"/>
      <c r="XR18" s="115"/>
      <c r="XS18" s="115"/>
      <c r="XT18" s="115"/>
      <c r="XU18" s="115"/>
      <c r="XV18" s="115"/>
      <c r="XW18" s="115"/>
      <c r="XX18" s="115"/>
      <c r="XY18" s="115"/>
      <c r="XZ18" s="115"/>
      <c r="YA18" s="115"/>
      <c r="YB18" s="115"/>
      <c r="YC18" s="115"/>
      <c r="YD18" s="115"/>
      <c r="YE18" s="115"/>
      <c r="YF18" s="115"/>
      <c r="YG18" s="115"/>
      <c r="YH18" s="115"/>
      <c r="YI18" s="115"/>
      <c r="YJ18" s="115"/>
      <c r="YK18" s="115"/>
      <c r="YL18" s="115"/>
      <c r="YM18" s="115"/>
      <c r="YN18" s="115"/>
      <c r="YO18" s="115"/>
      <c r="YP18" s="115"/>
      <c r="YQ18" s="115"/>
      <c r="YX18" s="22">
        <v>0</v>
      </c>
      <c r="YY18" s="22">
        <f>VLOOKUP(B18,'SCAFFOLDING MATERIAL OVERALL'!B20:S202,18,FALSE)</f>
        <v>10.78</v>
      </c>
      <c r="YZ18" s="22">
        <f t="shared" si="0"/>
        <v>0</v>
      </c>
    </row>
    <row r="19" spans="1:676" s="22" customFormat="1" x14ac:dyDescent="0.25">
      <c r="A19" s="14">
        <v>15</v>
      </c>
      <c r="B19" s="46">
        <v>3000000701</v>
      </c>
      <c r="C19" s="45" t="s">
        <v>26</v>
      </c>
      <c r="D19" s="44" t="s">
        <v>12</v>
      </c>
      <c r="G19" s="22">
        <v>250</v>
      </c>
      <c r="J19" s="22">
        <v>273</v>
      </c>
      <c r="M19" s="22">
        <v>250</v>
      </c>
      <c r="DB19" s="22">
        <v>20</v>
      </c>
      <c r="EM19" s="22">
        <v>277</v>
      </c>
      <c r="HA19" s="22">
        <v>50</v>
      </c>
      <c r="MC19" s="22">
        <v>50</v>
      </c>
      <c r="MK19" s="22">
        <v>203</v>
      </c>
      <c r="MP19" s="22">
        <v>228</v>
      </c>
      <c r="MT19" s="22">
        <v>300</v>
      </c>
      <c r="NI19" s="22">
        <v>732</v>
      </c>
      <c r="OG19" s="22">
        <v>388</v>
      </c>
      <c r="OI19" s="22">
        <v>339</v>
      </c>
      <c r="OJ19" s="22">
        <v>364</v>
      </c>
      <c r="OP19" s="22">
        <v>100</v>
      </c>
      <c r="OQ19" s="22">
        <v>17</v>
      </c>
      <c r="OR19" s="22">
        <v>225</v>
      </c>
      <c r="OS19" s="22">
        <v>47</v>
      </c>
      <c r="OZ19" s="115"/>
      <c r="PA19" s="115"/>
      <c r="PB19" s="115"/>
      <c r="PC19" s="115"/>
      <c r="PD19" s="115"/>
      <c r="PE19" s="115"/>
      <c r="PF19" s="115"/>
      <c r="PG19" s="115"/>
      <c r="PH19" s="115"/>
      <c r="PI19" s="115"/>
      <c r="PJ19" s="115"/>
      <c r="PK19" s="115"/>
      <c r="PL19" s="115"/>
      <c r="PM19" s="115"/>
      <c r="PN19" s="115"/>
      <c r="PO19" s="115"/>
      <c r="PP19" s="115"/>
      <c r="PQ19" s="115"/>
      <c r="PR19" s="115"/>
      <c r="PS19" s="115"/>
      <c r="PT19" s="115"/>
      <c r="PU19" s="115"/>
      <c r="PV19" s="115"/>
      <c r="PW19" s="115"/>
      <c r="PX19" s="115"/>
      <c r="PY19" s="115"/>
      <c r="PZ19" s="115"/>
      <c r="QA19" s="115"/>
      <c r="QB19" s="115"/>
      <c r="QC19" s="115"/>
      <c r="QD19" s="115"/>
      <c r="QE19" s="115"/>
      <c r="QF19" s="115"/>
      <c r="QG19" s="115"/>
      <c r="QH19" s="115"/>
      <c r="QI19" s="115"/>
      <c r="QJ19" s="115"/>
      <c r="QK19" s="115"/>
      <c r="QL19" s="115"/>
      <c r="QM19" s="115">
        <v>100</v>
      </c>
      <c r="QN19" s="115"/>
      <c r="QO19" s="115"/>
      <c r="QP19" s="115"/>
      <c r="QQ19" s="115">
        <v>100</v>
      </c>
      <c r="QR19" s="115"/>
      <c r="QS19" s="115"/>
      <c r="QT19" s="115"/>
      <c r="QU19" s="115"/>
      <c r="QV19" s="115"/>
      <c r="QW19" s="115"/>
      <c r="QX19" s="115"/>
      <c r="QY19" s="115"/>
      <c r="QZ19" s="115"/>
      <c r="RA19" s="115"/>
      <c r="RB19" s="115"/>
      <c r="RC19" s="115"/>
      <c r="RD19" s="115"/>
      <c r="RE19" s="115"/>
      <c r="RF19" s="115"/>
      <c r="RG19" s="115"/>
      <c r="RH19" s="115"/>
      <c r="RI19" s="115"/>
      <c r="RJ19" s="115"/>
      <c r="RK19" s="115"/>
      <c r="RL19" s="115"/>
      <c r="RM19" s="115"/>
      <c r="RN19" s="115"/>
      <c r="RO19" s="115"/>
      <c r="RP19" s="115"/>
      <c r="RQ19" s="115"/>
      <c r="RR19" s="115"/>
      <c r="RS19" s="115"/>
      <c r="RT19" s="115"/>
      <c r="RU19" s="115"/>
      <c r="RV19" s="115"/>
      <c r="RW19" s="115"/>
      <c r="RX19" s="115"/>
      <c r="RY19" s="115"/>
      <c r="RZ19" s="115"/>
      <c r="SA19" s="115"/>
      <c r="SB19" s="115"/>
      <c r="SC19" s="115"/>
      <c r="SD19" s="115"/>
      <c r="SE19" s="115"/>
      <c r="SF19" s="115"/>
      <c r="SG19" s="115"/>
      <c r="SH19" s="115"/>
      <c r="SI19" s="115"/>
      <c r="SJ19" s="115"/>
      <c r="SK19" s="115"/>
      <c r="SL19" s="115"/>
      <c r="SM19" s="115"/>
      <c r="SN19" s="115"/>
      <c r="SO19" s="115"/>
      <c r="SP19" s="115"/>
      <c r="SQ19" s="115"/>
      <c r="SR19" s="115"/>
      <c r="SS19" s="115"/>
      <c r="ST19" s="115"/>
      <c r="SU19" s="115"/>
      <c r="SV19" s="115"/>
      <c r="SW19" s="115"/>
      <c r="SX19" s="115"/>
      <c r="SY19" s="115"/>
      <c r="SZ19" s="115"/>
      <c r="TA19" s="115"/>
      <c r="TB19" s="115"/>
      <c r="TC19" s="115"/>
      <c r="TD19" s="115"/>
      <c r="TE19" s="115"/>
      <c r="TF19" s="115"/>
      <c r="TG19" s="115"/>
      <c r="TH19" s="115">
        <v>100</v>
      </c>
      <c r="TI19" s="115"/>
      <c r="TJ19" s="115">
        <v>100</v>
      </c>
      <c r="TK19" s="115">
        <v>100</v>
      </c>
      <c r="TL19" s="115"/>
      <c r="TM19" s="115">
        <v>300</v>
      </c>
      <c r="TN19" s="115"/>
      <c r="TO19" s="115"/>
      <c r="TP19" s="115"/>
      <c r="TQ19" s="115"/>
      <c r="TR19" s="115"/>
      <c r="TS19" s="115"/>
      <c r="TT19" s="115"/>
      <c r="TU19" s="115"/>
      <c r="TV19" s="115"/>
      <c r="TW19" s="115"/>
      <c r="TX19" s="115"/>
      <c r="TY19" s="115"/>
      <c r="TZ19" s="115"/>
      <c r="UA19" s="115"/>
      <c r="UB19" s="115"/>
      <c r="UC19" s="115"/>
      <c r="UD19" s="115"/>
      <c r="UE19" s="115"/>
      <c r="UF19" s="115"/>
      <c r="UG19" s="115"/>
      <c r="UH19" s="115"/>
      <c r="UI19" s="115"/>
      <c r="UJ19" s="115"/>
      <c r="UK19" s="115"/>
      <c r="UL19" s="115"/>
      <c r="UM19" s="115"/>
      <c r="UN19" s="115"/>
      <c r="UO19" s="115"/>
      <c r="UP19" s="115"/>
      <c r="UQ19" s="115"/>
      <c r="UR19" s="115"/>
      <c r="US19" s="115"/>
      <c r="UT19" s="115"/>
      <c r="UU19" s="115"/>
      <c r="UV19" s="115"/>
      <c r="UW19" s="115">
        <v>50</v>
      </c>
      <c r="UX19" s="115"/>
      <c r="UY19" s="115"/>
      <c r="UZ19" s="115"/>
      <c r="VA19" s="115"/>
      <c r="VB19" s="115"/>
      <c r="VC19" s="115"/>
      <c r="VD19" s="115"/>
      <c r="VE19" s="115"/>
      <c r="VF19" s="115"/>
      <c r="VG19" s="115"/>
      <c r="VH19" s="115"/>
      <c r="VI19" s="115"/>
      <c r="VJ19" s="115"/>
      <c r="VK19" s="115"/>
      <c r="VL19" s="115"/>
      <c r="VM19" s="115"/>
      <c r="VN19" s="115"/>
      <c r="VO19" s="115"/>
      <c r="VP19" s="115"/>
      <c r="VQ19" s="115"/>
      <c r="VR19" s="115"/>
      <c r="VS19" s="115"/>
      <c r="VT19" s="115"/>
      <c r="VU19" s="115"/>
      <c r="VV19" s="115"/>
      <c r="VW19" s="115"/>
      <c r="VX19" s="115"/>
      <c r="VY19" s="115"/>
      <c r="VZ19" s="115"/>
      <c r="WA19" s="115"/>
      <c r="WB19" s="115"/>
      <c r="WC19" s="115"/>
      <c r="WD19" s="115"/>
      <c r="WE19" s="115"/>
      <c r="WF19" s="115"/>
      <c r="WG19" s="115"/>
      <c r="WH19" s="115"/>
      <c r="WI19" s="115"/>
      <c r="WJ19" s="115"/>
      <c r="WK19" s="115"/>
      <c r="WL19" s="115"/>
      <c r="WM19" s="115"/>
      <c r="WN19" s="115"/>
      <c r="WO19" s="115"/>
      <c r="WP19" s="115"/>
      <c r="WQ19" s="115"/>
      <c r="WR19" s="115"/>
      <c r="WS19" s="115"/>
      <c r="WT19" s="115"/>
      <c r="WU19" s="115"/>
      <c r="WV19" s="115"/>
      <c r="WW19" s="115"/>
      <c r="WX19" s="115"/>
      <c r="WY19" s="115"/>
      <c r="WZ19" s="115"/>
      <c r="XA19" s="115"/>
      <c r="XB19" s="115"/>
      <c r="XC19" s="115"/>
      <c r="XD19" s="115"/>
      <c r="XE19" s="115"/>
      <c r="XF19" s="115"/>
      <c r="XG19" s="115"/>
      <c r="XH19" s="115"/>
      <c r="XI19" s="115"/>
      <c r="XJ19" s="115"/>
      <c r="XK19" s="115"/>
      <c r="XL19" s="115"/>
      <c r="XM19" s="115"/>
      <c r="XN19" s="115"/>
      <c r="XO19" s="115"/>
      <c r="XP19" s="115"/>
      <c r="XQ19" s="115"/>
      <c r="XR19" s="115"/>
      <c r="XS19" s="115"/>
      <c r="XT19" s="115"/>
      <c r="XU19" s="115"/>
      <c r="XV19" s="115"/>
      <c r="XW19" s="115"/>
      <c r="XX19" s="115"/>
      <c r="XY19" s="115"/>
      <c r="XZ19" s="115"/>
      <c r="YA19" s="115"/>
      <c r="YB19" s="115"/>
      <c r="YC19" s="115"/>
      <c r="YD19" s="115"/>
      <c r="YE19" s="115"/>
      <c r="YF19" s="115"/>
      <c r="YG19" s="115"/>
      <c r="YH19" s="115"/>
      <c r="YI19" s="115"/>
      <c r="YJ19" s="115"/>
      <c r="YK19" s="115"/>
      <c r="YL19" s="115"/>
      <c r="YM19" s="115"/>
      <c r="YN19" s="115"/>
      <c r="YO19" s="115"/>
      <c r="YP19" s="115"/>
      <c r="YQ19" s="115"/>
      <c r="YX19" s="22">
        <v>4963</v>
      </c>
      <c r="YY19" s="22">
        <f>VLOOKUP(B19,'SCAFFOLDING MATERIAL OVERALL'!B21:S203,18,FALSE)</f>
        <v>3.65</v>
      </c>
      <c r="YZ19" s="22">
        <f t="shared" si="0"/>
        <v>18114.95</v>
      </c>
    </row>
    <row r="20" spans="1:676" s="22" customFormat="1" x14ac:dyDescent="0.25">
      <c r="A20" s="14">
        <v>16</v>
      </c>
      <c r="B20" s="46">
        <v>1000006667</v>
      </c>
      <c r="C20" s="45" t="s">
        <v>27</v>
      </c>
      <c r="D20" s="44" t="s">
        <v>12</v>
      </c>
      <c r="Q20" s="22">
        <v>60</v>
      </c>
      <c r="AZ20" s="22">
        <v>740</v>
      </c>
      <c r="BB20" s="22">
        <v>1160</v>
      </c>
      <c r="EM20" s="22">
        <v>70</v>
      </c>
      <c r="HA20" s="22">
        <v>300</v>
      </c>
      <c r="IH20" s="22">
        <v>2000</v>
      </c>
      <c r="KS20" s="22">
        <v>160</v>
      </c>
      <c r="KZ20" s="22">
        <v>200</v>
      </c>
      <c r="OQ20" s="22">
        <v>57</v>
      </c>
      <c r="OS20" s="22">
        <v>5</v>
      </c>
      <c r="OT20" s="22">
        <v>200</v>
      </c>
      <c r="OU20" s="22">
        <v>38</v>
      </c>
      <c r="OZ20" s="115"/>
      <c r="PA20" s="115"/>
      <c r="PB20" s="115"/>
      <c r="PC20" s="115"/>
      <c r="PD20" s="115"/>
      <c r="PE20" s="115"/>
      <c r="PF20" s="115"/>
      <c r="PG20" s="115">
        <v>600</v>
      </c>
      <c r="PH20" s="115"/>
      <c r="PI20" s="115"/>
      <c r="PJ20" s="115"/>
      <c r="PK20" s="115"/>
      <c r="PL20" s="115"/>
      <c r="PM20" s="115"/>
      <c r="PN20" s="115"/>
      <c r="PO20" s="115"/>
      <c r="PP20" s="115"/>
      <c r="PQ20" s="115"/>
      <c r="PR20" s="115"/>
      <c r="PS20" s="115"/>
      <c r="PT20" s="115"/>
      <c r="PU20" s="115"/>
      <c r="PV20" s="115"/>
      <c r="PW20" s="115"/>
      <c r="PX20" s="115"/>
      <c r="PY20" s="115"/>
      <c r="PZ20" s="115"/>
      <c r="QA20" s="115"/>
      <c r="QB20" s="115"/>
      <c r="QC20" s="115"/>
      <c r="QD20" s="115"/>
      <c r="QE20" s="115"/>
      <c r="QF20" s="115"/>
      <c r="QG20" s="115"/>
      <c r="QH20" s="115"/>
      <c r="QI20" s="115"/>
      <c r="QJ20" s="115"/>
      <c r="QK20" s="115"/>
      <c r="QL20" s="115"/>
      <c r="QM20" s="115"/>
      <c r="QN20" s="115"/>
      <c r="QO20" s="115"/>
      <c r="QP20" s="115"/>
      <c r="QQ20" s="115"/>
      <c r="QR20" s="115"/>
      <c r="QS20" s="115"/>
      <c r="QT20" s="115"/>
      <c r="QU20" s="115"/>
      <c r="QV20" s="115"/>
      <c r="QW20" s="115"/>
      <c r="QX20" s="115"/>
      <c r="QY20" s="115"/>
      <c r="QZ20" s="115"/>
      <c r="RA20" s="115"/>
      <c r="RB20" s="115"/>
      <c r="RC20" s="115"/>
      <c r="RD20" s="115"/>
      <c r="RE20" s="115"/>
      <c r="RF20" s="115"/>
      <c r="RG20" s="115"/>
      <c r="RH20" s="115"/>
      <c r="RI20" s="115"/>
      <c r="RJ20" s="115"/>
      <c r="RK20" s="115"/>
      <c r="RL20" s="115"/>
      <c r="RM20" s="115"/>
      <c r="RN20" s="115"/>
      <c r="RO20" s="115"/>
      <c r="RP20" s="115"/>
      <c r="RQ20" s="115"/>
      <c r="RR20" s="115"/>
      <c r="RS20" s="115"/>
      <c r="RT20" s="115"/>
      <c r="RU20" s="115"/>
      <c r="RV20" s="115"/>
      <c r="RW20" s="115"/>
      <c r="RX20" s="115"/>
      <c r="RY20" s="115"/>
      <c r="RZ20" s="115"/>
      <c r="SA20" s="115"/>
      <c r="SB20" s="115"/>
      <c r="SC20" s="115"/>
      <c r="SD20" s="115"/>
      <c r="SE20" s="115"/>
      <c r="SF20" s="115"/>
      <c r="SG20" s="115"/>
      <c r="SH20" s="115"/>
      <c r="SI20" s="115"/>
      <c r="SJ20" s="115"/>
      <c r="SK20" s="115"/>
      <c r="SL20" s="115"/>
      <c r="SM20" s="115"/>
      <c r="SN20" s="115"/>
      <c r="SO20" s="115"/>
      <c r="SP20" s="115"/>
      <c r="SQ20" s="115"/>
      <c r="SR20" s="115"/>
      <c r="SS20" s="115"/>
      <c r="ST20" s="115"/>
      <c r="SU20" s="115"/>
      <c r="SV20" s="115"/>
      <c r="SW20" s="115"/>
      <c r="SX20" s="115"/>
      <c r="SY20" s="115"/>
      <c r="SZ20" s="115"/>
      <c r="TA20" s="115"/>
      <c r="TB20" s="115"/>
      <c r="TC20" s="115"/>
      <c r="TD20" s="115">
        <v>1000</v>
      </c>
      <c r="TE20" s="115"/>
      <c r="TF20" s="115"/>
      <c r="TG20" s="115"/>
      <c r="TH20" s="115"/>
      <c r="TI20" s="115"/>
      <c r="TJ20" s="115"/>
      <c r="TK20" s="115"/>
      <c r="TL20" s="115"/>
      <c r="TM20" s="115">
        <v>1200</v>
      </c>
      <c r="TN20" s="115">
        <v>800</v>
      </c>
      <c r="TO20" s="115"/>
      <c r="TP20" s="115"/>
      <c r="TQ20" s="115"/>
      <c r="TR20" s="115"/>
      <c r="TS20" s="115"/>
      <c r="TT20" s="115"/>
      <c r="TU20" s="115"/>
      <c r="TV20" s="115"/>
      <c r="TW20" s="115"/>
      <c r="TX20" s="115"/>
      <c r="TY20" s="115"/>
      <c r="TZ20" s="115"/>
      <c r="UA20" s="115"/>
      <c r="UB20" s="115"/>
      <c r="UC20" s="115"/>
      <c r="UD20" s="115"/>
      <c r="UE20" s="115"/>
      <c r="UF20" s="115"/>
      <c r="UG20" s="115"/>
      <c r="UH20" s="115"/>
      <c r="UI20" s="115"/>
      <c r="UJ20" s="115"/>
      <c r="UK20" s="115"/>
      <c r="UL20" s="115"/>
      <c r="UM20" s="115"/>
      <c r="UN20" s="115"/>
      <c r="UO20" s="115"/>
      <c r="UP20" s="115"/>
      <c r="UQ20" s="115"/>
      <c r="UR20" s="115"/>
      <c r="US20" s="115"/>
      <c r="UT20" s="115"/>
      <c r="UU20" s="115"/>
      <c r="UV20" s="115"/>
      <c r="UW20" s="115"/>
      <c r="UX20" s="115"/>
      <c r="UY20" s="115"/>
      <c r="UZ20" s="115"/>
      <c r="VA20" s="115">
        <v>1100</v>
      </c>
      <c r="VB20" s="115"/>
      <c r="VC20" s="115"/>
      <c r="VD20" s="115"/>
      <c r="VE20" s="115"/>
      <c r="VF20" s="115"/>
      <c r="VG20" s="115">
        <v>900</v>
      </c>
      <c r="VH20" s="115"/>
      <c r="VI20" s="115"/>
      <c r="VJ20" s="115"/>
      <c r="VK20" s="115"/>
      <c r="VL20" s="115"/>
      <c r="VM20" s="115"/>
      <c r="VN20" s="115"/>
      <c r="VO20" s="115"/>
      <c r="VP20" s="115"/>
      <c r="VQ20" s="115"/>
      <c r="VR20" s="115"/>
      <c r="VS20" s="115"/>
      <c r="VT20" s="115"/>
      <c r="VU20" s="115"/>
      <c r="VV20" s="115"/>
      <c r="VW20" s="115"/>
      <c r="VX20" s="115"/>
      <c r="VY20" s="115"/>
      <c r="VZ20" s="115"/>
      <c r="WA20" s="115"/>
      <c r="WB20" s="115"/>
      <c r="WC20" s="115"/>
      <c r="WD20" s="115"/>
      <c r="WE20" s="115"/>
      <c r="WF20" s="115"/>
      <c r="WG20" s="115"/>
      <c r="WH20" s="115"/>
      <c r="WI20" s="115"/>
      <c r="WJ20" s="115"/>
      <c r="WK20" s="115"/>
      <c r="WL20" s="115"/>
      <c r="WM20" s="115"/>
      <c r="WN20" s="115"/>
      <c r="WO20" s="115"/>
      <c r="WP20" s="115"/>
      <c r="WQ20" s="115"/>
      <c r="WR20" s="115"/>
      <c r="WS20" s="115"/>
      <c r="WT20" s="115"/>
      <c r="WU20" s="115"/>
      <c r="WV20" s="115"/>
      <c r="WW20" s="115"/>
      <c r="WX20" s="115"/>
      <c r="WY20" s="115"/>
      <c r="WZ20" s="115"/>
      <c r="XA20" s="115"/>
      <c r="XB20" s="115"/>
      <c r="XC20" s="115"/>
      <c r="XD20" s="115"/>
      <c r="XE20" s="115"/>
      <c r="XF20" s="115"/>
      <c r="XG20" s="115"/>
      <c r="XH20" s="115"/>
      <c r="XI20" s="115"/>
      <c r="XJ20" s="115"/>
      <c r="XK20" s="115"/>
      <c r="XL20" s="115"/>
      <c r="XM20" s="115"/>
      <c r="XN20" s="115"/>
      <c r="XO20" s="115"/>
      <c r="XP20" s="115"/>
      <c r="XQ20" s="115"/>
      <c r="XR20" s="115"/>
      <c r="XS20" s="115"/>
      <c r="XT20" s="115"/>
      <c r="XU20" s="115"/>
      <c r="XV20" s="115"/>
      <c r="XW20" s="115"/>
      <c r="XX20" s="115"/>
      <c r="XY20" s="115"/>
      <c r="XZ20" s="115"/>
      <c r="YA20" s="115"/>
      <c r="YB20" s="115"/>
      <c r="YC20" s="115"/>
      <c r="YD20" s="115"/>
      <c r="YE20" s="115"/>
      <c r="YF20" s="115"/>
      <c r="YG20" s="115"/>
      <c r="YH20" s="115"/>
      <c r="YI20" s="115"/>
      <c r="YJ20" s="115"/>
      <c r="YK20" s="115"/>
      <c r="YL20" s="115"/>
      <c r="YM20" s="115"/>
      <c r="YN20" s="115"/>
      <c r="YO20" s="115"/>
      <c r="YP20" s="115"/>
      <c r="YQ20" s="115"/>
      <c r="YX20" s="22">
        <v>10590</v>
      </c>
      <c r="YY20" s="22">
        <f>VLOOKUP(B20,'SCAFFOLDING MATERIAL OVERALL'!B22:S204,18,FALSE)</f>
        <v>1.85</v>
      </c>
      <c r="YZ20" s="22">
        <f t="shared" si="0"/>
        <v>19591.5</v>
      </c>
    </row>
    <row r="21" spans="1:676" s="22" customFormat="1" x14ac:dyDescent="0.25">
      <c r="A21" s="17">
        <v>17</v>
      </c>
      <c r="B21" s="46">
        <v>3000000061</v>
      </c>
      <c r="C21" s="45" t="s">
        <v>28</v>
      </c>
      <c r="D21" s="44" t="s">
        <v>12</v>
      </c>
      <c r="G21" s="22">
        <v>2000</v>
      </c>
      <c r="I21" s="22">
        <v>2860</v>
      </c>
      <c r="J21" s="22">
        <v>970</v>
      </c>
      <c r="T21" s="22">
        <v>10000</v>
      </c>
      <c r="BO21" s="22">
        <v>1000</v>
      </c>
      <c r="BV21" s="22">
        <v>3420</v>
      </c>
      <c r="CC21" s="22">
        <v>4000</v>
      </c>
      <c r="CZ21" s="22">
        <v>100</v>
      </c>
      <c r="DV21" s="22">
        <v>2000</v>
      </c>
      <c r="EF21" s="22">
        <v>7200</v>
      </c>
      <c r="EI21" s="22">
        <v>14000</v>
      </c>
      <c r="EL21" s="22">
        <v>1800</v>
      </c>
      <c r="EX21" s="22">
        <v>900</v>
      </c>
      <c r="FC21" s="22">
        <v>3600</v>
      </c>
      <c r="FJ21" s="22">
        <v>1800</v>
      </c>
      <c r="FL21" s="22">
        <v>3600</v>
      </c>
      <c r="FO21" s="22">
        <v>5400</v>
      </c>
      <c r="FR21" s="22">
        <v>4500</v>
      </c>
      <c r="FS21" s="22">
        <v>3220</v>
      </c>
      <c r="GB21" s="22">
        <v>1720</v>
      </c>
      <c r="GE21" s="22">
        <v>8660</v>
      </c>
      <c r="GJ21" s="22">
        <v>4000</v>
      </c>
      <c r="GL21" s="22">
        <v>1000</v>
      </c>
      <c r="II21" s="22">
        <v>2000</v>
      </c>
      <c r="JY21" s="22">
        <v>3291</v>
      </c>
      <c r="LL21" s="22">
        <v>1200</v>
      </c>
      <c r="LP21" s="22">
        <v>862</v>
      </c>
      <c r="LR21" s="22">
        <v>314</v>
      </c>
      <c r="LT21" s="22">
        <v>350</v>
      </c>
      <c r="LU21" s="22">
        <v>816</v>
      </c>
      <c r="LV21" s="22">
        <v>300</v>
      </c>
      <c r="LX21" s="22">
        <v>261</v>
      </c>
      <c r="MI21" s="22">
        <v>1940</v>
      </c>
      <c r="ML21" s="22">
        <v>1200</v>
      </c>
      <c r="MU21" s="22">
        <v>115</v>
      </c>
      <c r="NB21" s="22">
        <v>1200</v>
      </c>
      <c r="NE21" s="22">
        <v>500</v>
      </c>
      <c r="NI21" s="22">
        <v>802</v>
      </c>
      <c r="NJ21" s="22">
        <v>1000</v>
      </c>
      <c r="NU21" s="22">
        <v>500</v>
      </c>
      <c r="NW21" s="22">
        <v>300</v>
      </c>
      <c r="NY21" s="22">
        <v>550</v>
      </c>
      <c r="OB21" s="22">
        <v>375</v>
      </c>
      <c r="OF21" s="22">
        <v>186</v>
      </c>
      <c r="OW21" s="22">
        <v>1500</v>
      </c>
      <c r="OZ21" s="115"/>
      <c r="PA21" s="115"/>
      <c r="PB21" s="115"/>
      <c r="PC21" s="115"/>
      <c r="PD21" s="115"/>
      <c r="PE21" s="115"/>
      <c r="PF21" s="115">
        <v>10000</v>
      </c>
      <c r="PG21" s="115"/>
      <c r="PH21" s="115"/>
      <c r="PI21" s="115"/>
      <c r="PJ21" s="115"/>
      <c r="PK21" s="115"/>
      <c r="PL21" s="115"/>
      <c r="PM21" s="115"/>
      <c r="PN21" s="115"/>
      <c r="PO21" s="115"/>
      <c r="PP21" s="115"/>
      <c r="PQ21" s="115"/>
      <c r="PR21" s="115"/>
      <c r="PS21" s="115"/>
      <c r="PT21" s="115"/>
      <c r="PU21" s="115"/>
      <c r="PV21" s="115"/>
      <c r="PW21" s="115"/>
      <c r="PX21" s="115"/>
      <c r="PY21" s="115"/>
      <c r="PZ21" s="115"/>
      <c r="QA21" s="115"/>
      <c r="QB21" s="115"/>
      <c r="QC21" s="115">
        <v>100</v>
      </c>
      <c r="QD21" s="115">
        <v>1000</v>
      </c>
      <c r="QE21" s="115"/>
      <c r="QF21" s="115"/>
      <c r="QG21" s="115"/>
      <c r="QH21" s="115"/>
      <c r="QI21" s="115"/>
      <c r="QJ21" s="115"/>
      <c r="QK21" s="115"/>
      <c r="QL21" s="115"/>
      <c r="QM21" s="115"/>
      <c r="QN21" s="115">
        <v>2000</v>
      </c>
      <c r="QO21" s="115"/>
      <c r="QP21" s="115"/>
      <c r="QQ21" s="115"/>
      <c r="QR21" s="115"/>
      <c r="QS21" s="115"/>
      <c r="QT21" s="115"/>
      <c r="QU21" s="115"/>
      <c r="QV21" s="115"/>
      <c r="QW21" s="115"/>
      <c r="QX21" s="115"/>
      <c r="QY21" s="115"/>
      <c r="QZ21" s="115"/>
      <c r="RA21" s="115"/>
      <c r="RB21" s="115"/>
      <c r="RC21" s="115"/>
      <c r="RD21" s="115"/>
      <c r="RE21" s="115"/>
      <c r="RF21" s="115"/>
      <c r="RG21" s="115"/>
      <c r="RH21" s="115"/>
      <c r="RI21" s="115"/>
      <c r="RJ21" s="115"/>
      <c r="RK21" s="115"/>
      <c r="RL21" s="115"/>
      <c r="RM21" s="115"/>
      <c r="RN21" s="115"/>
      <c r="RO21" s="115">
        <v>5000</v>
      </c>
      <c r="RP21" s="115"/>
      <c r="RQ21" s="115"/>
      <c r="RR21" s="115"/>
      <c r="RS21" s="115"/>
      <c r="RT21" s="115"/>
      <c r="RU21" s="115"/>
      <c r="RV21" s="115"/>
      <c r="RW21" s="115"/>
      <c r="RX21" s="115"/>
      <c r="RY21" s="115"/>
      <c r="RZ21" s="115"/>
      <c r="SA21" s="115"/>
      <c r="SB21" s="115"/>
      <c r="SC21" s="115"/>
      <c r="SD21" s="115"/>
      <c r="SE21" s="115"/>
      <c r="SF21" s="115"/>
      <c r="SG21" s="115"/>
      <c r="SH21" s="115"/>
      <c r="SI21" s="115"/>
      <c r="SJ21" s="115"/>
      <c r="SK21" s="115"/>
      <c r="SL21" s="115"/>
      <c r="SM21" s="115"/>
      <c r="SN21" s="115"/>
      <c r="SO21" s="115"/>
      <c r="SP21" s="115"/>
      <c r="SQ21" s="115"/>
      <c r="SR21" s="115"/>
      <c r="SS21" s="115"/>
      <c r="ST21" s="115"/>
      <c r="SU21" s="115"/>
      <c r="SV21" s="115"/>
      <c r="SW21" s="115"/>
      <c r="SX21" s="115"/>
      <c r="SY21" s="115"/>
      <c r="SZ21" s="115"/>
      <c r="TA21" s="115"/>
      <c r="TB21" s="115"/>
      <c r="TC21" s="115"/>
      <c r="TD21" s="115"/>
      <c r="TE21" s="115">
        <v>2170</v>
      </c>
      <c r="TF21" s="115">
        <v>1000</v>
      </c>
      <c r="TG21" s="115">
        <v>1000</v>
      </c>
      <c r="TH21" s="115">
        <v>500</v>
      </c>
      <c r="TI21" s="115">
        <v>1000</v>
      </c>
      <c r="TJ21" s="115"/>
      <c r="TK21" s="115">
        <v>500</v>
      </c>
      <c r="TL21" s="115">
        <v>1250</v>
      </c>
      <c r="TM21" s="115"/>
      <c r="TN21" s="115"/>
      <c r="TO21" s="115"/>
      <c r="TP21" s="115"/>
      <c r="TQ21" s="115"/>
      <c r="TR21" s="115">
        <v>300</v>
      </c>
      <c r="TS21" s="115">
        <v>500</v>
      </c>
      <c r="TT21" s="115"/>
      <c r="TU21" s="115"/>
      <c r="TV21" s="115"/>
      <c r="TW21" s="115"/>
      <c r="TX21" s="115">
        <v>500</v>
      </c>
      <c r="TY21" s="115">
        <v>500</v>
      </c>
      <c r="TZ21" s="115"/>
      <c r="UA21" s="115"/>
      <c r="UB21" s="115"/>
      <c r="UC21" s="115"/>
      <c r="UD21" s="115"/>
      <c r="UE21" s="115"/>
      <c r="UF21" s="115"/>
      <c r="UG21" s="115"/>
      <c r="UH21" s="115"/>
      <c r="UI21" s="115"/>
      <c r="UJ21" s="115"/>
      <c r="UK21" s="115">
        <v>1100</v>
      </c>
      <c r="UL21" s="115"/>
      <c r="UM21" s="115"/>
      <c r="UN21" s="115"/>
      <c r="UO21" s="115"/>
      <c r="UP21" s="115"/>
      <c r="UQ21" s="115"/>
      <c r="UR21" s="115"/>
      <c r="US21" s="115"/>
      <c r="UT21" s="115"/>
      <c r="UU21" s="115"/>
      <c r="UV21" s="115"/>
      <c r="UW21" s="115"/>
      <c r="UX21" s="115"/>
      <c r="UY21" s="115"/>
      <c r="UZ21" s="115"/>
      <c r="VA21" s="115"/>
      <c r="VB21" s="115"/>
      <c r="VC21" s="115"/>
      <c r="VD21" s="115"/>
      <c r="VE21" s="115"/>
      <c r="VF21" s="115"/>
      <c r="VG21" s="115"/>
      <c r="VH21" s="115"/>
      <c r="VI21" s="115">
        <v>910</v>
      </c>
      <c r="VJ21" s="115"/>
      <c r="VK21" s="115"/>
      <c r="VL21" s="115"/>
      <c r="VM21" s="115"/>
      <c r="VN21" s="115"/>
      <c r="VO21" s="115"/>
      <c r="VP21" s="115"/>
      <c r="VQ21" s="115"/>
      <c r="VR21" s="115"/>
      <c r="VS21" s="115"/>
      <c r="VT21" s="115"/>
      <c r="VU21" s="115"/>
      <c r="VV21" s="115"/>
      <c r="VW21" s="115"/>
      <c r="VX21" s="115"/>
      <c r="VY21" s="115">
        <v>730</v>
      </c>
      <c r="VZ21" s="115"/>
      <c r="WA21" s="115"/>
      <c r="WB21" s="115"/>
      <c r="WC21" s="115">
        <v>5000</v>
      </c>
      <c r="WD21" s="115"/>
      <c r="WE21" s="115"/>
      <c r="WF21" s="115"/>
      <c r="WG21" s="115"/>
      <c r="WH21" s="115"/>
      <c r="WI21" s="115"/>
      <c r="WJ21" s="115"/>
      <c r="WK21" s="115"/>
      <c r="WL21" s="115"/>
      <c r="WM21" s="115">
        <v>5000</v>
      </c>
      <c r="WN21" s="115"/>
      <c r="WO21" s="115"/>
      <c r="WP21" s="115"/>
      <c r="WQ21" s="115">
        <v>2000</v>
      </c>
      <c r="WR21" s="115">
        <v>2000</v>
      </c>
      <c r="WS21" s="115">
        <v>8000</v>
      </c>
      <c r="WT21" s="115"/>
      <c r="WU21" s="115">
        <v>2640</v>
      </c>
      <c r="WV21" s="115"/>
      <c r="WW21" s="115"/>
      <c r="WX21" s="115"/>
      <c r="WY21" s="115"/>
      <c r="WZ21" s="115"/>
      <c r="XA21" s="115"/>
      <c r="XB21" s="115"/>
      <c r="XC21" s="115"/>
      <c r="XD21" s="115"/>
      <c r="XE21" s="115"/>
      <c r="XF21" s="115"/>
      <c r="XG21" s="115"/>
      <c r="XH21" s="115"/>
      <c r="XI21" s="115"/>
      <c r="XJ21" s="115"/>
      <c r="XK21" s="115"/>
      <c r="XL21" s="115"/>
      <c r="XM21" s="115"/>
      <c r="XN21" s="115"/>
      <c r="XO21" s="115"/>
      <c r="XP21" s="115"/>
      <c r="XQ21" s="115"/>
      <c r="XR21" s="115"/>
      <c r="XS21" s="115"/>
      <c r="XT21" s="115"/>
      <c r="XU21" s="115"/>
      <c r="XV21" s="115"/>
      <c r="XW21" s="115"/>
      <c r="XX21" s="115"/>
      <c r="XY21" s="115"/>
      <c r="XZ21" s="115"/>
      <c r="YA21" s="115"/>
      <c r="YB21" s="115"/>
      <c r="YC21" s="115"/>
      <c r="YD21" s="115"/>
      <c r="YE21" s="115"/>
      <c r="YF21" s="115"/>
      <c r="YG21" s="115"/>
      <c r="YH21" s="115"/>
      <c r="YI21" s="115"/>
      <c r="YJ21" s="115"/>
      <c r="YK21" s="115"/>
      <c r="YL21" s="115"/>
      <c r="YM21" s="115"/>
      <c r="YN21" s="115"/>
      <c r="YO21" s="115"/>
      <c r="YP21" s="115">
        <v>6000</v>
      </c>
      <c r="YQ21" s="115">
        <v>9000</v>
      </c>
      <c r="YX21" s="22">
        <v>177012</v>
      </c>
      <c r="YY21" s="22">
        <f>VLOOKUP(B21,'SCAFFOLDING MATERIAL OVERALL'!B23:S205,18,FALSE)</f>
        <v>1.4</v>
      </c>
      <c r="YZ21" s="22">
        <f t="shared" si="0"/>
        <v>247816.8</v>
      </c>
    </row>
    <row r="22" spans="1:676" s="22" customFormat="1" x14ac:dyDescent="0.25">
      <c r="A22" s="14">
        <v>18</v>
      </c>
      <c r="B22" s="46">
        <v>3000000064</v>
      </c>
      <c r="C22" s="45" t="s">
        <v>29</v>
      </c>
      <c r="D22" s="44" t="s">
        <v>12</v>
      </c>
      <c r="OZ22" s="115"/>
      <c r="PA22" s="115"/>
      <c r="PB22" s="115"/>
      <c r="PC22" s="115"/>
      <c r="PD22" s="115"/>
      <c r="PE22" s="115"/>
      <c r="PF22" s="115"/>
      <c r="PG22" s="115"/>
      <c r="PH22" s="115"/>
      <c r="PI22" s="115"/>
      <c r="PJ22" s="115"/>
      <c r="PK22" s="115"/>
      <c r="PL22" s="115"/>
      <c r="PM22" s="115"/>
      <c r="PN22" s="115"/>
      <c r="PO22" s="115"/>
      <c r="PP22" s="115"/>
      <c r="PQ22" s="115"/>
      <c r="PR22" s="115"/>
      <c r="PS22" s="115"/>
      <c r="PT22" s="115"/>
      <c r="PU22" s="115"/>
      <c r="PV22" s="115"/>
      <c r="PW22" s="115"/>
      <c r="PX22" s="115"/>
      <c r="PY22" s="115"/>
      <c r="PZ22" s="115"/>
      <c r="QA22" s="115"/>
      <c r="QB22" s="115"/>
      <c r="QC22" s="115"/>
      <c r="QD22" s="115"/>
      <c r="QE22" s="115"/>
      <c r="QF22" s="115"/>
      <c r="QG22" s="115"/>
      <c r="QH22" s="115"/>
      <c r="QI22" s="115"/>
      <c r="QJ22" s="115"/>
      <c r="QK22" s="115"/>
      <c r="QL22" s="115"/>
      <c r="QM22" s="115"/>
      <c r="QN22" s="115"/>
      <c r="QO22" s="115"/>
      <c r="QP22" s="115"/>
      <c r="QQ22" s="115"/>
      <c r="QR22" s="115"/>
      <c r="QS22" s="115"/>
      <c r="QT22" s="115"/>
      <c r="QU22" s="115"/>
      <c r="QV22" s="115"/>
      <c r="QW22" s="115"/>
      <c r="QX22" s="115"/>
      <c r="QY22" s="115"/>
      <c r="QZ22" s="115"/>
      <c r="RA22" s="115"/>
      <c r="RB22" s="115"/>
      <c r="RC22" s="115"/>
      <c r="RD22" s="115"/>
      <c r="RE22" s="115"/>
      <c r="RF22" s="115"/>
      <c r="RG22" s="115"/>
      <c r="RH22" s="115"/>
      <c r="RI22" s="115"/>
      <c r="RJ22" s="115"/>
      <c r="RK22" s="115"/>
      <c r="RL22" s="115"/>
      <c r="RM22" s="115"/>
      <c r="RN22" s="115"/>
      <c r="RO22" s="115"/>
      <c r="RP22" s="115"/>
      <c r="RQ22" s="115"/>
      <c r="RR22" s="115"/>
      <c r="RS22" s="115"/>
      <c r="RT22" s="115"/>
      <c r="RU22" s="115"/>
      <c r="RV22" s="115"/>
      <c r="RW22" s="115"/>
      <c r="RX22" s="115"/>
      <c r="RY22" s="115"/>
      <c r="RZ22" s="115"/>
      <c r="SA22" s="115"/>
      <c r="SB22" s="115"/>
      <c r="SC22" s="115"/>
      <c r="SD22" s="115"/>
      <c r="SE22" s="115"/>
      <c r="SF22" s="115"/>
      <c r="SG22" s="115"/>
      <c r="SH22" s="115"/>
      <c r="SI22" s="115"/>
      <c r="SJ22" s="115"/>
      <c r="SK22" s="115"/>
      <c r="SL22" s="115"/>
      <c r="SM22" s="115"/>
      <c r="SN22" s="115"/>
      <c r="SO22" s="115"/>
      <c r="SP22" s="115"/>
      <c r="SQ22" s="115"/>
      <c r="SR22" s="115"/>
      <c r="SS22" s="115"/>
      <c r="ST22" s="115"/>
      <c r="SU22" s="115"/>
      <c r="SV22" s="115"/>
      <c r="SW22" s="115"/>
      <c r="SX22" s="115"/>
      <c r="SY22" s="115"/>
      <c r="SZ22" s="115"/>
      <c r="TA22" s="115"/>
      <c r="TB22" s="115"/>
      <c r="TC22" s="115"/>
      <c r="TD22" s="115"/>
      <c r="TE22" s="115"/>
      <c r="TF22" s="115"/>
      <c r="TG22" s="115"/>
      <c r="TH22" s="115"/>
      <c r="TI22" s="115"/>
      <c r="TJ22" s="115"/>
      <c r="TK22" s="115"/>
      <c r="TL22" s="115"/>
      <c r="TM22" s="115"/>
      <c r="TN22" s="115"/>
      <c r="TO22" s="115"/>
      <c r="TP22" s="115"/>
      <c r="TQ22" s="115"/>
      <c r="TR22" s="115"/>
      <c r="TS22" s="115"/>
      <c r="TT22" s="115"/>
      <c r="TU22" s="115"/>
      <c r="TV22" s="115"/>
      <c r="TW22" s="115"/>
      <c r="TX22" s="115"/>
      <c r="TY22" s="115"/>
      <c r="TZ22" s="115"/>
      <c r="UA22" s="115"/>
      <c r="UB22" s="115"/>
      <c r="UC22" s="115"/>
      <c r="UD22" s="115"/>
      <c r="UE22" s="115"/>
      <c r="UF22" s="115"/>
      <c r="UG22" s="115"/>
      <c r="UH22" s="115"/>
      <c r="UI22" s="115"/>
      <c r="UJ22" s="115"/>
      <c r="UK22" s="115"/>
      <c r="UL22" s="115"/>
      <c r="UM22" s="115"/>
      <c r="UN22" s="115"/>
      <c r="UO22" s="115"/>
      <c r="UP22" s="115"/>
      <c r="UQ22" s="115"/>
      <c r="UR22" s="115"/>
      <c r="US22" s="115"/>
      <c r="UT22" s="115"/>
      <c r="UU22" s="115"/>
      <c r="UV22" s="115"/>
      <c r="UW22" s="115"/>
      <c r="UX22" s="115"/>
      <c r="UY22" s="115"/>
      <c r="UZ22" s="115"/>
      <c r="VA22" s="115"/>
      <c r="VB22" s="115"/>
      <c r="VC22" s="115"/>
      <c r="VD22" s="115"/>
      <c r="VE22" s="115"/>
      <c r="VF22" s="115"/>
      <c r="VG22" s="115"/>
      <c r="VH22" s="115"/>
      <c r="VI22" s="115"/>
      <c r="VJ22" s="115"/>
      <c r="VK22" s="115"/>
      <c r="VL22" s="115"/>
      <c r="VM22" s="115"/>
      <c r="VN22" s="115"/>
      <c r="VO22" s="115"/>
      <c r="VP22" s="115"/>
      <c r="VQ22" s="115"/>
      <c r="VR22" s="115"/>
      <c r="VS22" s="115"/>
      <c r="VT22" s="115"/>
      <c r="VU22" s="115"/>
      <c r="VV22" s="115"/>
      <c r="VW22" s="115"/>
      <c r="VX22" s="115"/>
      <c r="VY22" s="115"/>
      <c r="VZ22" s="115"/>
      <c r="WA22" s="115"/>
      <c r="WB22" s="115"/>
      <c r="WC22" s="115"/>
      <c r="WD22" s="115"/>
      <c r="WE22" s="115"/>
      <c r="WF22" s="115"/>
      <c r="WG22" s="115"/>
      <c r="WH22" s="115"/>
      <c r="WI22" s="115"/>
      <c r="WJ22" s="115"/>
      <c r="WK22" s="115"/>
      <c r="WL22" s="115"/>
      <c r="WM22" s="115"/>
      <c r="WN22" s="115"/>
      <c r="WO22" s="115"/>
      <c r="WP22" s="115"/>
      <c r="WQ22" s="115"/>
      <c r="WR22" s="115"/>
      <c r="WS22" s="115"/>
      <c r="WT22" s="115"/>
      <c r="WU22" s="115"/>
      <c r="WV22" s="115"/>
      <c r="WW22" s="115"/>
      <c r="WX22" s="115"/>
      <c r="WY22" s="115"/>
      <c r="WZ22" s="115"/>
      <c r="XA22" s="115"/>
      <c r="XB22" s="115"/>
      <c r="XC22" s="115"/>
      <c r="XD22" s="115"/>
      <c r="XE22" s="115"/>
      <c r="XF22" s="115"/>
      <c r="XG22" s="115"/>
      <c r="XH22" s="115"/>
      <c r="XI22" s="115"/>
      <c r="XJ22" s="115"/>
      <c r="XK22" s="115"/>
      <c r="XL22" s="115"/>
      <c r="XM22" s="115"/>
      <c r="XN22" s="115"/>
      <c r="XO22" s="115"/>
      <c r="XP22" s="115"/>
      <c r="XQ22" s="115"/>
      <c r="XR22" s="115"/>
      <c r="XS22" s="115"/>
      <c r="XT22" s="115"/>
      <c r="XU22" s="115"/>
      <c r="XV22" s="115"/>
      <c r="XW22" s="115"/>
      <c r="XX22" s="115"/>
      <c r="XY22" s="115"/>
      <c r="XZ22" s="115"/>
      <c r="YA22" s="115"/>
      <c r="YB22" s="115"/>
      <c r="YC22" s="115"/>
      <c r="YD22" s="115"/>
      <c r="YE22" s="115"/>
      <c r="YF22" s="115"/>
      <c r="YG22" s="115"/>
      <c r="YH22" s="115"/>
      <c r="YI22" s="115"/>
      <c r="YJ22" s="115"/>
      <c r="YK22" s="115"/>
      <c r="YL22" s="115"/>
      <c r="YM22" s="115"/>
      <c r="YN22" s="115"/>
      <c r="YO22" s="115"/>
      <c r="YP22" s="115"/>
      <c r="YQ22" s="115"/>
      <c r="YX22" s="22">
        <v>0</v>
      </c>
      <c r="YY22" s="22">
        <f>VLOOKUP(B22,'SCAFFOLDING MATERIAL OVERALL'!B24:S206,18,FALSE)</f>
        <v>20.832999999999998</v>
      </c>
      <c r="YZ22" s="22">
        <f t="shared" si="0"/>
        <v>0</v>
      </c>
    </row>
    <row r="23" spans="1:676" s="22" customFormat="1" x14ac:dyDescent="0.25">
      <c r="A23" s="14">
        <v>19</v>
      </c>
      <c r="B23" s="46">
        <v>3000000062</v>
      </c>
      <c r="C23" s="45" t="s">
        <v>30</v>
      </c>
      <c r="D23" s="44" t="s">
        <v>12</v>
      </c>
      <c r="R23" s="22">
        <v>5</v>
      </c>
      <c r="AG23" s="22">
        <v>270</v>
      </c>
      <c r="AI23" s="22">
        <v>240</v>
      </c>
      <c r="AX23" s="22">
        <v>240</v>
      </c>
      <c r="AZ23" s="22">
        <v>120</v>
      </c>
      <c r="BB23" s="22">
        <v>180</v>
      </c>
      <c r="MP23" s="22">
        <v>4</v>
      </c>
      <c r="NX23" s="22">
        <v>66</v>
      </c>
      <c r="OL23" s="22">
        <v>2</v>
      </c>
      <c r="OZ23" s="115"/>
      <c r="PA23" s="115"/>
      <c r="PB23" s="115"/>
      <c r="PC23" s="115"/>
      <c r="PD23" s="115"/>
      <c r="PE23" s="115"/>
      <c r="PF23" s="115"/>
      <c r="PG23" s="115"/>
      <c r="PH23" s="115"/>
      <c r="PI23" s="115"/>
      <c r="PJ23" s="115"/>
      <c r="PK23" s="115">
        <v>460</v>
      </c>
      <c r="PL23" s="115"/>
      <c r="PM23" s="115"/>
      <c r="PN23" s="115"/>
      <c r="PO23" s="115"/>
      <c r="PP23" s="115"/>
      <c r="PQ23" s="115"/>
      <c r="PR23" s="115"/>
      <c r="PS23" s="115"/>
      <c r="PT23" s="115"/>
      <c r="PU23" s="115"/>
      <c r="PV23" s="115"/>
      <c r="PW23" s="115"/>
      <c r="PX23" s="115"/>
      <c r="PY23" s="115"/>
      <c r="PZ23" s="115"/>
      <c r="QA23" s="115"/>
      <c r="QB23" s="115"/>
      <c r="QC23" s="115"/>
      <c r="QD23" s="115"/>
      <c r="QE23" s="115"/>
      <c r="QF23" s="115"/>
      <c r="QG23" s="115"/>
      <c r="QH23" s="115"/>
      <c r="QI23" s="115"/>
      <c r="QJ23" s="115"/>
      <c r="QK23" s="115"/>
      <c r="QL23" s="115"/>
      <c r="QM23" s="115"/>
      <c r="QN23" s="115"/>
      <c r="QO23" s="115"/>
      <c r="QP23" s="115"/>
      <c r="QQ23" s="115"/>
      <c r="QR23" s="115"/>
      <c r="QS23" s="115"/>
      <c r="QT23" s="115"/>
      <c r="QU23" s="115"/>
      <c r="QV23" s="115"/>
      <c r="QW23" s="115"/>
      <c r="QX23" s="115"/>
      <c r="QY23" s="115"/>
      <c r="QZ23" s="115"/>
      <c r="RA23" s="115"/>
      <c r="RB23" s="115"/>
      <c r="RC23" s="115"/>
      <c r="RD23" s="115"/>
      <c r="RE23" s="115"/>
      <c r="RF23" s="115"/>
      <c r="RG23" s="115"/>
      <c r="RH23" s="115"/>
      <c r="RI23" s="115"/>
      <c r="RJ23" s="115"/>
      <c r="RK23" s="115"/>
      <c r="RL23" s="115"/>
      <c r="RM23" s="115"/>
      <c r="RN23" s="115"/>
      <c r="RO23" s="115"/>
      <c r="RP23" s="115"/>
      <c r="RQ23" s="115"/>
      <c r="RR23" s="115"/>
      <c r="RS23" s="115"/>
      <c r="RT23" s="115"/>
      <c r="RU23" s="115"/>
      <c r="RV23" s="115"/>
      <c r="RW23" s="115"/>
      <c r="RX23" s="115"/>
      <c r="RY23" s="115"/>
      <c r="RZ23" s="115"/>
      <c r="SA23" s="115"/>
      <c r="SB23" s="115"/>
      <c r="SC23" s="115"/>
      <c r="SD23" s="115"/>
      <c r="SE23" s="115"/>
      <c r="SF23" s="115"/>
      <c r="SG23" s="115"/>
      <c r="SH23" s="115"/>
      <c r="SI23" s="115"/>
      <c r="SJ23" s="115"/>
      <c r="SK23" s="115"/>
      <c r="SL23" s="115"/>
      <c r="SM23" s="115"/>
      <c r="SN23" s="115"/>
      <c r="SO23" s="115"/>
      <c r="SP23" s="115"/>
      <c r="SQ23" s="115"/>
      <c r="SR23" s="115"/>
      <c r="SS23" s="115"/>
      <c r="ST23" s="115"/>
      <c r="SU23" s="115"/>
      <c r="SV23" s="115"/>
      <c r="SW23" s="115"/>
      <c r="SX23" s="115"/>
      <c r="SY23" s="115"/>
      <c r="SZ23" s="115"/>
      <c r="TA23" s="115"/>
      <c r="TB23" s="115"/>
      <c r="TC23" s="115">
        <v>36</v>
      </c>
      <c r="TD23" s="115">
        <v>98</v>
      </c>
      <c r="TE23" s="115">
        <v>70</v>
      </c>
      <c r="TF23" s="115"/>
      <c r="TG23" s="115">
        <v>52</v>
      </c>
      <c r="TH23" s="115"/>
      <c r="TI23" s="115"/>
      <c r="TJ23" s="115"/>
      <c r="TK23" s="115">
        <v>48</v>
      </c>
      <c r="TL23" s="115"/>
      <c r="TM23" s="115"/>
      <c r="TN23" s="115"/>
      <c r="TO23" s="115"/>
      <c r="TP23" s="115"/>
      <c r="TQ23" s="115"/>
      <c r="TR23" s="115"/>
      <c r="TS23" s="115"/>
      <c r="TT23" s="115"/>
      <c r="TU23" s="115"/>
      <c r="TV23" s="115"/>
      <c r="TW23" s="115"/>
      <c r="TX23" s="115"/>
      <c r="TY23" s="115"/>
      <c r="TZ23" s="115"/>
      <c r="UA23" s="115"/>
      <c r="UB23" s="115"/>
      <c r="UC23" s="115"/>
      <c r="UD23" s="115"/>
      <c r="UE23" s="115"/>
      <c r="UF23" s="115"/>
      <c r="UG23" s="115"/>
      <c r="UH23" s="115"/>
      <c r="UI23" s="115"/>
      <c r="UJ23" s="115"/>
      <c r="UK23" s="115"/>
      <c r="UL23" s="115"/>
      <c r="UM23" s="115"/>
      <c r="UN23" s="115"/>
      <c r="UO23" s="115"/>
      <c r="UP23" s="115"/>
      <c r="UQ23" s="115"/>
      <c r="UR23" s="115"/>
      <c r="US23" s="115"/>
      <c r="UT23" s="115"/>
      <c r="UU23" s="115"/>
      <c r="UV23" s="115"/>
      <c r="UW23" s="115"/>
      <c r="UX23" s="115"/>
      <c r="UY23" s="115"/>
      <c r="UZ23" s="115"/>
      <c r="VA23" s="115"/>
      <c r="VB23" s="115"/>
      <c r="VC23" s="115"/>
      <c r="VD23" s="115"/>
      <c r="VE23" s="115"/>
      <c r="VF23" s="115"/>
      <c r="VG23" s="115"/>
      <c r="VH23" s="115"/>
      <c r="VI23" s="115"/>
      <c r="VJ23" s="115"/>
      <c r="VK23" s="115"/>
      <c r="VL23" s="115"/>
      <c r="VM23" s="115"/>
      <c r="VN23" s="115"/>
      <c r="VO23" s="115"/>
      <c r="VP23" s="115"/>
      <c r="VQ23" s="115"/>
      <c r="VR23" s="115"/>
      <c r="VS23" s="115"/>
      <c r="VT23" s="115"/>
      <c r="VU23" s="115"/>
      <c r="VV23" s="115"/>
      <c r="VW23" s="115"/>
      <c r="VX23" s="115"/>
      <c r="VY23" s="115"/>
      <c r="VZ23" s="115"/>
      <c r="WA23" s="115"/>
      <c r="WB23" s="115"/>
      <c r="WC23" s="115"/>
      <c r="WD23" s="115"/>
      <c r="WE23" s="115"/>
      <c r="WF23" s="115"/>
      <c r="WG23" s="115"/>
      <c r="WH23" s="115"/>
      <c r="WI23" s="115"/>
      <c r="WJ23" s="115"/>
      <c r="WK23" s="115"/>
      <c r="WL23" s="115"/>
      <c r="WM23" s="115"/>
      <c r="WN23" s="115"/>
      <c r="WO23" s="115"/>
      <c r="WP23" s="115"/>
      <c r="WQ23" s="115"/>
      <c r="WR23" s="115"/>
      <c r="WS23" s="115"/>
      <c r="WT23" s="115"/>
      <c r="WU23" s="115"/>
      <c r="WV23" s="115"/>
      <c r="WW23" s="115"/>
      <c r="WX23" s="115"/>
      <c r="WY23" s="115"/>
      <c r="WZ23" s="115"/>
      <c r="XA23" s="115"/>
      <c r="XB23" s="115"/>
      <c r="XC23" s="115"/>
      <c r="XD23" s="115"/>
      <c r="XE23" s="115"/>
      <c r="XF23" s="115"/>
      <c r="XG23" s="115"/>
      <c r="XH23" s="115"/>
      <c r="XI23" s="115"/>
      <c r="XJ23" s="115"/>
      <c r="XK23" s="115"/>
      <c r="XL23" s="115"/>
      <c r="XM23" s="115"/>
      <c r="XN23" s="115"/>
      <c r="XO23" s="115"/>
      <c r="XP23" s="115"/>
      <c r="XQ23" s="115"/>
      <c r="XR23" s="115"/>
      <c r="XS23" s="115"/>
      <c r="XT23" s="115"/>
      <c r="XU23" s="115"/>
      <c r="XV23" s="115"/>
      <c r="XW23" s="115"/>
      <c r="XX23" s="115"/>
      <c r="XY23" s="115"/>
      <c r="XZ23" s="115"/>
      <c r="YA23" s="115"/>
      <c r="YB23" s="115"/>
      <c r="YC23" s="115"/>
      <c r="YD23" s="115"/>
      <c r="YE23" s="115"/>
      <c r="YF23" s="115"/>
      <c r="YG23" s="115"/>
      <c r="YH23" s="115"/>
      <c r="YI23" s="115"/>
      <c r="YJ23" s="115"/>
      <c r="YK23" s="115"/>
      <c r="YL23" s="115"/>
      <c r="YM23" s="115"/>
      <c r="YN23" s="115"/>
      <c r="YO23" s="115"/>
      <c r="YP23" s="115"/>
      <c r="YQ23" s="115"/>
      <c r="YX23" s="22">
        <v>1891</v>
      </c>
      <c r="YY23" s="22">
        <f>VLOOKUP(B23,'SCAFFOLDING MATERIAL OVERALL'!B25:S207,18,FALSE)</f>
        <v>31.3</v>
      </c>
      <c r="YZ23" s="22">
        <f t="shared" si="0"/>
        <v>59188.3</v>
      </c>
    </row>
    <row r="24" spans="1:676" s="22" customFormat="1" x14ac:dyDescent="0.25">
      <c r="A24" s="17">
        <v>20</v>
      </c>
      <c r="B24" s="46" t="s">
        <v>1571</v>
      </c>
      <c r="C24" s="45" t="s">
        <v>31</v>
      </c>
      <c r="D24" s="44" t="s">
        <v>12</v>
      </c>
      <c r="R24" s="22">
        <v>20</v>
      </c>
      <c r="V24" s="22">
        <v>210</v>
      </c>
      <c r="X24" s="22">
        <v>270</v>
      </c>
      <c r="AA24" s="22">
        <v>120</v>
      </c>
      <c r="AG24" s="22">
        <v>150</v>
      </c>
      <c r="BE24" s="22">
        <v>240</v>
      </c>
      <c r="BO24" s="22">
        <v>30</v>
      </c>
      <c r="CS24" s="22">
        <v>240</v>
      </c>
      <c r="GK24" s="22">
        <v>360</v>
      </c>
      <c r="GL24" s="22">
        <v>117</v>
      </c>
      <c r="MP24" s="22">
        <v>4</v>
      </c>
      <c r="OZ24" s="115"/>
      <c r="PA24" s="115"/>
      <c r="PB24" s="115"/>
      <c r="PC24" s="115"/>
      <c r="PD24" s="115"/>
      <c r="PE24" s="115"/>
      <c r="PF24" s="115"/>
      <c r="PG24" s="115"/>
      <c r="PH24" s="115">
        <v>240</v>
      </c>
      <c r="PI24" s="115"/>
      <c r="PJ24" s="115"/>
      <c r="PK24" s="115"/>
      <c r="PL24" s="115"/>
      <c r="PM24" s="115"/>
      <c r="PN24" s="115"/>
      <c r="PO24" s="115"/>
      <c r="PP24" s="115"/>
      <c r="PQ24" s="115"/>
      <c r="PR24" s="115"/>
      <c r="PS24" s="115">
        <v>90</v>
      </c>
      <c r="PT24" s="115"/>
      <c r="PU24" s="115"/>
      <c r="PV24" s="115">
        <v>290</v>
      </c>
      <c r="PW24" s="115"/>
      <c r="PX24" s="115"/>
      <c r="PY24" s="115"/>
      <c r="PZ24" s="115"/>
      <c r="QA24" s="115">
        <v>300</v>
      </c>
      <c r="QB24" s="115"/>
      <c r="QC24" s="115"/>
      <c r="QD24" s="115"/>
      <c r="QE24" s="115"/>
      <c r="QF24" s="115"/>
      <c r="QG24" s="115">
        <v>270</v>
      </c>
      <c r="QH24" s="115"/>
      <c r="QI24" s="115"/>
      <c r="QJ24" s="115"/>
      <c r="QK24" s="115"/>
      <c r="QL24" s="115"/>
      <c r="QM24" s="115"/>
      <c r="QN24" s="115"/>
      <c r="QO24" s="115"/>
      <c r="QP24" s="115"/>
      <c r="QQ24" s="115"/>
      <c r="QR24" s="115"/>
      <c r="QS24" s="115"/>
      <c r="QT24" s="115"/>
      <c r="QU24" s="115"/>
      <c r="QV24" s="115"/>
      <c r="QW24" s="115"/>
      <c r="QX24" s="115"/>
      <c r="QY24" s="115"/>
      <c r="QZ24" s="115"/>
      <c r="RA24" s="115"/>
      <c r="RB24" s="115"/>
      <c r="RC24" s="115"/>
      <c r="RD24" s="115"/>
      <c r="RE24" s="115"/>
      <c r="RF24" s="115"/>
      <c r="RG24" s="115"/>
      <c r="RH24" s="115"/>
      <c r="RI24" s="115"/>
      <c r="RJ24" s="115"/>
      <c r="RK24" s="115"/>
      <c r="RL24" s="115"/>
      <c r="RM24" s="115"/>
      <c r="RN24" s="115"/>
      <c r="RO24" s="115"/>
      <c r="RP24" s="115"/>
      <c r="RQ24" s="115"/>
      <c r="RR24" s="115"/>
      <c r="RS24" s="115"/>
      <c r="RT24" s="115"/>
      <c r="RU24" s="115"/>
      <c r="RV24" s="115"/>
      <c r="RW24" s="115"/>
      <c r="RX24" s="115"/>
      <c r="RY24" s="115"/>
      <c r="RZ24" s="115"/>
      <c r="SA24" s="115"/>
      <c r="SB24" s="115"/>
      <c r="SC24" s="115"/>
      <c r="SD24" s="115"/>
      <c r="SE24" s="115"/>
      <c r="SF24" s="115"/>
      <c r="SG24" s="115"/>
      <c r="SH24" s="115"/>
      <c r="SI24" s="115"/>
      <c r="SJ24" s="115"/>
      <c r="SK24" s="115"/>
      <c r="SL24" s="115"/>
      <c r="SM24" s="115"/>
      <c r="SN24" s="115"/>
      <c r="SO24" s="115"/>
      <c r="SP24" s="115"/>
      <c r="SQ24" s="115"/>
      <c r="SR24" s="115"/>
      <c r="SS24" s="115"/>
      <c r="ST24" s="115"/>
      <c r="SU24" s="115"/>
      <c r="SV24" s="115"/>
      <c r="SW24" s="115"/>
      <c r="SX24" s="115"/>
      <c r="SY24" s="115"/>
      <c r="SZ24" s="115"/>
      <c r="TA24" s="115"/>
      <c r="TB24" s="115"/>
      <c r="TC24" s="115"/>
      <c r="TD24" s="115"/>
      <c r="TE24" s="115">
        <v>25</v>
      </c>
      <c r="TF24" s="115"/>
      <c r="TG24" s="115"/>
      <c r="TH24" s="115"/>
      <c r="TI24" s="115"/>
      <c r="TJ24" s="115"/>
      <c r="TK24" s="115"/>
      <c r="TL24" s="115"/>
      <c r="TM24" s="115"/>
      <c r="TN24" s="115"/>
      <c r="TO24" s="115"/>
      <c r="TP24" s="115"/>
      <c r="TQ24" s="115"/>
      <c r="TR24" s="115"/>
      <c r="TS24" s="115"/>
      <c r="TT24" s="115"/>
      <c r="TU24" s="115"/>
      <c r="TV24" s="115"/>
      <c r="TW24" s="115"/>
      <c r="TX24" s="115"/>
      <c r="TY24" s="115"/>
      <c r="TZ24" s="115"/>
      <c r="UA24" s="115"/>
      <c r="UB24" s="115"/>
      <c r="UC24" s="115"/>
      <c r="UD24" s="115"/>
      <c r="UE24" s="115"/>
      <c r="UF24" s="115"/>
      <c r="UG24" s="115"/>
      <c r="UH24" s="115"/>
      <c r="UI24" s="115"/>
      <c r="UJ24" s="115"/>
      <c r="UK24" s="115"/>
      <c r="UL24" s="115"/>
      <c r="UM24" s="115"/>
      <c r="UN24" s="115"/>
      <c r="UO24" s="115"/>
      <c r="UP24" s="115"/>
      <c r="UQ24" s="115"/>
      <c r="UR24" s="115"/>
      <c r="US24" s="115"/>
      <c r="UT24" s="115"/>
      <c r="UU24" s="115"/>
      <c r="UV24" s="115"/>
      <c r="UW24" s="115"/>
      <c r="UX24" s="115"/>
      <c r="UY24" s="115"/>
      <c r="UZ24" s="115"/>
      <c r="VA24" s="115"/>
      <c r="VB24" s="115"/>
      <c r="VC24" s="115"/>
      <c r="VD24" s="115"/>
      <c r="VE24" s="115"/>
      <c r="VF24" s="115"/>
      <c r="VG24" s="115"/>
      <c r="VH24" s="115"/>
      <c r="VI24" s="115"/>
      <c r="VJ24" s="115"/>
      <c r="VK24" s="115"/>
      <c r="VL24" s="115"/>
      <c r="VM24" s="115"/>
      <c r="VN24" s="115"/>
      <c r="VO24" s="115"/>
      <c r="VP24" s="115"/>
      <c r="VQ24" s="115"/>
      <c r="VR24" s="115"/>
      <c r="VS24" s="115"/>
      <c r="VT24" s="115"/>
      <c r="VU24" s="115"/>
      <c r="VV24" s="115"/>
      <c r="VW24" s="115"/>
      <c r="VX24" s="115"/>
      <c r="VY24" s="115"/>
      <c r="VZ24" s="115"/>
      <c r="WA24" s="115"/>
      <c r="WB24" s="115"/>
      <c r="WC24" s="115"/>
      <c r="WD24" s="115"/>
      <c r="WE24" s="115"/>
      <c r="WF24" s="115"/>
      <c r="WG24" s="115"/>
      <c r="WH24" s="115"/>
      <c r="WI24" s="115"/>
      <c r="WJ24" s="115"/>
      <c r="WK24" s="115"/>
      <c r="WL24" s="115"/>
      <c r="WM24" s="115"/>
      <c r="WN24" s="115"/>
      <c r="WO24" s="115"/>
      <c r="WP24" s="115"/>
      <c r="WQ24" s="115"/>
      <c r="WR24" s="115"/>
      <c r="WS24" s="115"/>
      <c r="WT24" s="115"/>
      <c r="WU24" s="115"/>
      <c r="WV24" s="115"/>
      <c r="WW24" s="115"/>
      <c r="WX24" s="115"/>
      <c r="WY24" s="115"/>
      <c r="WZ24" s="115"/>
      <c r="XA24" s="115"/>
      <c r="XB24" s="115"/>
      <c r="XC24" s="115"/>
      <c r="XD24" s="115"/>
      <c r="XE24" s="115"/>
      <c r="XF24" s="115"/>
      <c r="XG24" s="115"/>
      <c r="XH24" s="115"/>
      <c r="XI24" s="115"/>
      <c r="XJ24" s="115"/>
      <c r="XK24" s="115"/>
      <c r="XL24" s="115"/>
      <c r="XM24" s="115"/>
      <c r="XN24" s="115"/>
      <c r="XO24" s="115"/>
      <c r="XP24" s="115"/>
      <c r="XQ24" s="115"/>
      <c r="XR24" s="115"/>
      <c r="XS24" s="115"/>
      <c r="XT24" s="115"/>
      <c r="XU24" s="115"/>
      <c r="XV24" s="115"/>
      <c r="XW24" s="115"/>
      <c r="XX24" s="115"/>
      <c r="XY24" s="115"/>
      <c r="XZ24" s="115"/>
      <c r="YA24" s="115"/>
      <c r="YB24" s="115"/>
      <c r="YC24" s="115"/>
      <c r="YD24" s="115"/>
      <c r="YE24" s="115"/>
      <c r="YF24" s="115"/>
      <c r="YG24" s="115"/>
      <c r="YH24" s="115"/>
      <c r="YI24" s="115"/>
      <c r="YJ24" s="115"/>
      <c r="YK24" s="115"/>
      <c r="YL24" s="115"/>
      <c r="YM24" s="115"/>
      <c r="YN24" s="115"/>
      <c r="YO24" s="115"/>
      <c r="YP24" s="115"/>
      <c r="YQ24" s="115"/>
      <c r="YX24" s="22">
        <v>2976</v>
      </c>
      <c r="YY24" s="22">
        <v>41.8</v>
      </c>
      <c r="YZ24" s="22">
        <f t="shared" si="0"/>
        <v>124396.79999999999</v>
      </c>
    </row>
    <row r="25" spans="1:676" s="22" customFormat="1" x14ac:dyDescent="0.25">
      <c r="A25" s="14">
        <v>21</v>
      </c>
      <c r="B25" s="46">
        <v>3000002688</v>
      </c>
      <c r="C25" s="45" t="s">
        <v>32</v>
      </c>
      <c r="D25" s="44" t="s">
        <v>12</v>
      </c>
      <c r="L25" s="22">
        <v>370</v>
      </c>
      <c r="Q25" s="22">
        <v>10</v>
      </c>
      <c r="R25" s="22">
        <v>147</v>
      </c>
      <c r="S25" s="22">
        <v>35</v>
      </c>
      <c r="T25" s="22">
        <v>32</v>
      </c>
      <c r="U25" s="22">
        <v>35</v>
      </c>
      <c r="V25" s="22">
        <v>102</v>
      </c>
      <c r="Y25" s="22">
        <v>56</v>
      </c>
      <c r="Z25" s="22">
        <v>24</v>
      </c>
      <c r="AB25" s="22">
        <v>13</v>
      </c>
      <c r="AX25" s="22">
        <v>240</v>
      </c>
      <c r="AZ25" s="22">
        <v>60</v>
      </c>
      <c r="BB25" s="22">
        <v>10</v>
      </c>
      <c r="BF25" s="22">
        <v>120</v>
      </c>
      <c r="BO25" s="22">
        <v>20</v>
      </c>
      <c r="BP25" s="22">
        <v>240</v>
      </c>
      <c r="CT25" s="22">
        <v>50</v>
      </c>
      <c r="DO25" s="22">
        <v>200</v>
      </c>
      <c r="DP25" s="22">
        <v>30</v>
      </c>
      <c r="DQ25" s="22">
        <v>120</v>
      </c>
      <c r="DR25" s="22">
        <v>240</v>
      </c>
      <c r="DT25" s="22">
        <v>140</v>
      </c>
      <c r="DW25" s="22">
        <v>240</v>
      </c>
      <c r="EB25" s="22">
        <v>240</v>
      </c>
      <c r="EC25" s="22">
        <v>240</v>
      </c>
      <c r="ED25" s="22">
        <v>240</v>
      </c>
      <c r="EJ25" s="22">
        <v>200</v>
      </c>
      <c r="GA25" s="22">
        <v>120</v>
      </c>
      <c r="GB25" s="22">
        <v>90</v>
      </c>
      <c r="HR25" s="22">
        <v>42</v>
      </c>
      <c r="IT25" s="22">
        <v>120</v>
      </c>
      <c r="JE25" s="22">
        <v>40</v>
      </c>
      <c r="JM25" s="22">
        <v>120</v>
      </c>
      <c r="JO25" s="22">
        <v>240</v>
      </c>
      <c r="JP25" s="22">
        <v>90</v>
      </c>
      <c r="LF25" s="22">
        <v>72</v>
      </c>
      <c r="LI25" s="22">
        <v>72</v>
      </c>
      <c r="LP25" s="22">
        <v>106</v>
      </c>
      <c r="MP25" s="22">
        <v>2</v>
      </c>
      <c r="MZ25" s="22">
        <v>49</v>
      </c>
      <c r="NA25" s="22">
        <v>10</v>
      </c>
      <c r="NC25" s="22">
        <v>21</v>
      </c>
      <c r="NI25" s="22">
        <v>15</v>
      </c>
      <c r="NL25" s="22">
        <v>56</v>
      </c>
      <c r="NU25" s="22">
        <v>39</v>
      </c>
      <c r="OZ25" s="115"/>
      <c r="PA25" s="115">
        <v>70</v>
      </c>
      <c r="PB25" s="115">
        <v>150</v>
      </c>
      <c r="PC25" s="115">
        <v>150</v>
      </c>
      <c r="PD25" s="115">
        <v>290</v>
      </c>
      <c r="PE25" s="115"/>
      <c r="PF25" s="115">
        <v>32</v>
      </c>
      <c r="PG25" s="115"/>
      <c r="PH25" s="115">
        <v>180</v>
      </c>
      <c r="PI25" s="115"/>
      <c r="PJ25" s="115">
        <v>90</v>
      </c>
      <c r="PK25" s="115"/>
      <c r="PL25" s="115">
        <v>30</v>
      </c>
      <c r="PM25" s="115"/>
      <c r="PN25" s="115"/>
      <c r="PO25" s="115"/>
      <c r="PP25" s="115">
        <v>150</v>
      </c>
      <c r="PQ25" s="115"/>
      <c r="PR25" s="115">
        <v>300</v>
      </c>
      <c r="PS25" s="115">
        <v>140</v>
      </c>
      <c r="PT25" s="115"/>
      <c r="PU25" s="115"/>
      <c r="PV25" s="115">
        <v>90</v>
      </c>
      <c r="PW25" s="115">
        <v>90</v>
      </c>
      <c r="PX25" s="115"/>
      <c r="PY25" s="115"/>
      <c r="PZ25" s="115"/>
      <c r="QA25" s="115">
        <v>40</v>
      </c>
      <c r="QB25" s="115">
        <v>360</v>
      </c>
      <c r="QC25" s="115"/>
      <c r="QD25" s="115"/>
      <c r="QE25" s="115"/>
      <c r="QF25" s="115">
        <v>210</v>
      </c>
      <c r="QG25" s="115">
        <v>120</v>
      </c>
      <c r="QH25" s="115"/>
      <c r="QI25" s="115"/>
      <c r="QJ25" s="115"/>
      <c r="QK25" s="115"/>
      <c r="QL25" s="115"/>
      <c r="QM25" s="115"/>
      <c r="QN25" s="115"/>
      <c r="QO25" s="115"/>
      <c r="QP25" s="115"/>
      <c r="QQ25" s="115"/>
      <c r="QR25" s="115"/>
      <c r="QS25" s="115"/>
      <c r="QT25" s="115"/>
      <c r="QU25" s="115"/>
      <c r="QV25" s="115"/>
      <c r="QW25" s="115"/>
      <c r="QX25" s="115"/>
      <c r="QY25" s="115"/>
      <c r="QZ25" s="115"/>
      <c r="RA25" s="115"/>
      <c r="RB25" s="115"/>
      <c r="RC25" s="115"/>
      <c r="RD25" s="115"/>
      <c r="RE25" s="115"/>
      <c r="RF25" s="115"/>
      <c r="RG25" s="115"/>
      <c r="RH25" s="115"/>
      <c r="RI25" s="115"/>
      <c r="RJ25" s="115"/>
      <c r="RK25" s="115"/>
      <c r="RL25" s="115"/>
      <c r="RM25" s="115"/>
      <c r="RN25" s="115"/>
      <c r="RO25" s="115">
        <v>100</v>
      </c>
      <c r="RP25" s="115"/>
      <c r="RQ25" s="115"/>
      <c r="RR25" s="115"/>
      <c r="RS25" s="115"/>
      <c r="RT25" s="115"/>
      <c r="RU25" s="115"/>
      <c r="RV25" s="115">
        <v>300</v>
      </c>
      <c r="RW25" s="115"/>
      <c r="RX25" s="115"/>
      <c r="RY25" s="115"/>
      <c r="RZ25" s="115"/>
      <c r="SA25" s="115"/>
      <c r="SB25" s="115"/>
      <c r="SC25" s="115"/>
      <c r="SD25" s="115"/>
      <c r="SE25" s="115"/>
      <c r="SF25" s="115"/>
      <c r="SG25" s="115"/>
      <c r="SH25" s="115"/>
      <c r="SI25" s="115"/>
      <c r="SJ25" s="115"/>
      <c r="SK25" s="115"/>
      <c r="SL25" s="115"/>
      <c r="SM25" s="115"/>
      <c r="SN25" s="115"/>
      <c r="SO25" s="115"/>
      <c r="SP25" s="115"/>
      <c r="SQ25" s="115"/>
      <c r="SR25" s="115"/>
      <c r="SS25" s="115"/>
      <c r="ST25" s="115"/>
      <c r="SU25" s="115"/>
      <c r="SV25" s="115"/>
      <c r="SW25" s="115">
        <v>100</v>
      </c>
      <c r="SX25" s="115"/>
      <c r="SY25" s="115"/>
      <c r="SZ25" s="115"/>
      <c r="TA25" s="115"/>
      <c r="TB25" s="115"/>
      <c r="TC25" s="115"/>
      <c r="TD25" s="115"/>
      <c r="TE25" s="115"/>
      <c r="TF25" s="115">
        <v>150</v>
      </c>
      <c r="TG25" s="115"/>
      <c r="TH25" s="115"/>
      <c r="TI25" s="115"/>
      <c r="TJ25" s="115"/>
      <c r="TK25" s="115"/>
      <c r="TL25" s="115"/>
      <c r="TM25" s="115">
        <v>90</v>
      </c>
      <c r="TN25" s="115">
        <v>60</v>
      </c>
      <c r="TO25" s="115">
        <v>100</v>
      </c>
      <c r="TP25" s="115">
        <v>17</v>
      </c>
      <c r="TQ25" s="115">
        <v>70</v>
      </c>
      <c r="TR25" s="115">
        <v>50</v>
      </c>
      <c r="TS25" s="115"/>
      <c r="TT25" s="115"/>
      <c r="TU25" s="115"/>
      <c r="TV25" s="115"/>
      <c r="TW25" s="115"/>
      <c r="TX25" s="115">
        <v>16</v>
      </c>
      <c r="TY25" s="115">
        <v>34</v>
      </c>
      <c r="TZ25" s="115">
        <v>26</v>
      </c>
      <c r="UA25" s="115">
        <v>60</v>
      </c>
      <c r="UB25" s="115">
        <v>24</v>
      </c>
      <c r="UC25" s="115">
        <v>24</v>
      </c>
      <c r="UD25" s="115"/>
      <c r="UE25" s="115">
        <v>168</v>
      </c>
      <c r="UF25" s="115">
        <v>70</v>
      </c>
      <c r="UG25" s="115"/>
      <c r="UH25" s="115">
        <v>72</v>
      </c>
      <c r="UI25" s="115">
        <v>108</v>
      </c>
      <c r="UJ25" s="115">
        <v>72</v>
      </c>
      <c r="UK25" s="115">
        <v>60</v>
      </c>
      <c r="UL25" s="115">
        <v>72</v>
      </c>
      <c r="UM25" s="115">
        <v>108</v>
      </c>
      <c r="UN25" s="115">
        <v>72</v>
      </c>
      <c r="UO25" s="115">
        <v>36</v>
      </c>
      <c r="UP25" s="115">
        <v>24</v>
      </c>
      <c r="UQ25" s="115">
        <v>24</v>
      </c>
      <c r="UR25" s="115">
        <v>36</v>
      </c>
      <c r="US25" s="115"/>
      <c r="UT25" s="115">
        <v>36</v>
      </c>
      <c r="UU25" s="115">
        <v>36</v>
      </c>
      <c r="UV25" s="115"/>
      <c r="UW25" s="115"/>
      <c r="UX25" s="115">
        <v>36</v>
      </c>
      <c r="UY25" s="115">
        <v>36</v>
      </c>
      <c r="UZ25" s="115">
        <v>72</v>
      </c>
      <c r="VA25" s="115"/>
      <c r="VB25" s="115">
        <v>72</v>
      </c>
      <c r="VC25" s="115">
        <v>60</v>
      </c>
      <c r="VD25" s="115"/>
      <c r="VE25" s="115">
        <v>72</v>
      </c>
      <c r="VF25" s="115">
        <v>24</v>
      </c>
      <c r="VG25" s="115">
        <v>36</v>
      </c>
      <c r="VH25" s="115">
        <v>60</v>
      </c>
      <c r="VI25" s="115">
        <v>36</v>
      </c>
      <c r="VJ25" s="115"/>
      <c r="VK25" s="115">
        <v>72</v>
      </c>
      <c r="VL25" s="115">
        <v>36</v>
      </c>
      <c r="VM25" s="115">
        <v>48</v>
      </c>
      <c r="VN25" s="115"/>
      <c r="VO25" s="115">
        <v>12</v>
      </c>
      <c r="VP25" s="115"/>
      <c r="VQ25" s="115"/>
      <c r="VR25" s="115">
        <v>35</v>
      </c>
      <c r="VS25" s="115">
        <v>36</v>
      </c>
      <c r="VT25" s="115">
        <v>24</v>
      </c>
      <c r="VU25" s="115"/>
      <c r="VV25" s="115"/>
      <c r="VW25" s="115"/>
      <c r="VX25" s="115">
        <v>24</v>
      </c>
      <c r="VY25" s="115"/>
      <c r="VZ25" s="115"/>
      <c r="WA25" s="115"/>
      <c r="WB25" s="115"/>
      <c r="WC25" s="115"/>
      <c r="WD25" s="115"/>
      <c r="WE25" s="115">
        <v>45</v>
      </c>
      <c r="WF25" s="115"/>
      <c r="WG25" s="115"/>
      <c r="WH25" s="115"/>
      <c r="WI25" s="115"/>
      <c r="WJ25" s="115"/>
      <c r="WK25" s="115"/>
      <c r="WL25" s="115">
        <v>300</v>
      </c>
      <c r="WM25" s="115"/>
      <c r="WN25" s="115"/>
      <c r="WO25" s="115"/>
      <c r="WP25" s="115"/>
      <c r="WQ25" s="115"/>
      <c r="WR25" s="115"/>
      <c r="WS25" s="115"/>
      <c r="WT25" s="115">
        <v>300</v>
      </c>
      <c r="WU25" s="115"/>
      <c r="WV25" s="115"/>
      <c r="WW25" s="115"/>
      <c r="WX25" s="115"/>
      <c r="WY25" s="115"/>
      <c r="WZ25" s="115"/>
      <c r="XA25" s="115"/>
      <c r="XB25" s="115"/>
      <c r="XC25" s="115"/>
      <c r="XD25" s="115"/>
      <c r="XE25" s="115"/>
      <c r="XF25" s="115"/>
      <c r="XG25" s="115"/>
      <c r="XH25" s="115"/>
      <c r="XI25" s="115"/>
      <c r="XJ25" s="115"/>
      <c r="XK25" s="115"/>
      <c r="XL25" s="115"/>
      <c r="XM25" s="115"/>
      <c r="XN25" s="115"/>
      <c r="XO25" s="115"/>
      <c r="XP25" s="115"/>
      <c r="XQ25" s="115"/>
      <c r="XR25" s="115"/>
      <c r="XS25" s="115"/>
      <c r="XT25" s="115"/>
      <c r="XU25" s="115"/>
      <c r="XV25" s="115"/>
      <c r="XW25" s="115"/>
      <c r="XX25" s="115"/>
      <c r="XY25" s="115"/>
      <c r="XZ25" s="115"/>
      <c r="YA25" s="115"/>
      <c r="YB25" s="115"/>
      <c r="YC25" s="115"/>
      <c r="YD25" s="115"/>
      <c r="YE25" s="115"/>
      <c r="YF25" s="115"/>
      <c r="YG25" s="115"/>
      <c r="YH25" s="115">
        <v>320</v>
      </c>
      <c r="YI25" s="115"/>
      <c r="YJ25" s="115"/>
      <c r="YK25" s="115"/>
      <c r="YL25" s="115"/>
      <c r="YM25" s="115"/>
      <c r="YN25" s="115"/>
      <c r="YO25" s="115"/>
      <c r="YP25" s="115">
        <v>180</v>
      </c>
      <c r="YQ25" s="115"/>
      <c r="YX25" s="22">
        <v>11401</v>
      </c>
      <c r="YY25" s="22">
        <f>VLOOKUP(B25,'SCAFFOLDING MATERIAL OVERALL'!B27:S209,18,FALSE)</f>
        <v>62.5</v>
      </c>
      <c r="YZ25" s="22">
        <f t="shared" si="0"/>
        <v>712562.5</v>
      </c>
    </row>
    <row r="26" spans="1:676" s="22" customFormat="1" x14ac:dyDescent="0.25">
      <c r="A26" s="14">
        <v>22</v>
      </c>
      <c r="B26" s="46">
        <v>3000002869</v>
      </c>
      <c r="C26" s="45" t="s">
        <v>33</v>
      </c>
      <c r="D26" s="44" t="s">
        <v>12</v>
      </c>
      <c r="ER26" s="22">
        <v>90</v>
      </c>
      <c r="ES26" s="22">
        <v>90</v>
      </c>
      <c r="EV26" s="22">
        <v>92</v>
      </c>
      <c r="FF26" s="22">
        <v>90</v>
      </c>
      <c r="FG26" s="22">
        <v>90</v>
      </c>
      <c r="FH26" s="22">
        <v>88</v>
      </c>
      <c r="FI26" s="22">
        <v>102</v>
      </c>
      <c r="FJ26" s="22">
        <v>126</v>
      </c>
      <c r="FL26" s="22">
        <v>90</v>
      </c>
      <c r="FM26" s="22">
        <v>90</v>
      </c>
      <c r="FO26" s="22">
        <v>90</v>
      </c>
      <c r="FP26" s="22">
        <v>63</v>
      </c>
      <c r="FT26" s="22">
        <v>111</v>
      </c>
      <c r="FV26" s="22">
        <v>109</v>
      </c>
      <c r="FW26" s="22">
        <v>108</v>
      </c>
      <c r="FY26" s="22">
        <v>110</v>
      </c>
      <c r="FZ26" s="22">
        <v>111</v>
      </c>
      <c r="GQ26" s="22">
        <v>90</v>
      </c>
      <c r="HX26" s="22">
        <v>110</v>
      </c>
      <c r="HY26" s="22">
        <v>90</v>
      </c>
      <c r="IB26" s="22">
        <v>120</v>
      </c>
      <c r="IC26" s="22">
        <v>90</v>
      </c>
      <c r="IE26" s="22">
        <v>40</v>
      </c>
      <c r="II26" s="22">
        <v>120</v>
      </c>
      <c r="IJ26" s="22">
        <v>30</v>
      </c>
      <c r="IL26" s="22">
        <v>150</v>
      </c>
      <c r="IZ26" s="22">
        <v>120</v>
      </c>
      <c r="JC26" s="22">
        <v>90</v>
      </c>
      <c r="JE26" s="22">
        <v>90</v>
      </c>
      <c r="JH26" s="22">
        <v>30</v>
      </c>
      <c r="JI26" s="22">
        <v>120</v>
      </c>
      <c r="JU26" s="22">
        <v>120</v>
      </c>
      <c r="JV26" s="22">
        <v>30</v>
      </c>
      <c r="KE26" s="22">
        <v>60</v>
      </c>
      <c r="KF26" s="22">
        <v>90</v>
      </c>
      <c r="KQ26" s="22">
        <v>50</v>
      </c>
      <c r="OZ26" s="115"/>
      <c r="PA26" s="115"/>
      <c r="PB26" s="115"/>
      <c r="PC26" s="115"/>
      <c r="PD26" s="115"/>
      <c r="PE26" s="115"/>
      <c r="PF26" s="115"/>
      <c r="PG26" s="115"/>
      <c r="PH26" s="115"/>
      <c r="PI26" s="115"/>
      <c r="PJ26" s="115"/>
      <c r="PK26" s="115"/>
      <c r="PL26" s="115"/>
      <c r="PM26" s="115"/>
      <c r="PN26" s="115"/>
      <c r="PO26" s="115"/>
      <c r="PP26" s="115"/>
      <c r="PQ26" s="115"/>
      <c r="PR26" s="115"/>
      <c r="PS26" s="115"/>
      <c r="PT26" s="115"/>
      <c r="PU26" s="115"/>
      <c r="PV26" s="115"/>
      <c r="PW26" s="115"/>
      <c r="PX26" s="115"/>
      <c r="PY26" s="115"/>
      <c r="PZ26" s="115"/>
      <c r="QA26" s="115"/>
      <c r="QB26" s="115"/>
      <c r="QC26" s="115"/>
      <c r="QD26" s="115"/>
      <c r="QE26" s="115"/>
      <c r="QF26" s="115"/>
      <c r="QG26" s="115"/>
      <c r="QH26" s="115"/>
      <c r="QI26" s="115"/>
      <c r="QJ26" s="115"/>
      <c r="QK26" s="115"/>
      <c r="QL26" s="115"/>
      <c r="QM26" s="115"/>
      <c r="QN26" s="115"/>
      <c r="QO26" s="115"/>
      <c r="QP26" s="115"/>
      <c r="QQ26" s="115"/>
      <c r="QR26" s="115"/>
      <c r="QS26" s="115"/>
      <c r="QT26" s="115"/>
      <c r="QU26" s="115"/>
      <c r="QV26" s="115"/>
      <c r="QW26" s="115"/>
      <c r="QX26" s="115"/>
      <c r="QY26" s="115"/>
      <c r="QZ26" s="115"/>
      <c r="RA26" s="115"/>
      <c r="RB26" s="115"/>
      <c r="RC26" s="115"/>
      <c r="RD26" s="115"/>
      <c r="RE26" s="115"/>
      <c r="RF26" s="115"/>
      <c r="RG26" s="115"/>
      <c r="RH26" s="115"/>
      <c r="RI26" s="115"/>
      <c r="RJ26" s="115">
        <v>180</v>
      </c>
      <c r="RK26" s="115"/>
      <c r="RL26" s="115"/>
      <c r="RM26" s="115">
        <v>90</v>
      </c>
      <c r="RN26" s="115">
        <v>180</v>
      </c>
      <c r="RO26" s="115"/>
      <c r="RP26" s="115">
        <v>90</v>
      </c>
      <c r="RQ26" s="115">
        <v>360</v>
      </c>
      <c r="RR26" s="115"/>
      <c r="RS26" s="115"/>
      <c r="RT26" s="115">
        <v>45</v>
      </c>
      <c r="RU26" s="115">
        <v>45</v>
      </c>
      <c r="RV26" s="115"/>
      <c r="RW26" s="115"/>
      <c r="RX26" s="115"/>
      <c r="RY26" s="115"/>
      <c r="RZ26" s="115"/>
      <c r="SA26" s="115">
        <v>195</v>
      </c>
      <c r="SB26" s="115"/>
      <c r="SC26" s="115">
        <v>180</v>
      </c>
      <c r="SD26" s="115"/>
      <c r="SE26" s="115"/>
      <c r="SF26" s="115"/>
      <c r="SG26" s="115">
        <v>45</v>
      </c>
      <c r="SH26" s="115">
        <v>180</v>
      </c>
      <c r="SI26" s="115"/>
      <c r="SJ26" s="115"/>
      <c r="SK26" s="115">
        <v>45</v>
      </c>
      <c r="SL26" s="115">
        <v>180</v>
      </c>
      <c r="SM26" s="115">
        <v>180</v>
      </c>
      <c r="SN26" s="115"/>
      <c r="SO26" s="115"/>
      <c r="SP26" s="115"/>
      <c r="SQ26" s="115"/>
      <c r="SR26" s="115"/>
      <c r="SS26" s="115"/>
      <c r="ST26" s="115"/>
      <c r="SU26" s="115"/>
      <c r="SV26" s="115"/>
      <c r="SW26" s="115"/>
      <c r="SX26" s="115"/>
      <c r="SY26" s="115"/>
      <c r="SZ26" s="115"/>
      <c r="TA26" s="115"/>
      <c r="TB26" s="115"/>
      <c r="TC26" s="115"/>
      <c r="TD26" s="115"/>
      <c r="TE26" s="115"/>
      <c r="TF26" s="115"/>
      <c r="TG26" s="115"/>
      <c r="TH26" s="115"/>
      <c r="TI26" s="115"/>
      <c r="TJ26" s="115"/>
      <c r="TK26" s="115"/>
      <c r="TL26" s="115"/>
      <c r="TM26" s="115"/>
      <c r="TN26" s="115"/>
      <c r="TO26" s="115"/>
      <c r="TP26" s="115"/>
      <c r="TQ26" s="115"/>
      <c r="TR26" s="115"/>
      <c r="TS26" s="115"/>
      <c r="TT26" s="115"/>
      <c r="TU26" s="115"/>
      <c r="TV26" s="115"/>
      <c r="TW26" s="115"/>
      <c r="TX26" s="115"/>
      <c r="TY26" s="115"/>
      <c r="TZ26" s="115"/>
      <c r="UA26" s="115"/>
      <c r="UB26" s="115"/>
      <c r="UC26" s="115">
        <v>24</v>
      </c>
      <c r="UD26" s="115"/>
      <c r="UE26" s="115"/>
      <c r="UF26" s="115"/>
      <c r="UG26" s="115"/>
      <c r="UH26" s="115"/>
      <c r="UI26" s="115"/>
      <c r="UJ26" s="115">
        <v>72</v>
      </c>
      <c r="UK26" s="115"/>
      <c r="UL26" s="115">
        <v>72</v>
      </c>
      <c r="UM26" s="115"/>
      <c r="UN26" s="115">
        <v>36</v>
      </c>
      <c r="UO26" s="115">
        <v>72</v>
      </c>
      <c r="UP26" s="115">
        <v>36</v>
      </c>
      <c r="UQ26" s="115">
        <v>36</v>
      </c>
      <c r="UR26" s="115">
        <v>36</v>
      </c>
      <c r="US26" s="115">
        <v>36</v>
      </c>
      <c r="UT26" s="115"/>
      <c r="UU26" s="115"/>
      <c r="UV26" s="115"/>
      <c r="UW26" s="115"/>
      <c r="UX26" s="115">
        <v>72</v>
      </c>
      <c r="UY26" s="115">
        <v>36</v>
      </c>
      <c r="UZ26" s="115"/>
      <c r="VA26" s="115"/>
      <c r="VB26" s="115"/>
      <c r="VC26" s="115">
        <v>144</v>
      </c>
      <c r="VD26" s="115"/>
      <c r="VE26" s="115"/>
      <c r="VF26" s="115"/>
      <c r="VG26" s="115"/>
      <c r="VH26" s="115"/>
      <c r="VI26" s="115">
        <v>36</v>
      </c>
      <c r="VJ26" s="115">
        <v>36</v>
      </c>
      <c r="VK26" s="115"/>
      <c r="VL26" s="115">
        <v>36</v>
      </c>
      <c r="VM26" s="115">
        <v>24</v>
      </c>
      <c r="VN26" s="115"/>
      <c r="VO26" s="115">
        <v>144</v>
      </c>
      <c r="VP26" s="115"/>
      <c r="VQ26" s="115"/>
      <c r="VR26" s="115">
        <v>36</v>
      </c>
      <c r="VS26" s="115"/>
      <c r="VT26" s="115">
        <v>36</v>
      </c>
      <c r="VU26" s="115">
        <v>72</v>
      </c>
      <c r="VV26" s="115"/>
      <c r="VW26" s="115">
        <v>72</v>
      </c>
      <c r="VX26" s="115"/>
      <c r="VY26" s="115">
        <v>48</v>
      </c>
      <c r="VZ26" s="115"/>
      <c r="WA26" s="115">
        <v>36</v>
      </c>
      <c r="WB26" s="115">
        <v>30</v>
      </c>
      <c r="WC26" s="115">
        <v>55</v>
      </c>
      <c r="WD26" s="115"/>
      <c r="WE26" s="115"/>
      <c r="WF26" s="115"/>
      <c r="WG26" s="115"/>
      <c r="WH26" s="115"/>
      <c r="WI26" s="115"/>
      <c r="WJ26" s="115"/>
      <c r="WK26" s="115"/>
      <c r="WL26" s="115"/>
      <c r="WM26" s="115"/>
      <c r="WN26" s="115"/>
      <c r="WO26" s="115"/>
      <c r="WP26" s="115"/>
      <c r="WQ26" s="115">
        <v>30</v>
      </c>
      <c r="WR26" s="115"/>
      <c r="WS26" s="115"/>
      <c r="WT26" s="115"/>
      <c r="WU26" s="115">
        <v>50</v>
      </c>
      <c r="WV26" s="115"/>
      <c r="WW26" s="115"/>
      <c r="WX26" s="115"/>
      <c r="WY26" s="115"/>
      <c r="WZ26" s="115"/>
      <c r="XA26" s="115"/>
      <c r="XB26" s="115"/>
      <c r="XC26" s="115"/>
      <c r="XD26" s="115"/>
      <c r="XE26" s="115"/>
      <c r="XF26" s="115"/>
      <c r="XG26" s="115"/>
      <c r="XH26" s="115"/>
      <c r="XI26" s="115"/>
      <c r="XJ26" s="115"/>
      <c r="XK26" s="115"/>
      <c r="XL26" s="115"/>
      <c r="XM26" s="115"/>
      <c r="XN26" s="115"/>
      <c r="XO26" s="115"/>
      <c r="XP26" s="115"/>
      <c r="XQ26" s="115"/>
      <c r="XR26" s="115"/>
      <c r="XS26" s="115"/>
      <c r="XT26" s="115"/>
      <c r="XU26" s="115"/>
      <c r="XV26" s="115"/>
      <c r="XW26" s="115"/>
      <c r="XX26" s="115"/>
      <c r="XY26" s="115"/>
      <c r="XZ26" s="115"/>
      <c r="YA26" s="115"/>
      <c r="YB26" s="115"/>
      <c r="YC26" s="115"/>
      <c r="YD26" s="115"/>
      <c r="YE26" s="115"/>
      <c r="YF26" s="115"/>
      <c r="YG26" s="115"/>
      <c r="YH26" s="115"/>
      <c r="YI26" s="115"/>
      <c r="YJ26" s="115"/>
      <c r="YK26" s="115"/>
      <c r="YL26" s="115"/>
      <c r="YM26" s="115">
        <v>180</v>
      </c>
      <c r="YN26" s="115"/>
      <c r="YO26" s="115"/>
      <c r="YP26" s="115"/>
      <c r="YQ26" s="115"/>
      <c r="YX26" s="22">
        <v>6878</v>
      </c>
      <c r="YY26" s="22">
        <f>VLOOKUP(B26,'SCAFFOLDING MATERIAL OVERALL'!B28:S210,18,FALSE)</f>
        <v>83.33</v>
      </c>
      <c r="YZ26" s="22">
        <f t="shared" si="0"/>
        <v>573143.74</v>
      </c>
    </row>
    <row r="27" spans="1:676" s="22" customFormat="1" x14ac:dyDescent="0.25">
      <c r="A27" s="17">
        <v>23</v>
      </c>
      <c r="B27" s="46">
        <v>3000000068</v>
      </c>
      <c r="C27" s="45" t="s">
        <v>34</v>
      </c>
      <c r="D27" s="44" t="s">
        <v>12</v>
      </c>
      <c r="G27" s="22">
        <v>3500</v>
      </c>
      <c r="I27" s="22">
        <v>3000</v>
      </c>
      <c r="J27" s="22">
        <v>850</v>
      </c>
      <c r="P27" s="22">
        <v>9700</v>
      </c>
      <c r="Q27" s="22">
        <v>15300</v>
      </c>
      <c r="AR27" s="22">
        <v>17200</v>
      </c>
      <c r="AT27" s="22">
        <v>14400</v>
      </c>
      <c r="AV27" s="22">
        <v>700</v>
      </c>
      <c r="AW27" s="22">
        <v>13650</v>
      </c>
      <c r="AX27" s="22">
        <v>19900</v>
      </c>
      <c r="AZ27" s="22">
        <v>2150</v>
      </c>
      <c r="BA27" s="22">
        <v>29400</v>
      </c>
      <c r="BB27" s="22">
        <v>3000</v>
      </c>
      <c r="BV27" s="22">
        <v>48</v>
      </c>
      <c r="EL27" s="22">
        <v>38</v>
      </c>
      <c r="EM27" s="22">
        <v>30</v>
      </c>
      <c r="EY27" s="22">
        <v>12</v>
      </c>
      <c r="GE27" s="22">
        <v>32</v>
      </c>
      <c r="GL27" s="22">
        <v>20</v>
      </c>
      <c r="GQ27" s="22">
        <v>12</v>
      </c>
      <c r="GT27" s="22">
        <v>24000</v>
      </c>
      <c r="HB27" s="22">
        <v>2500</v>
      </c>
      <c r="HC27" s="22">
        <v>13500</v>
      </c>
      <c r="IK27" s="22">
        <v>5000</v>
      </c>
      <c r="IM27" s="22">
        <v>28500</v>
      </c>
      <c r="IN27" s="22">
        <v>16500</v>
      </c>
      <c r="KX27" s="22">
        <v>27</v>
      </c>
      <c r="LB27" s="22">
        <v>39</v>
      </c>
      <c r="LF27" s="22">
        <v>1500</v>
      </c>
      <c r="LL27" s="22">
        <v>16</v>
      </c>
      <c r="LU27" s="22">
        <v>16</v>
      </c>
      <c r="MK27" s="22">
        <v>12</v>
      </c>
      <c r="MM27" s="22">
        <v>120</v>
      </c>
      <c r="MS27" s="22">
        <v>2404</v>
      </c>
      <c r="MW27" s="22">
        <v>5843</v>
      </c>
      <c r="MZ27" s="22">
        <v>7321</v>
      </c>
      <c r="NE27" s="22">
        <v>20</v>
      </c>
      <c r="NG27" s="22">
        <v>760</v>
      </c>
      <c r="NH27" s="22">
        <v>500</v>
      </c>
      <c r="NJ27" s="22">
        <v>3628</v>
      </c>
      <c r="NX27" s="22">
        <v>8400</v>
      </c>
      <c r="OZ27" s="115"/>
      <c r="PA27" s="115">
        <v>5700</v>
      </c>
      <c r="PB27" s="115"/>
      <c r="PC27" s="115"/>
      <c r="PD27" s="115"/>
      <c r="PE27" s="115"/>
      <c r="PF27" s="115"/>
      <c r="PG27" s="115"/>
      <c r="PH27" s="115"/>
      <c r="PI27" s="115"/>
      <c r="PJ27" s="115"/>
      <c r="PK27" s="115"/>
      <c r="PL27" s="115"/>
      <c r="PM27" s="115"/>
      <c r="PN27" s="115"/>
      <c r="PO27" s="115"/>
      <c r="PP27" s="115"/>
      <c r="PQ27" s="115"/>
      <c r="PR27" s="115"/>
      <c r="PS27" s="115"/>
      <c r="PT27" s="115"/>
      <c r="PU27" s="115"/>
      <c r="PV27" s="115"/>
      <c r="PW27" s="115"/>
      <c r="PX27" s="115"/>
      <c r="PY27" s="115"/>
      <c r="PZ27" s="115"/>
      <c r="QA27" s="115"/>
      <c r="QB27" s="115"/>
      <c r="QC27" s="115"/>
      <c r="QD27" s="115"/>
      <c r="QE27" s="115"/>
      <c r="QF27" s="115"/>
      <c r="QG27" s="115"/>
      <c r="QH27" s="115"/>
      <c r="QI27" s="115"/>
      <c r="QJ27" s="115"/>
      <c r="QK27" s="115"/>
      <c r="QL27" s="115"/>
      <c r="QM27" s="115"/>
      <c r="QN27" s="115"/>
      <c r="QO27" s="115"/>
      <c r="QP27" s="115"/>
      <c r="QQ27" s="115"/>
      <c r="QR27" s="115"/>
      <c r="QS27" s="115"/>
      <c r="QT27" s="115"/>
      <c r="QU27" s="115"/>
      <c r="QV27" s="115"/>
      <c r="QW27" s="115"/>
      <c r="QX27" s="115"/>
      <c r="QY27" s="115"/>
      <c r="QZ27" s="115"/>
      <c r="RA27" s="115"/>
      <c r="RB27" s="115"/>
      <c r="RC27" s="115">
        <v>6000</v>
      </c>
      <c r="RD27" s="115">
        <v>4000</v>
      </c>
      <c r="RE27" s="115"/>
      <c r="RF27" s="115"/>
      <c r="RG27" s="115">
        <v>4000</v>
      </c>
      <c r="RH27" s="115"/>
      <c r="RI27" s="115"/>
      <c r="RJ27" s="115"/>
      <c r="RK27" s="115"/>
      <c r="RL27" s="115"/>
      <c r="RM27" s="115"/>
      <c r="RN27" s="115"/>
      <c r="RO27" s="115"/>
      <c r="RP27" s="115"/>
      <c r="RQ27" s="115"/>
      <c r="RR27" s="115"/>
      <c r="RS27" s="115">
        <v>5000</v>
      </c>
      <c r="RT27" s="115"/>
      <c r="RU27" s="115"/>
      <c r="RV27" s="115"/>
      <c r="RW27" s="115"/>
      <c r="RX27" s="115"/>
      <c r="RY27" s="115">
        <v>4000</v>
      </c>
      <c r="RZ27" s="115"/>
      <c r="SA27" s="115">
        <v>1000</v>
      </c>
      <c r="SB27" s="115"/>
      <c r="SC27" s="115"/>
      <c r="SD27" s="115"/>
      <c r="SE27" s="115"/>
      <c r="SF27" s="115"/>
      <c r="SG27" s="115"/>
      <c r="SH27" s="115"/>
      <c r="SI27" s="115"/>
      <c r="SJ27" s="115"/>
      <c r="SK27" s="115"/>
      <c r="SL27" s="115"/>
      <c r="SM27" s="115"/>
      <c r="SN27" s="115"/>
      <c r="SO27" s="115"/>
      <c r="SP27" s="115">
        <v>11500</v>
      </c>
      <c r="SQ27" s="115">
        <v>10500</v>
      </c>
      <c r="SR27" s="115"/>
      <c r="SS27" s="115"/>
      <c r="ST27" s="115"/>
      <c r="SU27" s="115"/>
      <c r="SV27" s="115"/>
      <c r="SW27" s="115"/>
      <c r="SX27" s="115"/>
      <c r="SY27" s="115"/>
      <c r="SZ27" s="115"/>
      <c r="TA27" s="115">
        <v>8100</v>
      </c>
      <c r="TB27" s="115"/>
      <c r="TC27" s="115"/>
      <c r="TD27" s="115">
        <v>2000</v>
      </c>
      <c r="TE27" s="115"/>
      <c r="TF27" s="115"/>
      <c r="TG27" s="115"/>
      <c r="TH27" s="115"/>
      <c r="TI27" s="115"/>
      <c r="TJ27" s="115"/>
      <c r="TK27" s="115"/>
      <c r="TL27" s="115"/>
      <c r="TM27" s="115"/>
      <c r="TN27" s="115"/>
      <c r="TO27" s="115"/>
      <c r="TP27" s="115"/>
      <c r="TQ27" s="115"/>
      <c r="TR27" s="115"/>
      <c r="TS27" s="115"/>
      <c r="TT27" s="115"/>
      <c r="TU27" s="115"/>
      <c r="TV27" s="115"/>
      <c r="TW27" s="115"/>
      <c r="TX27" s="115"/>
      <c r="TY27" s="115"/>
      <c r="TZ27" s="115">
        <v>5680</v>
      </c>
      <c r="UA27" s="115"/>
      <c r="UB27" s="115"/>
      <c r="UC27" s="115"/>
      <c r="UD27" s="115"/>
      <c r="UE27" s="115">
        <v>3000</v>
      </c>
      <c r="UF27" s="115"/>
      <c r="UG27" s="115"/>
      <c r="UH27" s="115"/>
      <c r="UI27" s="115"/>
      <c r="UJ27" s="115"/>
      <c r="UK27" s="115"/>
      <c r="UL27" s="115"/>
      <c r="UM27" s="115"/>
      <c r="UN27" s="115"/>
      <c r="UO27" s="115"/>
      <c r="UP27" s="115"/>
      <c r="UQ27" s="115"/>
      <c r="UR27" s="115"/>
      <c r="US27" s="115">
        <v>2100</v>
      </c>
      <c r="UT27" s="115">
        <v>10760</v>
      </c>
      <c r="UU27" s="115"/>
      <c r="UV27" s="115">
        <v>5760</v>
      </c>
      <c r="UW27" s="115"/>
      <c r="UX27" s="115"/>
      <c r="UY27" s="115">
        <v>20000</v>
      </c>
      <c r="UZ27" s="115"/>
      <c r="VA27" s="115"/>
      <c r="VB27" s="115"/>
      <c r="VC27" s="115"/>
      <c r="VD27" s="115"/>
      <c r="VE27" s="115"/>
      <c r="VF27" s="115"/>
      <c r="VG27" s="115">
        <v>1000</v>
      </c>
      <c r="VH27" s="115"/>
      <c r="VI27" s="115"/>
      <c r="VJ27" s="115"/>
      <c r="VK27" s="115"/>
      <c r="VL27" s="115"/>
      <c r="VM27" s="115"/>
      <c r="VN27" s="115"/>
      <c r="VO27" s="115"/>
      <c r="VP27" s="115">
        <v>2100</v>
      </c>
      <c r="VQ27" s="115"/>
      <c r="VR27" s="115"/>
      <c r="VS27" s="115">
        <v>2100</v>
      </c>
      <c r="VT27" s="115">
        <v>2400</v>
      </c>
      <c r="VU27" s="115"/>
      <c r="VV27" s="115"/>
      <c r="VW27" s="115">
        <v>1200</v>
      </c>
      <c r="VX27" s="115"/>
      <c r="VY27" s="115">
        <v>1200</v>
      </c>
      <c r="VZ27" s="115">
        <v>3000</v>
      </c>
      <c r="WA27" s="115"/>
      <c r="WB27" s="115"/>
      <c r="WC27" s="115">
        <v>2100</v>
      </c>
      <c r="WD27" s="115"/>
      <c r="WE27" s="115"/>
      <c r="WF27" s="115">
        <v>2100</v>
      </c>
      <c r="WG27" s="115">
        <v>4200</v>
      </c>
      <c r="WH27" s="115"/>
      <c r="WI27" s="115"/>
      <c r="WJ27" s="115"/>
      <c r="WK27" s="115"/>
      <c r="WL27" s="115"/>
      <c r="WM27" s="115"/>
      <c r="WN27" s="115"/>
      <c r="WO27" s="115"/>
      <c r="WP27" s="115"/>
      <c r="WQ27" s="115">
        <v>8000</v>
      </c>
      <c r="WR27" s="115">
        <v>12600</v>
      </c>
      <c r="WS27" s="115"/>
      <c r="WT27" s="115"/>
      <c r="WU27" s="115">
        <v>4200</v>
      </c>
      <c r="WV27" s="115"/>
      <c r="WW27" s="115"/>
      <c r="WX27" s="115"/>
      <c r="WY27" s="115"/>
      <c r="WZ27" s="115"/>
      <c r="XA27" s="115"/>
      <c r="XB27" s="115"/>
      <c r="XC27" s="115"/>
      <c r="XD27" s="115"/>
      <c r="XE27" s="115"/>
      <c r="XF27" s="115"/>
      <c r="XG27" s="115"/>
      <c r="XH27" s="115"/>
      <c r="XI27" s="115"/>
      <c r="XJ27" s="115"/>
      <c r="XK27" s="115"/>
      <c r="XL27" s="115"/>
      <c r="XM27" s="115"/>
      <c r="XN27" s="115"/>
      <c r="XO27" s="115"/>
      <c r="XP27" s="115"/>
      <c r="XQ27" s="115"/>
      <c r="XR27" s="115"/>
      <c r="XS27" s="115"/>
      <c r="XT27" s="115"/>
      <c r="XU27" s="115"/>
      <c r="XV27" s="115"/>
      <c r="XW27" s="115"/>
      <c r="XX27" s="115"/>
      <c r="XY27" s="115"/>
      <c r="XZ27" s="115"/>
      <c r="YA27" s="115"/>
      <c r="YB27" s="115"/>
      <c r="YC27" s="115"/>
      <c r="YD27" s="115"/>
      <c r="YE27" s="115"/>
      <c r="YF27" s="115"/>
      <c r="YG27" s="115"/>
      <c r="YH27" s="115"/>
      <c r="YI27" s="115"/>
      <c r="YJ27" s="115"/>
      <c r="YK27" s="115"/>
      <c r="YL27" s="115"/>
      <c r="YM27" s="115"/>
      <c r="YN27" s="115"/>
      <c r="YO27" s="115">
        <v>4000</v>
      </c>
      <c r="YP27" s="115"/>
      <c r="YQ27" s="115"/>
      <c r="YX27" s="22">
        <v>412848</v>
      </c>
      <c r="YY27" s="22">
        <f>VLOOKUP(B27,'SCAFFOLDING MATERIAL OVERALL'!B29:S211,18,FALSE)</f>
        <v>0.6</v>
      </c>
      <c r="YZ27" s="22">
        <f t="shared" si="0"/>
        <v>247708.79999999999</v>
      </c>
    </row>
    <row r="28" spans="1:676" s="22" customFormat="1" x14ac:dyDescent="0.25">
      <c r="A28" s="14">
        <v>24</v>
      </c>
      <c r="B28" s="46" t="s">
        <v>35</v>
      </c>
      <c r="C28" s="45" t="s">
        <v>602</v>
      </c>
      <c r="D28" s="44" t="s">
        <v>12</v>
      </c>
      <c r="OZ28" s="115"/>
      <c r="PA28" s="115"/>
      <c r="PB28" s="115"/>
      <c r="PC28" s="115"/>
      <c r="PD28" s="115"/>
      <c r="PE28" s="115"/>
      <c r="PF28" s="115"/>
      <c r="PG28" s="115"/>
      <c r="PH28" s="115"/>
      <c r="PI28" s="115"/>
      <c r="PJ28" s="115"/>
      <c r="PK28" s="115"/>
      <c r="PL28" s="115"/>
      <c r="PM28" s="115"/>
      <c r="PN28" s="115"/>
      <c r="PO28" s="115"/>
      <c r="PP28" s="115"/>
      <c r="PQ28" s="115"/>
      <c r="PR28" s="115"/>
      <c r="PS28" s="115"/>
      <c r="PT28" s="115"/>
      <c r="PU28" s="115"/>
      <c r="PV28" s="115"/>
      <c r="PW28" s="115"/>
      <c r="PX28" s="115"/>
      <c r="PY28" s="115"/>
      <c r="PZ28" s="115"/>
      <c r="QA28" s="115"/>
      <c r="QB28" s="115"/>
      <c r="QC28" s="115"/>
      <c r="QD28" s="115"/>
      <c r="QE28" s="115"/>
      <c r="QF28" s="115"/>
      <c r="QG28" s="115"/>
      <c r="QH28" s="115"/>
      <c r="QI28" s="115"/>
      <c r="QJ28" s="115"/>
      <c r="QK28" s="115"/>
      <c r="QL28" s="115"/>
      <c r="QM28" s="115"/>
      <c r="QN28" s="115"/>
      <c r="QO28" s="115"/>
      <c r="QP28" s="115"/>
      <c r="QQ28" s="115"/>
      <c r="QR28" s="115"/>
      <c r="QS28" s="115"/>
      <c r="QT28" s="115"/>
      <c r="QU28" s="115"/>
      <c r="QV28" s="115"/>
      <c r="QW28" s="115"/>
      <c r="QX28" s="115"/>
      <c r="QY28" s="115"/>
      <c r="QZ28" s="115"/>
      <c r="RA28" s="115"/>
      <c r="RB28" s="115"/>
      <c r="RC28" s="115"/>
      <c r="RD28" s="115"/>
      <c r="RE28" s="115"/>
      <c r="RF28" s="115"/>
      <c r="RG28" s="115"/>
      <c r="RH28" s="115"/>
      <c r="RI28" s="115"/>
      <c r="RJ28" s="115"/>
      <c r="RK28" s="115"/>
      <c r="RL28" s="115"/>
      <c r="RM28" s="115"/>
      <c r="RN28" s="115"/>
      <c r="RO28" s="115"/>
      <c r="RP28" s="115"/>
      <c r="RQ28" s="115"/>
      <c r="RR28" s="115"/>
      <c r="RS28" s="115"/>
      <c r="RT28" s="115"/>
      <c r="RU28" s="115"/>
      <c r="RV28" s="115"/>
      <c r="RW28" s="115"/>
      <c r="RX28" s="115"/>
      <c r="RY28" s="115"/>
      <c r="RZ28" s="115"/>
      <c r="SA28" s="115"/>
      <c r="SB28" s="115"/>
      <c r="SC28" s="115"/>
      <c r="SD28" s="115"/>
      <c r="SE28" s="115"/>
      <c r="SF28" s="115"/>
      <c r="SG28" s="115"/>
      <c r="SH28" s="115"/>
      <c r="SI28" s="115"/>
      <c r="SJ28" s="115"/>
      <c r="SK28" s="115"/>
      <c r="SL28" s="115"/>
      <c r="SM28" s="115"/>
      <c r="SN28" s="115"/>
      <c r="SO28" s="115"/>
      <c r="SP28" s="115"/>
      <c r="SQ28" s="115"/>
      <c r="SR28" s="115"/>
      <c r="SS28" s="115"/>
      <c r="ST28" s="115"/>
      <c r="SU28" s="115"/>
      <c r="SV28" s="115"/>
      <c r="SW28" s="115"/>
      <c r="SX28" s="115"/>
      <c r="SY28" s="115"/>
      <c r="SZ28" s="115"/>
      <c r="TA28" s="115"/>
      <c r="TB28" s="115"/>
      <c r="TC28" s="115"/>
      <c r="TD28" s="115"/>
      <c r="TE28" s="115"/>
      <c r="TF28" s="115"/>
      <c r="TG28" s="115"/>
      <c r="TH28" s="115"/>
      <c r="TI28" s="115"/>
      <c r="TJ28" s="115"/>
      <c r="TK28" s="115"/>
      <c r="TL28" s="115"/>
      <c r="TM28" s="115"/>
      <c r="TN28" s="115"/>
      <c r="TO28" s="115"/>
      <c r="TP28" s="115"/>
      <c r="TQ28" s="115"/>
      <c r="TR28" s="115"/>
      <c r="TS28" s="115"/>
      <c r="TT28" s="115"/>
      <c r="TU28" s="115"/>
      <c r="TV28" s="115"/>
      <c r="TW28" s="115"/>
      <c r="TX28" s="115"/>
      <c r="TY28" s="115"/>
      <c r="TZ28" s="115"/>
      <c r="UA28" s="115"/>
      <c r="UB28" s="115"/>
      <c r="UC28" s="115"/>
      <c r="UD28" s="115"/>
      <c r="UE28" s="115"/>
      <c r="UF28" s="115"/>
      <c r="UG28" s="115"/>
      <c r="UH28" s="115"/>
      <c r="UI28" s="115"/>
      <c r="UJ28" s="115"/>
      <c r="UK28" s="115"/>
      <c r="UL28" s="115"/>
      <c r="UM28" s="115"/>
      <c r="UN28" s="115"/>
      <c r="UO28" s="115"/>
      <c r="UP28" s="115"/>
      <c r="UQ28" s="115"/>
      <c r="UR28" s="115"/>
      <c r="US28" s="115"/>
      <c r="UT28" s="115"/>
      <c r="UU28" s="115"/>
      <c r="UV28" s="115"/>
      <c r="UW28" s="115"/>
      <c r="UX28" s="115"/>
      <c r="UY28" s="115"/>
      <c r="UZ28" s="115"/>
      <c r="VA28" s="115"/>
      <c r="VB28" s="115"/>
      <c r="VC28" s="115"/>
      <c r="VD28" s="115"/>
      <c r="VE28" s="115"/>
      <c r="VF28" s="115"/>
      <c r="VG28" s="115"/>
      <c r="VH28" s="115"/>
      <c r="VI28" s="115"/>
      <c r="VJ28" s="115"/>
      <c r="VK28" s="115"/>
      <c r="VL28" s="115"/>
      <c r="VM28" s="115"/>
      <c r="VN28" s="115"/>
      <c r="VO28" s="115"/>
      <c r="VP28" s="115"/>
      <c r="VQ28" s="115"/>
      <c r="VR28" s="115"/>
      <c r="VS28" s="115"/>
      <c r="VT28" s="115"/>
      <c r="VU28" s="115"/>
      <c r="VV28" s="115"/>
      <c r="VW28" s="115"/>
      <c r="VX28" s="115"/>
      <c r="VY28" s="115"/>
      <c r="VZ28" s="115"/>
      <c r="WA28" s="115"/>
      <c r="WB28" s="115"/>
      <c r="WC28" s="115"/>
      <c r="WD28" s="115"/>
      <c r="WE28" s="115"/>
      <c r="WF28" s="115"/>
      <c r="WG28" s="115"/>
      <c r="WH28" s="115"/>
      <c r="WI28" s="115"/>
      <c r="WJ28" s="115"/>
      <c r="WK28" s="115"/>
      <c r="WL28" s="115"/>
      <c r="WM28" s="115"/>
      <c r="WN28" s="115"/>
      <c r="WO28" s="115"/>
      <c r="WP28" s="115"/>
      <c r="WQ28" s="115"/>
      <c r="WR28" s="115"/>
      <c r="WS28" s="115"/>
      <c r="WT28" s="115"/>
      <c r="WU28" s="115"/>
      <c r="WV28" s="115"/>
      <c r="WW28" s="115"/>
      <c r="WX28" s="115"/>
      <c r="WY28" s="115"/>
      <c r="WZ28" s="115"/>
      <c r="XA28" s="115"/>
      <c r="XB28" s="115"/>
      <c r="XC28" s="115"/>
      <c r="XD28" s="115"/>
      <c r="XE28" s="115"/>
      <c r="XF28" s="115"/>
      <c r="XG28" s="115"/>
      <c r="XH28" s="115"/>
      <c r="XI28" s="115"/>
      <c r="XJ28" s="115"/>
      <c r="XK28" s="115"/>
      <c r="XL28" s="115"/>
      <c r="XM28" s="115"/>
      <c r="XN28" s="115"/>
      <c r="XO28" s="115"/>
      <c r="XP28" s="115"/>
      <c r="XQ28" s="115"/>
      <c r="XR28" s="115"/>
      <c r="XS28" s="115"/>
      <c r="XT28" s="115"/>
      <c r="XU28" s="115"/>
      <c r="XV28" s="115"/>
      <c r="XW28" s="115"/>
      <c r="XX28" s="115"/>
      <c r="XY28" s="115"/>
      <c r="XZ28" s="115"/>
      <c r="YA28" s="115"/>
      <c r="YB28" s="115"/>
      <c r="YC28" s="115"/>
      <c r="YD28" s="115"/>
      <c r="YE28" s="115"/>
      <c r="YF28" s="115"/>
      <c r="YG28" s="115"/>
      <c r="YH28" s="115"/>
      <c r="YI28" s="115"/>
      <c r="YJ28" s="115"/>
      <c r="YK28" s="115"/>
      <c r="YL28" s="115"/>
      <c r="YM28" s="115"/>
      <c r="YN28" s="115"/>
      <c r="YO28" s="115"/>
      <c r="YP28" s="115"/>
      <c r="YQ28" s="115"/>
      <c r="YX28" s="22">
        <v>0</v>
      </c>
      <c r="YY28" s="22">
        <f>VLOOKUP(B28,'SCAFFOLDING MATERIAL OVERALL'!B30:S212,18,FALSE)</f>
        <v>3.5</v>
      </c>
      <c r="YZ28" s="22">
        <f t="shared" si="0"/>
        <v>0</v>
      </c>
    </row>
    <row r="29" spans="1:676" s="22" customFormat="1" x14ac:dyDescent="0.25">
      <c r="A29" s="14">
        <v>25</v>
      </c>
      <c r="B29" s="46">
        <v>3000001221</v>
      </c>
      <c r="C29" s="45" t="s">
        <v>302</v>
      </c>
      <c r="D29" s="44" t="s">
        <v>12</v>
      </c>
      <c r="OZ29" s="115"/>
      <c r="PA29" s="115"/>
      <c r="PB29" s="115"/>
      <c r="PC29" s="115"/>
      <c r="PD29" s="115"/>
      <c r="PE29" s="115"/>
      <c r="PF29" s="115"/>
      <c r="PG29" s="115"/>
      <c r="PH29" s="115"/>
      <c r="PI29" s="115"/>
      <c r="PJ29" s="115"/>
      <c r="PK29" s="115"/>
      <c r="PL29" s="115"/>
      <c r="PM29" s="115"/>
      <c r="PN29" s="115"/>
      <c r="PO29" s="115"/>
      <c r="PP29" s="115"/>
      <c r="PQ29" s="115"/>
      <c r="PR29" s="115"/>
      <c r="PS29" s="115"/>
      <c r="PT29" s="115"/>
      <c r="PU29" s="115"/>
      <c r="PV29" s="115"/>
      <c r="PW29" s="115"/>
      <c r="PX29" s="115"/>
      <c r="PY29" s="115"/>
      <c r="PZ29" s="115"/>
      <c r="QA29" s="115"/>
      <c r="QB29" s="115"/>
      <c r="QC29" s="115"/>
      <c r="QD29" s="115"/>
      <c r="QE29" s="115"/>
      <c r="QF29" s="115"/>
      <c r="QG29" s="115"/>
      <c r="QH29" s="115"/>
      <c r="QI29" s="115"/>
      <c r="QJ29" s="115"/>
      <c r="QK29" s="115"/>
      <c r="QL29" s="115"/>
      <c r="QM29" s="115"/>
      <c r="QN29" s="115"/>
      <c r="QO29" s="115"/>
      <c r="QP29" s="115"/>
      <c r="QQ29" s="115"/>
      <c r="QR29" s="115"/>
      <c r="QS29" s="115"/>
      <c r="QT29" s="115"/>
      <c r="QU29" s="115"/>
      <c r="QV29" s="115"/>
      <c r="QW29" s="115"/>
      <c r="QX29" s="115"/>
      <c r="QY29" s="115"/>
      <c r="QZ29" s="115"/>
      <c r="RA29" s="115"/>
      <c r="RB29" s="115"/>
      <c r="RC29" s="115"/>
      <c r="RD29" s="115"/>
      <c r="RE29" s="115"/>
      <c r="RF29" s="115"/>
      <c r="RG29" s="115"/>
      <c r="RH29" s="115"/>
      <c r="RI29" s="115"/>
      <c r="RJ29" s="115"/>
      <c r="RK29" s="115"/>
      <c r="RL29" s="115"/>
      <c r="RM29" s="115"/>
      <c r="RN29" s="115"/>
      <c r="RO29" s="115"/>
      <c r="RP29" s="115"/>
      <c r="RQ29" s="115"/>
      <c r="RR29" s="115"/>
      <c r="RS29" s="115"/>
      <c r="RT29" s="115"/>
      <c r="RU29" s="115"/>
      <c r="RV29" s="115"/>
      <c r="RW29" s="115"/>
      <c r="RX29" s="115"/>
      <c r="RY29" s="115"/>
      <c r="RZ29" s="115"/>
      <c r="SA29" s="115"/>
      <c r="SB29" s="115"/>
      <c r="SC29" s="115"/>
      <c r="SD29" s="115"/>
      <c r="SE29" s="115"/>
      <c r="SF29" s="115"/>
      <c r="SG29" s="115"/>
      <c r="SH29" s="115"/>
      <c r="SI29" s="115"/>
      <c r="SJ29" s="115"/>
      <c r="SK29" s="115"/>
      <c r="SL29" s="115"/>
      <c r="SM29" s="115"/>
      <c r="SN29" s="115"/>
      <c r="SO29" s="115"/>
      <c r="SP29" s="115"/>
      <c r="SQ29" s="115"/>
      <c r="SR29" s="115"/>
      <c r="SS29" s="115"/>
      <c r="ST29" s="115"/>
      <c r="SU29" s="115"/>
      <c r="SV29" s="115"/>
      <c r="SW29" s="115"/>
      <c r="SX29" s="115"/>
      <c r="SY29" s="115"/>
      <c r="SZ29" s="115"/>
      <c r="TA29" s="115"/>
      <c r="TB29" s="115"/>
      <c r="TC29" s="115"/>
      <c r="TD29" s="115"/>
      <c r="TE29" s="115"/>
      <c r="TF29" s="115"/>
      <c r="TG29" s="115"/>
      <c r="TH29" s="115"/>
      <c r="TI29" s="115"/>
      <c r="TJ29" s="115"/>
      <c r="TK29" s="115"/>
      <c r="TL29" s="115"/>
      <c r="TM29" s="115"/>
      <c r="TN29" s="115"/>
      <c r="TO29" s="115"/>
      <c r="TP29" s="115"/>
      <c r="TQ29" s="115"/>
      <c r="TR29" s="115"/>
      <c r="TS29" s="115"/>
      <c r="TT29" s="115"/>
      <c r="TU29" s="115"/>
      <c r="TV29" s="115"/>
      <c r="TW29" s="115"/>
      <c r="TX29" s="115"/>
      <c r="TY29" s="115"/>
      <c r="TZ29" s="115"/>
      <c r="UA29" s="115"/>
      <c r="UB29" s="115"/>
      <c r="UC29" s="115"/>
      <c r="UD29" s="115"/>
      <c r="UE29" s="115"/>
      <c r="UF29" s="115"/>
      <c r="UG29" s="115"/>
      <c r="UH29" s="115"/>
      <c r="UI29" s="115"/>
      <c r="UJ29" s="115"/>
      <c r="UK29" s="115"/>
      <c r="UL29" s="115"/>
      <c r="UM29" s="115"/>
      <c r="UN29" s="115"/>
      <c r="UO29" s="115"/>
      <c r="UP29" s="115"/>
      <c r="UQ29" s="115"/>
      <c r="UR29" s="115"/>
      <c r="US29" s="115"/>
      <c r="UT29" s="115"/>
      <c r="UU29" s="115"/>
      <c r="UV29" s="115"/>
      <c r="UW29" s="115"/>
      <c r="UX29" s="115"/>
      <c r="UY29" s="115"/>
      <c r="UZ29" s="115"/>
      <c r="VA29" s="115"/>
      <c r="VB29" s="115"/>
      <c r="VC29" s="115"/>
      <c r="VD29" s="115"/>
      <c r="VE29" s="115"/>
      <c r="VF29" s="115"/>
      <c r="VG29" s="115"/>
      <c r="VH29" s="115"/>
      <c r="VI29" s="115"/>
      <c r="VJ29" s="115"/>
      <c r="VK29" s="115"/>
      <c r="VL29" s="115"/>
      <c r="VM29" s="115"/>
      <c r="VN29" s="115"/>
      <c r="VO29" s="115"/>
      <c r="VP29" s="115"/>
      <c r="VQ29" s="115"/>
      <c r="VR29" s="115"/>
      <c r="VS29" s="115"/>
      <c r="VT29" s="115"/>
      <c r="VU29" s="115"/>
      <c r="VV29" s="115"/>
      <c r="VW29" s="115"/>
      <c r="VX29" s="115"/>
      <c r="VY29" s="115"/>
      <c r="VZ29" s="115"/>
      <c r="WA29" s="115"/>
      <c r="WB29" s="115"/>
      <c r="WC29" s="115"/>
      <c r="WD29" s="115"/>
      <c r="WE29" s="115"/>
      <c r="WF29" s="115"/>
      <c r="WG29" s="115"/>
      <c r="WH29" s="115"/>
      <c r="WI29" s="115"/>
      <c r="WJ29" s="115"/>
      <c r="WK29" s="115"/>
      <c r="WL29" s="115"/>
      <c r="WM29" s="115"/>
      <c r="WN29" s="115"/>
      <c r="WO29" s="115"/>
      <c r="WP29" s="115"/>
      <c r="WQ29" s="115"/>
      <c r="WR29" s="115"/>
      <c r="WS29" s="115"/>
      <c r="WT29" s="115"/>
      <c r="WU29" s="115"/>
      <c r="WV29" s="115"/>
      <c r="WW29" s="115"/>
      <c r="WX29" s="115"/>
      <c r="WY29" s="115"/>
      <c r="WZ29" s="115"/>
      <c r="XA29" s="115"/>
      <c r="XB29" s="115"/>
      <c r="XC29" s="115"/>
      <c r="XD29" s="115"/>
      <c r="XE29" s="115"/>
      <c r="XF29" s="115"/>
      <c r="XG29" s="115"/>
      <c r="XH29" s="115"/>
      <c r="XI29" s="115"/>
      <c r="XJ29" s="115"/>
      <c r="XK29" s="115"/>
      <c r="XL29" s="115"/>
      <c r="XM29" s="115"/>
      <c r="XN29" s="115"/>
      <c r="XO29" s="115"/>
      <c r="XP29" s="115"/>
      <c r="XQ29" s="115"/>
      <c r="XR29" s="115"/>
      <c r="XS29" s="115"/>
      <c r="XT29" s="115"/>
      <c r="XU29" s="115"/>
      <c r="XV29" s="115"/>
      <c r="XW29" s="115"/>
      <c r="XX29" s="115"/>
      <c r="XY29" s="115"/>
      <c r="XZ29" s="115"/>
      <c r="YA29" s="115"/>
      <c r="YB29" s="115"/>
      <c r="YC29" s="115"/>
      <c r="YD29" s="115"/>
      <c r="YE29" s="115"/>
      <c r="YF29" s="115"/>
      <c r="YG29" s="115"/>
      <c r="YH29" s="115"/>
      <c r="YI29" s="115"/>
      <c r="YJ29" s="115"/>
      <c r="YK29" s="115"/>
      <c r="YL29" s="115"/>
      <c r="YM29" s="115"/>
      <c r="YN29" s="115"/>
      <c r="YO29" s="115"/>
      <c r="YP29" s="115"/>
      <c r="YQ29" s="115"/>
      <c r="YX29" s="22">
        <v>0</v>
      </c>
      <c r="YY29" s="22">
        <f>VLOOKUP(B29,'SCAFFOLDING MATERIAL OVERALL'!B31:S213,18,FALSE)</f>
        <v>7.04</v>
      </c>
      <c r="YZ29" s="22">
        <f t="shared" si="0"/>
        <v>0</v>
      </c>
    </row>
    <row r="30" spans="1:676" s="22" customFormat="1" x14ac:dyDescent="0.25">
      <c r="A30" s="17">
        <v>26</v>
      </c>
      <c r="B30" s="46">
        <v>3000001223</v>
      </c>
      <c r="C30" s="45" t="s">
        <v>304</v>
      </c>
      <c r="D30" s="44" t="s">
        <v>12</v>
      </c>
      <c r="OZ30" s="115"/>
      <c r="PA30" s="115"/>
      <c r="PB30" s="115"/>
      <c r="PC30" s="115"/>
      <c r="PD30" s="115"/>
      <c r="PE30" s="115"/>
      <c r="PF30" s="115"/>
      <c r="PG30" s="115"/>
      <c r="PH30" s="115"/>
      <c r="PI30" s="115"/>
      <c r="PJ30" s="115"/>
      <c r="PK30" s="115"/>
      <c r="PL30" s="115"/>
      <c r="PM30" s="115"/>
      <c r="PN30" s="115"/>
      <c r="PO30" s="115"/>
      <c r="PP30" s="115"/>
      <c r="PQ30" s="115"/>
      <c r="PR30" s="115"/>
      <c r="PS30" s="115"/>
      <c r="PT30" s="115"/>
      <c r="PU30" s="115"/>
      <c r="PV30" s="115"/>
      <c r="PW30" s="115"/>
      <c r="PX30" s="115"/>
      <c r="PY30" s="115"/>
      <c r="PZ30" s="115"/>
      <c r="QA30" s="115"/>
      <c r="QB30" s="115"/>
      <c r="QC30" s="115"/>
      <c r="QD30" s="115"/>
      <c r="QE30" s="115"/>
      <c r="QF30" s="115"/>
      <c r="QG30" s="115"/>
      <c r="QH30" s="115"/>
      <c r="QI30" s="115"/>
      <c r="QJ30" s="115"/>
      <c r="QK30" s="115"/>
      <c r="QL30" s="115"/>
      <c r="QM30" s="115"/>
      <c r="QN30" s="115"/>
      <c r="QO30" s="115"/>
      <c r="QP30" s="115"/>
      <c r="QQ30" s="115"/>
      <c r="QR30" s="115"/>
      <c r="QS30" s="115"/>
      <c r="QT30" s="115"/>
      <c r="QU30" s="115"/>
      <c r="QV30" s="115"/>
      <c r="QW30" s="115"/>
      <c r="QX30" s="115"/>
      <c r="QY30" s="115"/>
      <c r="QZ30" s="115"/>
      <c r="RA30" s="115"/>
      <c r="RB30" s="115"/>
      <c r="RC30" s="115"/>
      <c r="RD30" s="115"/>
      <c r="RE30" s="115"/>
      <c r="RF30" s="115"/>
      <c r="RG30" s="115"/>
      <c r="RH30" s="115"/>
      <c r="RI30" s="115"/>
      <c r="RJ30" s="115"/>
      <c r="RK30" s="115"/>
      <c r="RL30" s="115"/>
      <c r="RM30" s="115"/>
      <c r="RN30" s="115"/>
      <c r="RO30" s="115"/>
      <c r="RP30" s="115"/>
      <c r="RQ30" s="115"/>
      <c r="RR30" s="115"/>
      <c r="RS30" s="115"/>
      <c r="RT30" s="115"/>
      <c r="RU30" s="115"/>
      <c r="RV30" s="115"/>
      <c r="RW30" s="115"/>
      <c r="RX30" s="115"/>
      <c r="RY30" s="115"/>
      <c r="RZ30" s="115"/>
      <c r="SA30" s="115"/>
      <c r="SB30" s="115"/>
      <c r="SC30" s="115"/>
      <c r="SD30" s="115"/>
      <c r="SE30" s="115"/>
      <c r="SF30" s="115"/>
      <c r="SG30" s="115"/>
      <c r="SH30" s="115"/>
      <c r="SI30" s="115"/>
      <c r="SJ30" s="115"/>
      <c r="SK30" s="115"/>
      <c r="SL30" s="115"/>
      <c r="SM30" s="115"/>
      <c r="SN30" s="115"/>
      <c r="SO30" s="115"/>
      <c r="SP30" s="115"/>
      <c r="SQ30" s="115"/>
      <c r="SR30" s="115"/>
      <c r="SS30" s="115"/>
      <c r="ST30" s="115"/>
      <c r="SU30" s="115"/>
      <c r="SV30" s="115"/>
      <c r="SW30" s="115"/>
      <c r="SX30" s="115"/>
      <c r="SY30" s="115"/>
      <c r="SZ30" s="115"/>
      <c r="TA30" s="115"/>
      <c r="TB30" s="115"/>
      <c r="TC30" s="115"/>
      <c r="TD30" s="115"/>
      <c r="TE30" s="115"/>
      <c r="TF30" s="115"/>
      <c r="TG30" s="115"/>
      <c r="TH30" s="115"/>
      <c r="TI30" s="115"/>
      <c r="TJ30" s="115"/>
      <c r="TK30" s="115"/>
      <c r="TL30" s="115"/>
      <c r="TM30" s="115"/>
      <c r="TN30" s="115"/>
      <c r="TO30" s="115"/>
      <c r="TP30" s="115"/>
      <c r="TQ30" s="115"/>
      <c r="TR30" s="115"/>
      <c r="TS30" s="115"/>
      <c r="TT30" s="115"/>
      <c r="TU30" s="115"/>
      <c r="TV30" s="115"/>
      <c r="TW30" s="115"/>
      <c r="TX30" s="115"/>
      <c r="TY30" s="115"/>
      <c r="TZ30" s="115"/>
      <c r="UA30" s="115"/>
      <c r="UB30" s="115"/>
      <c r="UC30" s="115"/>
      <c r="UD30" s="115"/>
      <c r="UE30" s="115"/>
      <c r="UF30" s="115"/>
      <c r="UG30" s="115"/>
      <c r="UH30" s="115"/>
      <c r="UI30" s="115"/>
      <c r="UJ30" s="115"/>
      <c r="UK30" s="115"/>
      <c r="UL30" s="115"/>
      <c r="UM30" s="115"/>
      <c r="UN30" s="115"/>
      <c r="UO30" s="115"/>
      <c r="UP30" s="115"/>
      <c r="UQ30" s="115"/>
      <c r="UR30" s="115"/>
      <c r="US30" s="115"/>
      <c r="UT30" s="115"/>
      <c r="UU30" s="115"/>
      <c r="UV30" s="115"/>
      <c r="UW30" s="115"/>
      <c r="UX30" s="115"/>
      <c r="UY30" s="115"/>
      <c r="UZ30" s="115"/>
      <c r="VA30" s="115"/>
      <c r="VB30" s="115"/>
      <c r="VC30" s="115"/>
      <c r="VD30" s="115"/>
      <c r="VE30" s="115"/>
      <c r="VF30" s="115"/>
      <c r="VG30" s="115"/>
      <c r="VH30" s="115"/>
      <c r="VI30" s="115"/>
      <c r="VJ30" s="115"/>
      <c r="VK30" s="115"/>
      <c r="VL30" s="115"/>
      <c r="VM30" s="115"/>
      <c r="VN30" s="115"/>
      <c r="VO30" s="115"/>
      <c r="VP30" s="115"/>
      <c r="VQ30" s="115"/>
      <c r="VR30" s="115"/>
      <c r="VS30" s="115"/>
      <c r="VT30" s="115"/>
      <c r="VU30" s="115"/>
      <c r="VV30" s="115"/>
      <c r="VW30" s="115"/>
      <c r="VX30" s="115"/>
      <c r="VY30" s="115"/>
      <c r="VZ30" s="115"/>
      <c r="WA30" s="115"/>
      <c r="WB30" s="115"/>
      <c r="WC30" s="115"/>
      <c r="WD30" s="115"/>
      <c r="WE30" s="115"/>
      <c r="WF30" s="115"/>
      <c r="WG30" s="115"/>
      <c r="WH30" s="115"/>
      <c r="WI30" s="115"/>
      <c r="WJ30" s="115"/>
      <c r="WK30" s="115"/>
      <c r="WL30" s="115"/>
      <c r="WM30" s="115"/>
      <c r="WN30" s="115"/>
      <c r="WO30" s="115"/>
      <c r="WP30" s="115"/>
      <c r="WQ30" s="115"/>
      <c r="WR30" s="115"/>
      <c r="WS30" s="115"/>
      <c r="WT30" s="115"/>
      <c r="WU30" s="115"/>
      <c r="WV30" s="115"/>
      <c r="WW30" s="115"/>
      <c r="WX30" s="115"/>
      <c r="WY30" s="115"/>
      <c r="WZ30" s="115"/>
      <c r="XA30" s="115"/>
      <c r="XB30" s="115"/>
      <c r="XC30" s="115"/>
      <c r="XD30" s="115"/>
      <c r="XE30" s="115"/>
      <c r="XF30" s="115"/>
      <c r="XG30" s="115"/>
      <c r="XH30" s="115"/>
      <c r="XI30" s="115"/>
      <c r="XJ30" s="115"/>
      <c r="XK30" s="115"/>
      <c r="XL30" s="115"/>
      <c r="XM30" s="115"/>
      <c r="XN30" s="115"/>
      <c r="XO30" s="115"/>
      <c r="XP30" s="115"/>
      <c r="XQ30" s="115"/>
      <c r="XR30" s="115"/>
      <c r="XS30" s="115"/>
      <c r="XT30" s="115"/>
      <c r="XU30" s="115"/>
      <c r="XV30" s="115"/>
      <c r="XW30" s="115"/>
      <c r="XX30" s="115"/>
      <c r="XY30" s="115"/>
      <c r="XZ30" s="115"/>
      <c r="YA30" s="115"/>
      <c r="YB30" s="115"/>
      <c r="YC30" s="115"/>
      <c r="YD30" s="115"/>
      <c r="YE30" s="115"/>
      <c r="YF30" s="115"/>
      <c r="YG30" s="115"/>
      <c r="YH30" s="115"/>
      <c r="YI30" s="115"/>
      <c r="YJ30" s="115"/>
      <c r="YK30" s="115"/>
      <c r="YL30" s="115"/>
      <c r="YM30" s="115"/>
      <c r="YN30" s="115"/>
      <c r="YO30" s="115"/>
      <c r="YP30" s="115"/>
      <c r="YQ30" s="115"/>
      <c r="YX30" s="22">
        <v>0</v>
      </c>
      <c r="YY30" s="22">
        <f>VLOOKUP(B30,'SCAFFOLDING MATERIAL OVERALL'!B32:S214,18,FALSE)</f>
        <v>14.08</v>
      </c>
      <c r="YZ30" s="22">
        <f t="shared" si="0"/>
        <v>0</v>
      </c>
    </row>
    <row r="31" spans="1:676" s="22" customFormat="1" x14ac:dyDescent="0.25">
      <c r="A31" s="14">
        <v>27</v>
      </c>
      <c r="B31" s="46">
        <v>3000008524</v>
      </c>
      <c r="C31" s="45" t="s">
        <v>39</v>
      </c>
      <c r="D31" s="44" t="s">
        <v>12</v>
      </c>
      <c r="OZ31" s="115"/>
      <c r="PA31" s="115"/>
      <c r="PB31" s="115"/>
      <c r="PC31" s="115"/>
      <c r="PD31" s="115"/>
      <c r="PE31" s="115"/>
      <c r="PF31" s="115"/>
      <c r="PG31" s="115"/>
      <c r="PH31" s="115"/>
      <c r="PI31" s="115"/>
      <c r="PJ31" s="115"/>
      <c r="PK31" s="115"/>
      <c r="PL31" s="115"/>
      <c r="PM31" s="115"/>
      <c r="PN31" s="115"/>
      <c r="PO31" s="115"/>
      <c r="PP31" s="115"/>
      <c r="PQ31" s="115"/>
      <c r="PR31" s="115"/>
      <c r="PS31" s="115"/>
      <c r="PT31" s="115"/>
      <c r="PU31" s="115"/>
      <c r="PV31" s="115"/>
      <c r="PW31" s="115"/>
      <c r="PX31" s="115"/>
      <c r="PY31" s="115"/>
      <c r="PZ31" s="115"/>
      <c r="QA31" s="115"/>
      <c r="QB31" s="115"/>
      <c r="QC31" s="115"/>
      <c r="QD31" s="115"/>
      <c r="QE31" s="115"/>
      <c r="QF31" s="115"/>
      <c r="QG31" s="115"/>
      <c r="QH31" s="115"/>
      <c r="QI31" s="115"/>
      <c r="QJ31" s="115"/>
      <c r="QK31" s="115"/>
      <c r="QL31" s="115"/>
      <c r="QM31" s="115"/>
      <c r="QN31" s="115"/>
      <c r="QO31" s="115"/>
      <c r="QP31" s="115"/>
      <c r="QQ31" s="115"/>
      <c r="QR31" s="115"/>
      <c r="QS31" s="115"/>
      <c r="QT31" s="115"/>
      <c r="QU31" s="115"/>
      <c r="QV31" s="115"/>
      <c r="QW31" s="115"/>
      <c r="QX31" s="115"/>
      <c r="QY31" s="115"/>
      <c r="QZ31" s="115"/>
      <c r="RA31" s="115"/>
      <c r="RB31" s="115"/>
      <c r="RC31" s="115"/>
      <c r="RD31" s="115"/>
      <c r="RE31" s="115"/>
      <c r="RF31" s="115"/>
      <c r="RG31" s="115"/>
      <c r="RH31" s="115"/>
      <c r="RI31" s="115"/>
      <c r="RJ31" s="115"/>
      <c r="RK31" s="115"/>
      <c r="RL31" s="115"/>
      <c r="RM31" s="115"/>
      <c r="RN31" s="115"/>
      <c r="RO31" s="115"/>
      <c r="RP31" s="115"/>
      <c r="RQ31" s="115"/>
      <c r="RR31" s="115"/>
      <c r="RS31" s="115"/>
      <c r="RT31" s="115"/>
      <c r="RU31" s="115"/>
      <c r="RV31" s="115"/>
      <c r="RW31" s="115"/>
      <c r="RX31" s="115"/>
      <c r="RY31" s="115"/>
      <c r="RZ31" s="115"/>
      <c r="SA31" s="115"/>
      <c r="SB31" s="115"/>
      <c r="SC31" s="115"/>
      <c r="SD31" s="115"/>
      <c r="SE31" s="115"/>
      <c r="SF31" s="115"/>
      <c r="SG31" s="115"/>
      <c r="SH31" s="115"/>
      <c r="SI31" s="115"/>
      <c r="SJ31" s="115"/>
      <c r="SK31" s="115"/>
      <c r="SL31" s="115"/>
      <c r="SM31" s="115"/>
      <c r="SN31" s="115"/>
      <c r="SO31" s="115"/>
      <c r="SP31" s="115"/>
      <c r="SQ31" s="115"/>
      <c r="SR31" s="115"/>
      <c r="SS31" s="115"/>
      <c r="ST31" s="115"/>
      <c r="SU31" s="115"/>
      <c r="SV31" s="115"/>
      <c r="SW31" s="115"/>
      <c r="SX31" s="115"/>
      <c r="SY31" s="115"/>
      <c r="SZ31" s="115"/>
      <c r="TA31" s="115"/>
      <c r="TB31" s="115"/>
      <c r="TC31" s="115"/>
      <c r="TD31" s="115"/>
      <c r="TE31" s="115"/>
      <c r="TF31" s="115"/>
      <c r="TG31" s="115"/>
      <c r="TH31" s="115"/>
      <c r="TI31" s="115"/>
      <c r="TJ31" s="115"/>
      <c r="TK31" s="115"/>
      <c r="TL31" s="115"/>
      <c r="TM31" s="115"/>
      <c r="TN31" s="115"/>
      <c r="TO31" s="115"/>
      <c r="TP31" s="115"/>
      <c r="TQ31" s="115"/>
      <c r="TR31" s="115"/>
      <c r="TS31" s="115"/>
      <c r="TT31" s="115"/>
      <c r="TU31" s="115"/>
      <c r="TV31" s="115"/>
      <c r="TW31" s="115"/>
      <c r="TX31" s="115"/>
      <c r="TY31" s="115"/>
      <c r="TZ31" s="115"/>
      <c r="UA31" s="115"/>
      <c r="UB31" s="115"/>
      <c r="UC31" s="115"/>
      <c r="UD31" s="115"/>
      <c r="UE31" s="115"/>
      <c r="UF31" s="115"/>
      <c r="UG31" s="115"/>
      <c r="UH31" s="115"/>
      <c r="UI31" s="115"/>
      <c r="UJ31" s="115"/>
      <c r="UK31" s="115"/>
      <c r="UL31" s="115"/>
      <c r="UM31" s="115"/>
      <c r="UN31" s="115"/>
      <c r="UO31" s="115"/>
      <c r="UP31" s="115"/>
      <c r="UQ31" s="115"/>
      <c r="UR31" s="115"/>
      <c r="US31" s="115"/>
      <c r="UT31" s="115"/>
      <c r="UU31" s="115"/>
      <c r="UV31" s="115"/>
      <c r="UW31" s="115"/>
      <c r="UX31" s="115"/>
      <c r="UY31" s="115"/>
      <c r="UZ31" s="115"/>
      <c r="VA31" s="115"/>
      <c r="VB31" s="115"/>
      <c r="VC31" s="115"/>
      <c r="VD31" s="115"/>
      <c r="VE31" s="115"/>
      <c r="VF31" s="115"/>
      <c r="VG31" s="115"/>
      <c r="VH31" s="115"/>
      <c r="VI31" s="115"/>
      <c r="VJ31" s="115"/>
      <c r="VK31" s="115"/>
      <c r="VL31" s="115"/>
      <c r="VM31" s="115"/>
      <c r="VN31" s="115"/>
      <c r="VO31" s="115"/>
      <c r="VP31" s="115"/>
      <c r="VQ31" s="115"/>
      <c r="VR31" s="115"/>
      <c r="VS31" s="115"/>
      <c r="VT31" s="115"/>
      <c r="VU31" s="115"/>
      <c r="VV31" s="115"/>
      <c r="VW31" s="115"/>
      <c r="VX31" s="115"/>
      <c r="VY31" s="115"/>
      <c r="VZ31" s="115"/>
      <c r="WA31" s="115"/>
      <c r="WB31" s="115"/>
      <c r="WC31" s="115"/>
      <c r="WD31" s="115"/>
      <c r="WE31" s="115"/>
      <c r="WF31" s="115"/>
      <c r="WG31" s="115"/>
      <c r="WH31" s="115"/>
      <c r="WI31" s="115"/>
      <c r="WJ31" s="115"/>
      <c r="WK31" s="115"/>
      <c r="WL31" s="115"/>
      <c r="WM31" s="115"/>
      <c r="WN31" s="115"/>
      <c r="WO31" s="115"/>
      <c r="WP31" s="115"/>
      <c r="WQ31" s="115"/>
      <c r="WR31" s="115"/>
      <c r="WS31" s="115"/>
      <c r="WT31" s="115"/>
      <c r="WU31" s="115"/>
      <c r="WV31" s="115"/>
      <c r="WW31" s="115"/>
      <c r="WX31" s="115"/>
      <c r="WY31" s="115"/>
      <c r="WZ31" s="115"/>
      <c r="XA31" s="115"/>
      <c r="XB31" s="115"/>
      <c r="XC31" s="115"/>
      <c r="XD31" s="115"/>
      <c r="XE31" s="115"/>
      <c r="XF31" s="115"/>
      <c r="XG31" s="115"/>
      <c r="XH31" s="115"/>
      <c r="XI31" s="115"/>
      <c r="XJ31" s="115"/>
      <c r="XK31" s="115"/>
      <c r="XL31" s="115"/>
      <c r="XM31" s="115"/>
      <c r="XN31" s="115"/>
      <c r="XO31" s="115"/>
      <c r="XP31" s="115"/>
      <c r="XQ31" s="115"/>
      <c r="XR31" s="115"/>
      <c r="XS31" s="115"/>
      <c r="XT31" s="115"/>
      <c r="XU31" s="115"/>
      <c r="XV31" s="115"/>
      <c r="XW31" s="115"/>
      <c r="XX31" s="115"/>
      <c r="XY31" s="115"/>
      <c r="XZ31" s="115"/>
      <c r="YA31" s="115"/>
      <c r="YB31" s="115"/>
      <c r="YC31" s="115"/>
      <c r="YD31" s="115"/>
      <c r="YE31" s="115"/>
      <c r="YF31" s="115"/>
      <c r="YG31" s="115"/>
      <c r="YH31" s="115"/>
      <c r="YI31" s="115"/>
      <c r="YJ31" s="115"/>
      <c r="YK31" s="115"/>
      <c r="YL31" s="115"/>
      <c r="YM31" s="115"/>
      <c r="YN31" s="115"/>
      <c r="YO31" s="115"/>
      <c r="YP31" s="115"/>
      <c r="YQ31" s="115"/>
      <c r="YX31" s="22">
        <v>0</v>
      </c>
      <c r="YY31" s="22">
        <f>VLOOKUP(B31,'SCAFFOLDING MATERIAL OVERALL'!B33:S215,18,FALSE)</f>
        <v>0.32</v>
      </c>
      <c r="YZ31" s="22">
        <f t="shared" si="0"/>
        <v>0</v>
      </c>
    </row>
    <row r="32" spans="1:676" s="22" customFormat="1" x14ac:dyDescent="0.25">
      <c r="A32" s="14">
        <v>28</v>
      </c>
      <c r="B32" s="46">
        <v>3000000628</v>
      </c>
      <c r="C32" s="45" t="s">
        <v>40</v>
      </c>
      <c r="D32" s="44" t="s">
        <v>12</v>
      </c>
      <c r="FU32" s="22">
        <v>8</v>
      </c>
      <c r="NV32" s="22">
        <v>28</v>
      </c>
      <c r="OJ32" s="22">
        <v>20</v>
      </c>
      <c r="OV32" s="22">
        <v>40</v>
      </c>
      <c r="OW32" s="22">
        <v>12</v>
      </c>
      <c r="OZ32" s="115"/>
      <c r="PA32" s="115"/>
      <c r="PB32" s="115"/>
      <c r="PC32" s="115"/>
      <c r="PD32" s="115"/>
      <c r="PE32" s="115"/>
      <c r="PF32" s="115"/>
      <c r="PG32" s="115">
        <v>8</v>
      </c>
      <c r="PH32" s="115"/>
      <c r="PI32" s="115"/>
      <c r="PJ32" s="115"/>
      <c r="PK32" s="115"/>
      <c r="PL32" s="115"/>
      <c r="PM32" s="115"/>
      <c r="PN32" s="115"/>
      <c r="PO32" s="115"/>
      <c r="PP32" s="115"/>
      <c r="PQ32" s="115"/>
      <c r="PR32" s="115"/>
      <c r="PS32" s="115"/>
      <c r="PT32" s="115"/>
      <c r="PU32" s="115"/>
      <c r="PV32" s="115"/>
      <c r="PW32" s="115"/>
      <c r="PX32" s="115"/>
      <c r="PY32" s="115"/>
      <c r="PZ32" s="115"/>
      <c r="QA32" s="115"/>
      <c r="QB32" s="115"/>
      <c r="QC32" s="115"/>
      <c r="QD32" s="115"/>
      <c r="QE32" s="115"/>
      <c r="QF32" s="115"/>
      <c r="QG32" s="115"/>
      <c r="QH32" s="115"/>
      <c r="QI32" s="115"/>
      <c r="QJ32" s="115"/>
      <c r="QK32" s="115"/>
      <c r="QL32" s="115"/>
      <c r="QM32" s="115"/>
      <c r="QN32" s="115"/>
      <c r="QO32" s="115"/>
      <c r="QP32" s="115"/>
      <c r="QQ32" s="115"/>
      <c r="QR32" s="115"/>
      <c r="QS32" s="115"/>
      <c r="QT32" s="115"/>
      <c r="QU32" s="115"/>
      <c r="QV32" s="115"/>
      <c r="QW32" s="115"/>
      <c r="QX32" s="115"/>
      <c r="QY32" s="115"/>
      <c r="QZ32" s="115"/>
      <c r="RA32" s="115"/>
      <c r="RB32" s="115"/>
      <c r="RC32" s="115"/>
      <c r="RD32" s="115"/>
      <c r="RE32" s="115"/>
      <c r="RF32" s="115"/>
      <c r="RG32" s="115"/>
      <c r="RH32" s="115"/>
      <c r="RI32" s="115"/>
      <c r="RJ32" s="115"/>
      <c r="RK32" s="115"/>
      <c r="RL32" s="115"/>
      <c r="RM32" s="115"/>
      <c r="RN32" s="115"/>
      <c r="RO32" s="115"/>
      <c r="RP32" s="115"/>
      <c r="RQ32" s="115"/>
      <c r="RR32" s="115"/>
      <c r="RS32" s="115"/>
      <c r="RT32" s="115"/>
      <c r="RU32" s="115"/>
      <c r="RV32" s="115"/>
      <c r="RW32" s="115"/>
      <c r="RX32" s="115"/>
      <c r="RY32" s="115"/>
      <c r="RZ32" s="115"/>
      <c r="SA32" s="115"/>
      <c r="SB32" s="115"/>
      <c r="SC32" s="115"/>
      <c r="SD32" s="115"/>
      <c r="SE32" s="115"/>
      <c r="SF32" s="115"/>
      <c r="SG32" s="115"/>
      <c r="SH32" s="115"/>
      <c r="SI32" s="115"/>
      <c r="SJ32" s="115"/>
      <c r="SK32" s="115"/>
      <c r="SL32" s="115"/>
      <c r="SM32" s="115"/>
      <c r="SN32" s="115"/>
      <c r="SO32" s="115"/>
      <c r="SP32" s="115"/>
      <c r="SQ32" s="115"/>
      <c r="SR32" s="115"/>
      <c r="SS32" s="115"/>
      <c r="ST32" s="115"/>
      <c r="SU32" s="115"/>
      <c r="SV32" s="115"/>
      <c r="SW32" s="115"/>
      <c r="SX32" s="115"/>
      <c r="SY32" s="115"/>
      <c r="SZ32" s="115"/>
      <c r="TA32" s="115"/>
      <c r="TB32" s="115"/>
      <c r="TC32" s="115"/>
      <c r="TD32" s="115"/>
      <c r="TE32" s="115"/>
      <c r="TF32" s="115"/>
      <c r="TG32" s="115"/>
      <c r="TH32" s="115"/>
      <c r="TI32" s="115"/>
      <c r="TJ32" s="115"/>
      <c r="TK32" s="115"/>
      <c r="TL32" s="115"/>
      <c r="TM32" s="115"/>
      <c r="TN32" s="115"/>
      <c r="TO32" s="115"/>
      <c r="TP32" s="115"/>
      <c r="TQ32" s="115"/>
      <c r="TR32" s="115"/>
      <c r="TS32" s="115"/>
      <c r="TT32" s="115"/>
      <c r="TU32" s="115"/>
      <c r="TV32" s="115"/>
      <c r="TW32" s="115"/>
      <c r="TX32" s="115"/>
      <c r="TY32" s="115"/>
      <c r="TZ32" s="115"/>
      <c r="UA32" s="115"/>
      <c r="UB32" s="115"/>
      <c r="UC32" s="115"/>
      <c r="UD32" s="115"/>
      <c r="UE32" s="115"/>
      <c r="UF32" s="115"/>
      <c r="UG32" s="115"/>
      <c r="UH32" s="115"/>
      <c r="UI32" s="115"/>
      <c r="UJ32" s="115"/>
      <c r="UK32" s="115"/>
      <c r="UL32" s="115"/>
      <c r="UM32" s="115"/>
      <c r="UN32" s="115"/>
      <c r="UO32" s="115"/>
      <c r="UP32" s="115"/>
      <c r="UQ32" s="115"/>
      <c r="UR32" s="115"/>
      <c r="US32" s="115"/>
      <c r="UT32" s="115"/>
      <c r="UU32" s="115"/>
      <c r="UV32" s="115"/>
      <c r="UW32" s="115"/>
      <c r="UX32" s="115"/>
      <c r="UY32" s="115"/>
      <c r="UZ32" s="115"/>
      <c r="VA32" s="115"/>
      <c r="VB32" s="115"/>
      <c r="VC32" s="115"/>
      <c r="VD32" s="115"/>
      <c r="VE32" s="115"/>
      <c r="VF32" s="115"/>
      <c r="VG32" s="115"/>
      <c r="VH32" s="115"/>
      <c r="VI32" s="115"/>
      <c r="VJ32" s="115"/>
      <c r="VK32" s="115"/>
      <c r="VL32" s="115"/>
      <c r="VM32" s="115"/>
      <c r="VN32" s="115"/>
      <c r="VO32" s="115"/>
      <c r="VP32" s="115"/>
      <c r="VQ32" s="115"/>
      <c r="VR32" s="115"/>
      <c r="VS32" s="115"/>
      <c r="VT32" s="115"/>
      <c r="VU32" s="115"/>
      <c r="VV32" s="115"/>
      <c r="VW32" s="115"/>
      <c r="VX32" s="115"/>
      <c r="VY32" s="115"/>
      <c r="VZ32" s="115"/>
      <c r="WA32" s="115"/>
      <c r="WB32" s="115"/>
      <c r="WC32" s="115"/>
      <c r="WD32" s="115"/>
      <c r="WE32" s="115"/>
      <c r="WF32" s="115"/>
      <c r="WG32" s="115"/>
      <c r="WH32" s="115"/>
      <c r="WI32" s="115"/>
      <c r="WJ32" s="115"/>
      <c r="WK32" s="115"/>
      <c r="WL32" s="115"/>
      <c r="WM32" s="115"/>
      <c r="WN32" s="115"/>
      <c r="WO32" s="115"/>
      <c r="WP32" s="115"/>
      <c r="WQ32" s="115"/>
      <c r="WR32" s="115"/>
      <c r="WS32" s="115"/>
      <c r="WT32" s="115"/>
      <c r="WU32" s="115"/>
      <c r="WV32" s="115"/>
      <c r="WW32" s="115"/>
      <c r="WX32" s="115"/>
      <c r="WY32" s="115"/>
      <c r="WZ32" s="115"/>
      <c r="XA32" s="115"/>
      <c r="XB32" s="115"/>
      <c r="XC32" s="115"/>
      <c r="XD32" s="115"/>
      <c r="XE32" s="115"/>
      <c r="XF32" s="115"/>
      <c r="XG32" s="115"/>
      <c r="XH32" s="115"/>
      <c r="XI32" s="115"/>
      <c r="XJ32" s="115"/>
      <c r="XK32" s="115"/>
      <c r="XL32" s="115"/>
      <c r="XM32" s="115"/>
      <c r="XN32" s="115"/>
      <c r="XO32" s="115"/>
      <c r="XP32" s="115"/>
      <c r="XQ32" s="115"/>
      <c r="XR32" s="115"/>
      <c r="XS32" s="115"/>
      <c r="XT32" s="115"/>
      <c r="XU32" s="115"/>
      <c r="XV32" s="115"/>
      <c r="XW32" s="115"/>
      <c r="XX32" s="115"/>
      <c r="XY32" s="115"/>
      <c r="XZ32" s="115"/>
      <c r="YA32" s="115"/>
      <c r="YB32" s="115"/>
      <c r="YC32" s="115"/>
      <c r="YD32" s="115"/>
      <c r="YE32" s="115"/>
      <c r="YF32" s="115"/>
      <c r="YG32" s="115"/>
      <c r="YH32" s="115"/>
      <c r="YI32" s="115"/>
      <c r="YJ32" s="115"/>
      <c r="YK32" s="115"/>
      <c r="YL32" s="115"/>
      <c r="YM32" s="115"/>
      <c r="YN32" s="115"/>
      <c r="YO32" s="115"/>
      <c r="YP32" s="115"/>
      <c r="YQ32" s="115"/>
      <c r="YX32" s="22">
        <v>116</v>
      </c>
      <c r="YY32" s="22">
        <f>VLOOKUP(B32,'SCAFFOLDING MATERIAL OVERALL'!B34:S216,18,FALSE)</f>
        <v>0</v>
      </c>
      <c r="YZ32" s="22">
        <f t="shared" si="0"/>
        <v>0</v>
      </c>
    </row>
    <row r="33" spans="1:676" s="22" customFormat="1" x14ac:dyDescent="0.25">
      <c r="A33" s="17">
        <v>29</v>
      </c>
      <c r="B33" s="46">
        <v>5000000013</v>
      </c>
      <c r="C33" s="45" t="s">
        <v>41</v>
      </c>
      <c r="D33" s="44" t="s">
        <v>12</v>
      </c>
      <c r="OZ33" s="115"/>
      <c r="PA33" s="115"/>
      <c r="PB33" s="115"/>
      <c r="PC33" s="115"/>
      <c r="PD33" s="115"/>
      <c r="PE33" s="115"/>
      <c r="PF33" s="115"/>
      <c r="PG33" s="115"/>
      <c r="PH33" s="115"/>
      <c r="PI33" s="115"/>
      <c r="PJ33" s="115"/>
      <c r="PK33" s="115"/>
      <c r="PL33" s="115"/>
      <c r="PM33" s="115"/>
      <c r="PN33" s="115"/>
      <c r="PO33" s="115"/>
      <c r="PP33" s="115"/>
      <c r="PQ33" s="115"/>
      <c r="PR33" s="115"/>
      <c r="PS33" s="115"/>
      <c r="PT33" s="115"/>
      <c r="PU33" s="115"/>
      <c r="PV33" s="115"/>
      <c r="PW33" s="115"/>
      <c r="PX33" s="115"/>
      <c r="PY33" s="115"/>
      <c r="PZ33" s="115"/>
      <c r="QA33" s="115"/>
      <c r="QB33" s="115"/>
      <c r="QC33" s="115"/>
      <c r="QD33" s="115"/>
      <c r="QE33" s="115"/>
      <c r="QF33" s="115"/>
      <c r="QG33" s="115"/>
      <c r="QH33" s="115"/>
      <c r="QI33" s="115"/>
      <c r="QJ33" s="115"/>
      <c r="QK33" s="115"/>
      <c r="QL33" s="115"/>
      <c r="QM33" s="115"/>
      <c r="QN33" s="115"/>
      <c r="QO33" s="115"/>
      <c r="QP33" s="115"/>
      <c r="QQ33" s="115"/>
      <c r="QR33" s="115"/>
      <c r="QS33" s="115"/>
      <c r="QT33" s="115"/>
      <c r="QU33" s="115"/>
      <c r="QV33" s="115"/>
      <c r="QW33" s="115"/>
      <c r="QX33" s="115"/>
      <c r="QY33" s="115"/>
      <c r="QZ33" s="115"/>
      <c r="RA33" s="115"/>
      <c r="RB33" s="115"/>
      <c r="RC33" s="115"/>
      <c r="RD33" s="115"/>
      <c r="RE33" s="115"/>
      <c r="RF33" s="115"/>
      <c r="RG33" s="115"/>
      <c r="RH33" s="115"/>
      <c r="RI33" s="115"/>
      <c r="RJ33" s="115"/>
      <c r="RK33" s="115"/>
      <c r="RL33" s="115"/>
      <c r="RM33" s="115"/>
      <c r="RN33" s="115"/>
      <c r="RO33" s="115"/>
      <c r="RP33" s="115"/>
      <c r="RQ33" s="115"/>
      <c r="RR33" s="115"/>
      <c r="RS33" s="115"/>
      <c r="RT33" s="115"/>
      <c r="RU33" s="115"/>
      <c r="RV33" s="115"/>
      <c r="RW33" s="115"/>
      <c r="RX33" s="115"/>
      <c r="RY33" s="115"/>
      <c r="RZ33" s="115"/>
      <c r="SA33" s="115"/>
      <c r="SB33" s="115"/>
      <c r="SC33" s="115"/>
      <c r="SD33" s="115"/>
      <c r="SE33" s="115"/>
      <c r="SF33" s="115"/>
      <c r="SG33" s="115"/>
      <c r="SH33" s="115"/>
      <c r="SI33" s="115"/>
      <c r="SJ33" s="115"/>
      <c r="SK33" s="115"/>
      <c r="SL33" s="115"/>
      <c r="SM33" s="115"/>
      <c r="SN33" s="115"/>
      <c r="SO33" s="115"/>
      <c r="SP33" s="115"/>
      <c r="SQ33" s="115"/>
      <c r="SR33" s="115"/>
      <c r="SS33" s="115"/>
      <c r="ST33" s="115"/>
      <c r="SU33" s="115"/>
      <c r="SV33" s="115"/>
      <c r="SW33" s="115"/>
      <c r="SX33" s="115"/>
      <c r="SY33" s="115"/>
      <c r="SZ33" s="115"/>
      <c r="TA33" s="115"/>
      <c r="TB33" s="115"/>
      <c r="TC33" s="115"/>
      <c r="TD33" s="115"/>
      <c r="TE33" s="115"/>
      <c r="TF33" s="115"/>
      <c r="TG33" s="115"/>
      <c r="TH33" s="115"/>
      <c r="TI33" s="115"/>
      <c r="TJ33" s="115"/>
      <c r="TK33" s="115"/>
      <c r="TL33" s="115"/>
      <c r="TM33" s="115"/>
      <c r="TN33" s="115"/>
      <c r="TO33" s="115"/>
      <c r="TP33" s="115"/>
      <c r="TQ33" s="115"/>
      <c r="TR33" s="115"/>
      <c r="TS33" s="115"/>
      <c r="TT33" s="115"/>
      <c r="TU33" s="115"/>
      <c r="TV33" s="115"/>
      <c r="TW33" s="115"/>
      <c r="TX33" s="115"/>
      <c r="TY33" s="115"/>
      <c r="TZ33" s="115"/>
      <c r="UA33" s="115"/>
      <c r="UB33" s="115"/>
      <c r="UC33" s="115"/>
      <c r="UD33" s="115"/>
      <c r="UE33" s="115"/>
      <c r="UF33" s="115"/>
      <c r="UG33" s="115"/>
      <c r="UH33" s="115"/>
      <c r="UI33" s="115"/>
      <c r="UJ33" s="115"/>
      <c r="UK33" s="115"/>
      <c r="UL33" s="115"/>
      <c r="UM33" s="115"/>
      <c r="UN33" s="115"/>
      <c r="UO33" s="115"/>
      <c r="UP33" s="115"/>
      <c r="UQ33" s="115"/>
      <c r="UR33" s="115"/>
      <c r="US33" s="115"/>
      <c r="UT33" s="115"/>
      <c r="UU33" s="115"/>
      <c r="UV33" s="115"/>
      <c r="UW33" s="115"/>
      <c r="UX33" s="115"/>
      <c r="UY33" s="115"/>
      <c r="UZ33" s="115"/>
      <c r="VA33" s="115"/>
      <c r="VB33" s="115"/>
      <c r="VC33" s="115"/>
      <c r="VD33" s="115"/>
      <c r="VE33" s="115"/>
      <c r="VF33" s="115"/>
      <c r="VG33" s="115"/>
      <c r="VH33" s="115"/>
      <c r="VI33" s="115"/>
      <c r="VJ33" s="115"/>
      <c r="VK33" s="115"/>
      <c r="VL33" s="115"/>
      <c r="VM33" s="115"/>
      <c r="VN33" s="115"/>
      <c r="VO33" s="115"/>
      <c r="VP33" s="115"/>
      <c r="VQ33" s="115"/>
      <c r="VR33" s="115"/>
      <c r="VS33" s="115"/>
      <c r="VT33" s="115"/>
      <c r="VU33" s="115"/>
      <c r="VV33" s="115"/>
      <c r="VW33" s="115"/>
      <c r="VX33" s="115"/>
      <c r="VY33" s="115"/>
      <c r="VZ33" s="115"/>
      <c r="WA33" s="115"/>
      <c r="WB33" s="115"/>
      <c r="WC33" s="115"/>
      <c r="WD33" s="115"/>
      <c r="WE33" s="115"/>
      <c r="WF33" s="115"/>
      <c r="WG33" s="115"/>
      <c r="WH33" s="115"/>
      <c r="WI33" s="115"/>
      <c r="WJ33" s="115"/>
      <c r="WK33" s="115"/>
      <c r="WL33" s="115"/>
      <c r="WM33" s="115"/>
      <c r="WN33" s="115"/>
      <c r="WO33" s="115"/>
      <c r="WP33" s="115"/>
      <c r="WQ33" s="115"/>
      <c r="WR33" s="115"/>
      <c r="WS33" s="115"/>
      <c r="WT33" s="115"/>
      <c r="WU33" s="115"/>
      <c r="WV33" s="115"/>
      <c r="WW33" s="115"/>
      <c r="WX33" s="115"/>
      <c r="WY33" s="115"/>
      <c r="WZ33" s="115"/>
      <c r="XA33" s="115"/>
      <c r="XB33" s="115"/>
      <c r="XC33" s="115"/>
      <c r="XD33" s="115"/>
      <c r="XE33" s="115"/>
      <c r="XF33" s="115"/>
      <c r="XG33" s="115"/>
      <c r="XH33" s="115"/>
      <c r="XI33" s="115"/>
      <c r="XJ33" s="115"/>
      <c r="XK33" s="115"/>
      <c r="XL33" s="115"/>
      <c r="XM33" s="115"/>
      <c r="XN33" s="115"/>
      <c r="XO33" s="115"/>
      <c r="XP33" s="115"/>
      <c r="XQ33" s="115"/>
      <c r="XR33" s="115"/>
      <c r="XS33" s="115"/>
      <c r="XT33" s="115"/>
      <c r="XU33" s="115"/>
      <c r="XV33" s="115"/>
      <c r="XW33" s="115"/>
      <c r="XX33" s="115"/>
      <c r="XY33" s="115"/>
      <c r="XZ33" s="115"/>
      <c r="YA33" s="115"/>
      <c r="YB33" s="115"/>
      <c r="YC33" s="115"/>
      <c r="YD33" s="115"/>
      <c r="YE33" s="115"/>
      <c r="YF33" s="115"/>
      <c r="YG33" s="115"/>
      <c r="YH33" s="115"/>
      <c r="YI33" s="115"/>
      <c r="YJ33" s="115"/>
      <c r="YK33" s="115"/>
      <c r="YL33" s="115"/>
      <c r="YM33" s="115"/>
      <c r="YN33" s="115"/>
      <c r="YO33" s="115"/>
      <c r="YP33" s="115"/>
      <c r="YQ33" s="115"/>
      <c r="YX33" s="22">
        <v>0</v>
      </c>
      <c r="YY33" s="22">
        <f>VLOOKUP(B33,'SCAFFOLDING MATERIAL OVERALL'!B35:S217,18,FALSE)</f>
        <v>0</v>
      </c>
      <c r="YZ33" s="22">
        <f t="shared" si="0"/>
        <v>0</v>
      </c>
    </row>
    <row r="34" spans="1:676" s="22" customFormat="1" x14ac:dyDescent="0.25">
      <c r="A34" s="14">
        <v>30</v>
      </c>
      <c r="B34" s="46">
        <v>5000000014</v>
      </c>
      <c r="C34" s="45" t="s">
        <v>42</v>
      </c>
      <c r="D34" s="44" t="s">
        <v>12</v>
      </c>
      <c r="OZ34" s="115"/>
      <c r="PA34" s="115"/>
      <c r="PB34" s="115"/>
      <c r="PC34" s="115"/>
      <c r="PD34" s="115"/>
      <c r="PE34" s="115"/>
      <c r="PF34" s="115"/>
      <c r="PG34" s="115"/>
      <c r="PH34" s="115"/>
      <c r="PI34" s="115"/>
      <c r="PJ34" s="115"/>
      <c r="PK34" s="115"/>
      <c r="PL34" s="115"/>
      <c r="PM34" s="115"/>
      <c r="PN34" s="115"/>
      <c r="PO34" s="115"/>
      <c r="PP34" s="115"/>
      <c r="PQ34" s="115"/>
      <c r="PR34" s="115"/>
      <c r="PS34" s="115"/>
      <c r="PT34" s="115"/>
      <c r="PU34" s="115"/>
      <c r="PV34" s="115"/>
      <c r="PW34" s="115"/>
      <c r="PX34" s="115"/>
      <c r="PY34" s="115"/>
      <c r="PZ34" s="115"/>
      <c r="QA34" s="115"/>
      <c r="QB34" s="115"/>
      <c r="QC34" s="115"/>
      <c r="QD34" s="115"/>
      <c r="QE34" s="115"/>
      <c r="QF34" s="115"/>
      <c r="QG34" s="115"/>
      <c r="QH34" s="115"/>
      <c r="QI34" s="115"/>
      <c r="QJ34" s="115"/>
      <c r="QK34" s="115"/>
      <c r="QL34" s="115"/>
      <c r="QM34" s="115"/>
      <c r="QN34" s="115"/>
      <c r="QO34" s="115"/>
      <c r="QP34" s="115"/>
      <c r="QQ34" s="115"/>
      <c r="QR34" s="115"/>
      <c r="QS34" s="115"/>
      <c r="QT34" s="115"/>
      <c r="QU34" s="115"/>
      <c r="QV34" s="115"/>
      <c r="QW34" s="115"/>
      <c r="QX34" s="115"/>
      <c r="QY34" s="115"/>
      <c r="QZ34" s="115"/>
      <c r="RA34" s="115"/>
      <c r="RB34" s="115"/>
      <c r="RC34" s="115"/>
      <c r="RD34" s="115"/>
      <c r="RE34" s="115"/>
      <c r="RF34" s="115"/>
      <c r="RG34" s="115"/>
      <c r="RH34" s="115"/>
      <c r="RI34" s="115"/>
      <c r="RJ34" s="115"/>
      <c r="RK34" s="115"/>
      <c r="RL34" s="115"/>
      <c r="RM34" s="115"/>
      <c r="RN34" s="115"/>
      <c r="RO34" s="115"/>
      <c r="RP34" s="115"/>
      <c r="RQ34" s="115"/>
      <c r="RR34" s="115"/>
      <c r="RS34" s="115"/>
      <c r="RT34" s="115"/>
      <c r="RU34" s="115"/>
      <c r="RV34" s="115"/>
      <c r="RW34" s="115"/>
      <c r="RX34" s="115"/>
      <c r="RY34" s="115"/>
      <c r="RZ34" s="115"/>
      <c r="SA34" s="115"/>
      <c r="SB34" s="115"/>
      <c r="SC34" s="115"/>
      <c r="SD34" s="115"/>
      <c r="SE34" s="115"/>
      <c r="SF34" s="115"/>
      <c r="SG34" s="115"/>
      <c r="SH34" s="115"/>
      <c r="SI34" s="115"/>
      <c r="SJ34" s="115"/>
      <c r="SK34" s="115"/>
      <c r="SL34" s="115"/>
      <c r="SM34" s="115"/>
      <c r="SN34" s="115"/>
      <c r="SO34" s="115"/>
      <c r="SP34" s="115"/>
      <c r="SQ34" s="115"/>
      <c r="SR34" s="115"/>
      <c r="SS34" s="115"/>
      <c r="ST34" s="115"/>
      <c r="SU34" s="115"/>
      <c r="SV34" s="115"/>
      <c r="SW34" s="115"/>
      <c r="SX34" s="115"/>
      <c r="SY34" s="115"/>
      <c r="SZ34" s="115"/>
      <c r="TA34" s="115"/>
      <c r="TB34" s="115"/>
      <c r="TC34" s="115"/>
      <c r="TD34" s="115"/>
      <c r="TE34" s="115"/>
      <c r="TF34" s="115"/>
      <c r="TG34" s="115"/>
      <c r="TH34" s="115"/>
      <c r="TI34" s="115"/>
      <c r="TJ34" s="115"/>
      <c r="TK34" s="115"/>
      <c r="TL34" s="115"/>
      <c r="TM34" s="115"/>
      <c r="TN34" s="115"/>
      <c r="TO34" s="115"/>
      <c r="TP34" s="115"/>
      <c r="TQ34" s="115"/>
      <c r="TR34" s="115"/>
      <c r="TS34" s="115"/>
      <c r="TT34" s="115"/>
      <c r="TU34" s="115"/>
      <c r="TV34" s="115"/>
      <c r="TW34" s="115"/>
      <c r="TX34" s="115"/>
      <c r="TY34" s="115"/>
      <c r="TZ34" s="115"/>
      <c r="UA34" s="115"/>
      <c r="UB34" s="115"/>
      <c r="UC34" s="115"/>
      <c r="UD34" s="115"/>
      <c r="UE34" s="115"/>
      <c r="UF34" s="115"/>
      <c r="UG34" s="115"/>
      <c r="UH34" s="115"/>
      <c r="UI34" s="115"/>
      <c r="UJ34" s="115"/>
      <c r="UK34" s="115"/>
      <c r="UL34" s="115"/>
      <c r="UM34" s="115"/>
      <c r="UN34" s="115"/>
      <c r="UO34" s="115"/>
      <c r="UP34" s="115"/>
      <c r="UQ34" s="115"/>
      <c r="UR34" s="115"/>
      <c r="US34" s="115"/>
      <c r="UT34" s="115"/>
      <c r="UU34" s="115"/>
      <c r="UV34" s="115"/>
      <c r="UW34" s="115"/>
      <c r="UX34" s="115"/>
      <c r="UY34" s="115"/>
      <c r="UZ34" s="115"/>
      <c r="VA34" s="115"/>
      <c r="VB34" s="115"/>
      <c r="VC34" s="115"/>
      <c r="VD34" s="115"/>
      <c r="VE34" s="115"/>
      <c r="VF34" s="115"/>
      <c r="VG34" s="115"/>
      <c r="VH34" s="115"/>
      <c r="VI34" s="115"/>
      <c r="VJ34" s="115"/>
      <c r="VK34" s="115"/>
      <c r="VL34" s="115"/>
      <c r="VM34" s="115"/>
      <c r="VN34" s="115"/>
      <c r="VO34" s="115"/>
      <c r="VP34" s="115"/>
      <c r="VQ34" s="115"/>
      <c r="VR34" s="115"/>
      <c r="VS34" s="115"/>
      <c r="VT34" s="115"/>
      <c r="VU34" s="115"/>
      <c r="VV34" s="115"/>
      <c r="VW34" s="115"/>
      <c r="VX34" s="115"/>
      <c r="VY34" s="115"/>
      <c r="VZ34" s="115"/>
      <c r="WA34" s="115"/>
      <c r="WB34" s="115"/>
      <c r="WC34" s="115"/>
      <c r="WD34" s="115"/>
      <c r="WE34" s="115"/>
      <c r="WF34" s="115"/>
      <c r="WG34" s="115"/>
      <c r="WH34" s="115"/>
      <c r="WI34" s="115"/>
      <c r="WJ34" s="115"/>
      <c r="WK34" s="115"/>
      <c r="WL34" s="115"/>
      <c r="WM34" s="115"/>
      <c r="WN34" s="115"/>
      <c r="WO34" s="115"/>
      <c r="WP34" s="115"/>
      <c r="WQ34" s="115"/>
      <c r="WR34" s="115"/>
      <c r="WS34" s="115"/>
      <c r="WT34" s="115"/>
      <c r="WU34" s="115"/>
      <c r="WV34" s="115"/>
      <c r="WW34" s="115"/>
      <c r="WX34" s="115"/>
      <c r="WY34" s="115"/>
      <c r="WZ34" s="115"/>
      <c r="XA34" s="115"/>
      <c r="XB34" s="115"/>
      <c r="XC34" s="115"/>
      <c r="XD34" s="115"/>
      <c r="XE34" s="115"/>
      <c r="XF34" s="115"/>
      <c r="XG34" s="115"/>
      <c r="XH34" s="115"/>
      <c r="XI34" s="115"/>
      <c r="XJ34" s="115"/>
      <c r="XK34" s="115"/>
      <c r="XL34" s="115"/>
      <c r="XM34" s="115"/>
      <c r="XN34" s="115"/>
      <c r="XO34" s="115"/>
      <c r="XP34" s="115"/>
      <c r="XQ34" s="115"/>
      <c r="XR34" s="115"/>
      <c r="XS34" s="115"/>
      <c r="XT34" s="115"/>
      <c r="XU34" s="115"/>
      <c r="XV34" s="115"/>
      <c r="XW34" s="115"/>
      <c r="XX34" s="115"/>
      <c r="XY34" s="115"/>
      <c r="XZ34" s="115"/>
      <c r="YA34" s="115"/>
      <c r="YB34" s="115"/>
      <c r="YC34" s="115"/>
      <c r="YD34" s="115"/>
      <c r="YE34" s="115"/>
      <c r="YF34" s="115"/>
      <c r="YG34" s="115"/>
      <c r="YH34" s="115"/>
      <c r="YI34" s="115"/>
      <c r="YJ34" s="115"/>
      <c r="YK34" s="115"/>
      <c r="YL34" s="115"/>
      <c r="YM34" s="115"/>
      <c r="YN34" s="115"/>
      <c r="YO34" s="115"/>
      <c r="YP34" s="115"/>
      <c r="YQ34" s="115"/>
      <c r="YX34" s="22">
        <v>0</v>
      </c>
      <c r="YY34" s="22">
        <f>VLOOKUP(B34,'SCAFFOLDING MATERIAL OVERALL'!B36:S218,18,FALSE)</f>
        <v>0</v>
      </c>
      <c r="YZ34" s="22">
        <f t="shared" si="0"/>
        <v>0</v>
      </c>
    </row>
    <row r="35" spans="1:676" s="22" customFormat="1" x14ac:dyDescent="0.25">
      <c r="A35" s="14">
        <v>31</v>
      </c>
      <c r="B35" s="46">
        <v>5000000011</v>
      </c>
      <c r="C35" s="45" t="s">
        <v>43</v>
      </c>
      <c r="D35" s="44" t="s">
        <v>12</v>
      </c>
      <c r="OZ35" s="115"/>
      <c r="PA35" s="115"/>
      <c r="PB35" s="115"/>
      <c r="PC35" s="115"/>
      <c r="PD35" s="115"/>
      <c r="PE35" s="115"/>
      <c r="PF35" s="115"/>
      <c r="PG35" s="115"/>
      <c r="PH35" s="115"/>
      <c r="PI35" s="115"/>
      <c r="PJ35" s="115"/>
      <c r="PK35" s="115"/>
      <c r="PL35" s="115"/>
      <c r="PM35" s="115"/>
      <c r="PN35" s="115"/>
      <c r="PO35" s="115"/>
      <c r="PP35" s="115"/>
      <c r="PQ35" s="115"/>
      <c r="PR35" s="115"/>
      <c r="PS35" s="115"/>
      <c r="PT35" s="115"/>
      <c r="PU35" s="115"/>
      <c r="PV35" s="115"/>
      <c r="PW35" s="115"/>
      <c r="PX35" s="115"/>
      <c r="PY35" s="115"/>
      <c r="PZ35" s="115"/>
      <c r="QA35" s="115"/>
      <c r="QB35" s="115"/>
      <c r="QC35" s="115"/>
      <c r="QD35" s="115"/>
      <c r="QE35" s="115"/>
      <c r="QF35" s="115"/>
      <c r="QG35" s="115"/>
      <c r="QH35" s="115"/>
      <c r="QI35" s="115"/>
      <c r="QJ35" s="115"/>
      <c r="QK35" s="115"/>
      <c r="QL35" s="115"/>
      <c r="QM35" s="115"/>
      <c r="QN35" s="115"/>
      <c r="QO35" s="115"/>
      <c r="QP35" s="115"/>
      <c r="QQ35" s="115"/>
      <c r="QR35" s="115"/>
      <c r="QS35" s="115"/>
      <c r="QT35" s="115"/>
      <c r="QU35" s="115"/>
      <c r="QV35" s="115"/>
      <c r="QW35" s="115"/>
      <c r="QX35" s="115"/>
      <c r="QY35" s="115"/>
      <c r="QZ35" s="115"/>
      <c r="RA35" s="115"/>
      <c r="RB35" s="115"/>
      <c r="RC35" s="115"/>
      <c r="RD35" s="115"/>
      <c r="RE35" s="115"/>
      <c r="RF35" s="115"/>
      <c r="RG35" s="115"/>
      <c r="RH35" s="115"/>
      <c r="RI35" s="115"/>
      <c r="RJ35" s="115"/>
      <c r="RK35" s="115"/>
      <c r="RL35" s="115"/>
      <c r="RM35" s="115"/>
      <c r="RN35" s="115"/>
      <c r="RO35" s="115"/>
      <c r="RP35" s="115"/>
      <c r="RQ35" s="115"/>
      <c r="RR35" s="115"/>
      <c r="RS35" s="115"/>
      <c r="RT35" s="115"/>
      <c r="RU35" s="115"/>
      <c r="RV35" s="115"/>
      <c r="RW35" s="115"/>
      <c r="RX35" s="115"/>
      <c r="RY35" s="115"/>
      <c r="RZ35" s="115"/>
      <c r="SA35" s="115"/>
      <c r="SB35" s="115"/>
      <c r="SC35" s="115"/>
      <c r="SD35" s="115"/>
      <c r="SE35" s="115"/>
      <c r="SF35" s="115"/>
      <c r="SG35" s="115"/>
      <c r="SH35" s="115"/>
      <c r="SI35" s="115"/>
      <c r="SJ35" s="115"/>
      <c r="SK35" s="115"/>
      <c r="SL35" s="115"/>
      <c r="SM35" s="115"/>
      <c r="SN35" s="115"/>
      <c r="SO35" s="115"/>
      <c r="SP35" s="115"/>
      <c r="SQ35" s="115"/>
      <c r="SR35" s="115"/>
      <c r="SS35" s="115"/>
      <c r="ST35" s="115"/>
      <c r="SU35" s="115"/>
      <c r="SV35" s="115"/>
      <c r="SW35" s="115"/>
      <c r="SX35" s="115"/>
      <c r="SY35" s="115"/>
      <c r="SZ35" s="115"/>
      <c r="TA35" s="115"/>
      <c r="TB35" s="115"/>
      <c r="TC35" s="115"/>
      <c r="TD35" s="115"/>
      <c r="TE35" s="115"/>
      <c r="TF35" s="115"/>
      <c r="TG35" s="115"/>
      <c r="TH35" s="115"/>
      <c r="TI35" s="115"/>
      <c r="TJ35" s="115"/>
      <c r="TK35" s="115"/>
      <c r="TL35" s="115"/>
      <c r="TM35" s="115"/>
      <c r="TN35" s="115"/>
      <c r="TO35" s="115"/>
      <c r="TP35" s="115"/>
      <c r="TQ35" s="115"/>
      <c r="TR35" s="115"/>
      <c r="TS35" s="115"/>
      <c r="TT35" s="115"/>
      <c r="TU35" s="115"/>
      <c r="TV35" s="115"/>
      <c r="TW35" s="115"/>
      <c r="TX35" s="115"/>
      <c r="TY35" s="115"/>
      <c r="TZ35" s="115"/>
      <c r="UA35" s="115"/>
      <c r="UB35" s="115"/>
      <c r="UC35" s="115"/>
      <c r="UD35" s="115"/>
      <c r="UE35" s="115"/>
      <c r="UF35" s="115"/>
      <c r="UG35" s="115"/>
      <c r="UH35" s="115"/>
      <c r="UI35" s="115"/>
      <c r="UJ35" s="115"/>
      <c r="UK35" s="115"/>
      <c r="UL35" s="115"/>
      <c r="UM35" s="115"/>
      <c r="UN35" s="115"/>
      <c r="UO35" s="115"/>
      <c r="UP35" s="115"/>
      <c r="UQ35" s="115"/>
      <c r="UR35" s="115"/>
      <c r="US35" s="115"/>
      <c r="UT35" s="115"/>
      <c r="UU35" s="115"/>
      <c r="UV35" s="115"/>
      <c r="UW35" s="115"/>
      <c r="UX35" s="115"/>
      <c r="UY35" s="115"/>
      <c r="UZ35" s="115"/>
      <c r="VA35" s="115"/>
      <c r="VB35" s="115"/>
      <c r="VC35" s="115"/>
      <c r="VD35" s="115"/>
      <c r="VE35" s="115"/>
      <c r="VF35" s="115"/>
      <c r="VG35" s="115"/>
      <c r="VH35" s="115"/>
      <c r="VI35" s="115"/>
      <c r="VJ35" s="115"/>
      <c r="VK35" s="115"/>
      <c r="VL35" s="115"/>
      <c r="VM35" s="115"/>
      <c r="VN35" s="115"/>
      <c r="VO35" s="115"/>
      <c r="VP35" s="115"/>
      <c r="VQ35" s="115"/>
      <c r="VR35" s="115"/>
      <c r="VS35" s="115"/>
      <c r="VT35" s="115"/>
      <c r="VU35" s="115"/>
      <c r="VV35" s="115"/>
      <c r="VW35" s="115"/>
      <c r="VX35" s="115"/>
      <c r="VY35" s="115"/>
      <c r="VZ35" s="115"/>
      <c r="WA35" s="115"/>
      <c r="WB35" s="115"/>
      <c r="WC35" s="115"/>
      <c r="WD35" s="115"/>
      <c r="WE35" s="115"/>
      <c r="WF35" s="115"/>
      <c r="WG35" s="115"/>
      <c r="WH35" s="115"/>
      <c r="WI35" s="115"/>
      <c r="WJ35" s="115"/>
      <c r="WK35" s="115"/>
      <c r="WL35" s="115"/>
      <c r="WM35" s="115"/>
      <c r="WN35" s="115"/>
      <c r="WO35" s="115"/>
      <c r="WP35" s="115"/>
      <c r="WQ35" s="115"/>
      <c r="WR35" s="115"/>
      <c r="WS35" s="115"/>
      <c r="WT35" s="115"/>
      <c r="WU35" s="115"/>
      <c r="WV35" s="115"/>
      <c r="WW35" s="115"/>
      <c r="WX35" s="115"/>
      <c r="WY35" s="115"/>
      <c r="WZ35" s="115"/>
      <c r="XA35" s="115"/>
      <c r="XB35" s="115"/>
      <c r="XC35" s="115"/>
      <c r="XD35" s="115"/>
      <c r="XE35" s="115"/>
      <c r="XF35" s="115"/>
      <c r="XG35" s="115"/>
      <c r="XH35" s="115"/>
      <c r="XI35" s="115"/>
      <c r="XJ35" s="115"/>
      <c r="XK35" s="115"/>
      <c r="XL35" s="115"/>
      <c r="XM35" s="115"/>
      <c r="XN35" s="115"/>
      <c r="XO35" s="115"/>
      <c r="XP35" s="115"/>
      <c r="XQ35" s="115"/>
      <c r="XR35" s="115"/>
      <c r="XS35" s="115"/>
      <c r="XT35" s="115"/>
      <c r="XU35" s="115"/>
      <c r="XV35" s="115"/>
      <c r="XW35" s="115"/>
      <c r="XX35" s="115"/>
      <c r="XY35" s="115"/>
      <c r="XZ35" s="115"/>
      <c r="YA35" s="115"/>
      <c r="YB35" s="115"/>
      <c r="YC35" s="115"/>
      <c r="YD35" s="115"/>
      <c r="YE35" s="115"/>
      <c r="YF35" s="115"/>
      <c r="YG35" s="115"/>
      <c r="YH35" s="115"/>
      <c r="YI35" s="115"/>
      <c r="YJ35" s="115"/>
      <c r="YK35" s="115"/>
      <c r="YL35" s="115"/>
      <c r="YM35" s="115"/>
      <c r="YN35" s="115"/>
      <c r="YO35" s="115"/>
      <c r="YP35" s="115"/>
      <c r="YQ35" s="115"/>
      <c r="YX35" s="22">
        <v>0</v>
      </c>
      <c r="YY35" s="22">
        <f>VLOOKUP(B35,'SCAFFOLDING MATERIAL OVERALL'!B37:S219,18,FALSE)</f>
        <v>0</v>
      </c>
      <c r="YZ35" s="22">
        <f t="shared" si="0"/>
        <v>0</v>
      </c>
    </row>
    <row r="36" spans="1:676" s="22" customFormat="1" x14ac:dyDescent="0.25">
      <c r="A36" s="17">
        <v>32</v>
      </c>
      <c r="B36" s="46">
        <v>5000000012</v>
      </c>
      <c r="C36" s="45" t="s">
        <v>44</v>
      </c>
      <c r="D36" s="44" t="s">
        <v>12</v>
      </c>
      <c r="OZ36" s="115"/>
      <c r="PA36" s="115"/>
      <c r="PB36" s="115"/>
      <c r="PC36" s="115"/>
      <c r="PD36" s="115"/>
      <c r="PE36" s="115"/>
      <c r="PF36" s="115"/>
      <c r="PG36" s="115"/>
      <c r="PH36" s="115"/>
      <c r="PI36" s="115"/>
      <c r="PJ36" s="115"/>
      <c r="PK36" s="115"/>
      <c r="PL36" s="115"/>
      <c r="PM36" s="115"/>
      <c r="PN36" s="115"/>
      <c r="PO36" s="115"/>
      <c r="PP36" s="115"/>
      <c r="PQ36" s="115"/>
      <c r="PR36" s="115"/>
      <c r="PS36" s="115"/>
      <c r="PT36" s="115"/>
      <c r="PU36" s="115"/>
      <c r="PV36" s="115"/>
      <c r="PW36" s="115"/>
      <c r="PX36" s="115"/>
      <c r="PY36" s="115"/>
      <c r="PZ36" s="115"/>
      <c r="QA36" s="115"/>
      <c r="QB36" s="115"/>
      <c r="QC36" s="115"/>
      <c r="QD36" s="115"/>
      <c r="QE36" s="115"/>
      <c r="QF36" s="115"/>
      <c r="QG36" s="115"/>
      <c r="QH36" s="115"/>
      <c r="QI36" s="115"/>
      <c r="QJ36" s="115"/>
      <c r="QK36" s="115"/>
      <c r="QL36" s="115"/>
      <c r="QM36" s="115"/>
      <c r="QN36" s="115"/>
      <c r="QO36" s="115"/>
      <c r="QP36" s="115"/>
      <c r="QQ36" s="115"/>
      <c r="QR36" s="115"/>
      <c r="QS36" s="115"/>
      <c r="QT36" s="115"/>
      <c r="QU36" s="115"/>
      <c r="QV36" s="115"/>
      <c r="QW36" s="115"/>
      <c r="QX36" s="115"/>
      <c r="QY36" s="115"/>
      <c r="QZ36" s="115"/>
      <c r="RA36" s="115"/>
      <c r="RB36" s="115"/>
      <c r="RC36" s="115"/>
      <c r="RD36" s="115"/>
      <c r="RE36" s="115"/>
      <c r="RF36" s="115"/>
      <c r="RG36" s="115"/>
      <c r="RH36" s="115"/>
      <c r="RI36" s="115"/>
      <c r="RJ36" s="115"/>
      <c r="RK36" s="115"/>
      <c r="RL36" s="115"/>
      <c r="RM36" s="115"/>
      <c r="RN36" s="115"/>
      <c r="RO36" s="115"/>
      <c r="RP36" s="115"/>
      <c r="RQ36" s="115"/>
      <c r="RR36" s="115"/>
      <c r="RS36" s="115"/>
      <c r="RT36" s="115"/>
      <c r="RU36" s="115"/>
      <c r="RV36" s="115"/>
      <c r="RW36" s="115"/>
      <c r="RX36" s="115"/>
      <c r="RY36" s="115"/>
      <c r="RZ36" s="115"/>
      <c r="SA36" s="115"/>
      <c r="SB36" s="115"/>
      <c r="SC36" s="115"/>
      <c r="SD36" s="115"/>
      <c r="SE36" s="115"/>
      <c r="SF36" s="115"/>
      <c r="SG36" s="115"/>
      <c r="SH36" s="115"/>
      <c r="SI36" s="115"/>
      <c r="SJ36" s="115"/>
      <c r="SK36" s="115"/>
      <c r="SL36" s="115"/>
      <c r="SM36" s="115"/>
      <c r="SN36" s="115"/>
      <c r="SO36" s="115"/>
      <c r="SP36" s="115"/>
      <c r="SQ36" s="115"/>
      <c r="SR36" s="115"/>
      <c r="SS36" s="115"/>
      <c r="ST36" s="115"/>
      <c r="SU36" s="115"/>
      <c r="SV36" s="115"/>
      <c r="SW36" s="115"/>
      <c r="SX36" s="115"/>
      <c r="SY36" s="115"/>
      <c r="SZ36" s="115"/>
      <c r="TA36" s="115"/>
      <c r="TB36" s="115"/>
      <c r="TC36" s="115"/>
      <c r="TD36" s="115"/>
      <c r="TE36" s="115"/>
      <c r="TF36" s="115"/>
      <c r="TG36" s="115"/>
      <c r="TH36" s="115"/>
      <c r="TI36" s="115"/>
      <c r="TJ36" s="115"/>
      <c r="TK36" s="115"/>
      <c r="TL36" s="115"/>
      <c r="TM36" s="115"/>
      <c r="TN36" s="115"/>
      <c r="TO36" s="115"/>
      <c r="TP36" s="115"/>
      <c r="TQ36" s="115"/>
      <c r="TR36" s="115"/>
      <c r="TS36" s="115"/>
      <c r="TT36" s="115"/>
      <c r="TU36" s="115"/>
      <c r="TV36" s="115"/>
      <c r="TW36" s="115"/>
      <c r="TX36" s="115"/>
      <c r="TY36" s="115"/>
      <c r="TZ36" s="115"/>
      <c r="UA36" s="115"/>
      <c r="UB36" s="115"/>
      <c r="UC36" s="115"/>
      <c r="UD36" s="115"/>
      <c r="UE36" s="115"/>
      <c r="UF36" s="115"/>
      <c r="UG36" s="115"/>
      <c r="UH36" s="115"/>
      <c r="UI36" s="115"/>
      <c r="UJ36" s="115"/>
      <c r="UK36" s="115"/>
      <c r="UL36" s="115"/>
      <c r="UM36" s="115"/>
      <c r="UN36" s="115"/>
      <c r="UO36" s="115"/>
      <c r="UP36" s="115"/>
      <c r="UQ36" s="115"/>
      <c r="UR36" s="115"/>
      <c r="US36" s="115"/>
      <c r="UT36" s="115"/>
      <c r="UU36" s="115"/>
      <c r="UV36" s="115"/>
      <c r="UW36" s="115"/>
      <c r="UX36" s="115"/>
      <c r="UY36" s="115"/>
      <c r="UZ36" s="115"/>
      <c r="VA36" s="115"/>
      <c r="VB36" s="115"/>
      <c r="VC36" s="115"/>
      <c r="VD36" s="115"/>
      <c r="VE36" s="115"/>
      <c r="VF36" s="115"/>
      <c r="VG36" s="115"/>
      <c r="VH36" s="115"/>
      <c r="VI36" s="115"/>
      <c r="VJ36" s="115"/>
      <c r="VK36" s="115"/>
      <c r="VL36" s="115"/>
      <c r="VM36" s="115"/>
      <c r="VN36" s="115"/>
      <c r="VO36" s="115"/>
      <c r="VP36" s="115"/>
      <c r="VQ36" s="115"/>
      <c r="VR36" s="115"/>
      <c r="VS36" s="115"/>
      <c r="VT36" s="115"/>
      <c r="VU36" s="115"/>
      <c r="VV36" s="115"/>
      <c r="VW36" s="115"/>
      <c r="VX36" s="115"/>
      <c r="VY36" s="115"/>
      <c r="VZ36" s="115"/>
      <c r="WA36" s="115"/>
      <c r="WB36" s="115"/>
      <c r="WC36" s="115"/>
      <c r="WD36" s="115"/>
      <c r="WE36" s="115"/>
      <c r="WF36" s="115"/>
      <c r="WG36" s="115"/>
      <c r="WH36" s="115"/>
      <c r="WI36" s="115"/>
      <c r="WJ36" s="115"/>
      <c r="WK36" s="115"/>
      <c r="WL36" s="115"/>
      <c r="WM36" s="115"/>
      <c r="WN36" s="115"/>
      <c r="WO36" s="115"/>
      <c r="WP36" s="115"/>
      <c r="WQ36" s="115"/>
      <c r="WR36" s="115"/>
      <c r="WS36" s="115"/>
      <c r="WT36" s="115"/>
      <c r="WU36" s="115"/>
      <c r="WV36" s="115"/>
      <c r="WW36" s="115"/>
      <c r="WX36" s="115"/>
      <c r="WY36" s="115"/>
      <c r="WZ36" s="115"/>
      <c r="XA36" s="115"/>
      <c r="XB36" s="115"/>
      <c r="XC36" s="115"/>
      <c r="XD36" s="115"/>
      <c r="XE36" s="115"/>
      <c r="XF36" s="115"/>
      <c r="XG36" s="115"/>
      <c r="XH36" s="115"/>
      <c r="XI36" s="115"/>
      <c r="XJ36" s="115"/>
      <c r="XK36" s="115"/>
      <c r="XL36" s="115"/>
      <c r="XM36" s="115"/>
      <c r="XN36" s="115"/>
      <c r="XO36" s="115"/>
      <c r="XP36" s="115"/>
      <c r="XQ36" s="115"/>
      <c r="XR36" s="115"/>
      <c r="XS36" s="115"/>
      <c r="XT36" s="115"/>
      <c r="XU36" s="115"/>
      <c r="XV36" s="115"/>
      <c r="XW36" s="115"/>
      <c r="XX36" s="115"/>
      <c r="XY36" s="115"/>
      <c r="XZ36" s="115"/>
      <c r="YA36" s="115"/>
      <c r="YB36" s="115"/>
      <c r="YC36" s="115"/>
      <c r="YD36" s="115"/>
      <c r="YE36" s="115"/>
      <c r="YF36" s="115"/>
      <c r="YG36" s="115"/>
      <c r="YH36" s="115"/>
      <c r="YI36" s="115"/>
      <c r="YJ36" s="115"/>
      <c r="YK36" s="115"/>
      <c r="YL36" s="115"/>
      <c r="YM36" s="115"/>
      <c r="YN36" s="115"/>
      <c r="YO36" s="115"/>
      <c r="YP36" s="115"/>
      <c r="YQ36" s="115"/>
      <c r="YX36" s="22">
        <v>0</v>
      </c>
      <c r="YY36" s="22">
        <f>VLOOKUP(B36,'SCAFFOLDING MATERIAL OVERALL'!B38:S220,18,FALSE)</f>
        <v>0</v>
      </c>
      <c r="YZ36" s="22">
        <f t="shared" si="0"/>
        <v>0</v>
      </c>
    </row>
    <row r="37" spans="1:676" s="22" customFormat="1" x14ac:dyDescent="0.25">
      <c r="A37" s="14">
        <v>33</v>
      </c>
      <c r="B37" s="46">
        <v>3000002635</v>
      </c>
      <c r="C37" s="45" t="s">
        <v>45</v>
      </c>
      <c r="D37" s="44" t="s">
        <v>12</v>
      </c>
      <c r="OZ37" s="115"/>
      <c r="PA37" s="115"/>
      <c r="PB37" s="115"/>
      <c r="PC37" s="115"/>
      <c r="PD37" s="115"/>
      <c r="PE37" s="115"/>
      <c r="PF37" s="115"/>
      <c r="PG37" s="115"/>
      <c r="PH37" s="115"/>
      <c r="PI37" s="115"/>
      <c r="PJ37" s="115"/>
      <c r="PK37" s="115"/>
      <c r="PL37" s="115"/>
      <c r="PM37" s="115"/>
      <c r="PN37" s="115"/>
      <c r="PO37" s="115"/>
      <c r="PP37" s="115"/>
      <c r="PQ37" s="115"/>
      <c r="PR37" s="115"/>
      <c r="PS37" s="115"/>
      <c r="PT37" s="115"/>
      <c r="PU37" s="115"/>
      <c r="PV37" s="115"/>
      <c r="PW37" s="115"/>
      <c r="PX37" s="115"/>
      <c r="PY37" s="115"/>
      <c r="PZ37" s="115"/>
      <c r="QA37" s="115"/>
      <c r="QB37" s="115"/>
      <c r="QC37" s="115"/>
      <c r="QD37" s="115"/>
      <c r="QE37" s="115"/>
      <c r="QF37" s="115"/>
      <c r="QG37" s="115"/>
      <c r="QH37" s="115"/>
      <c r="QI37" s="115"/>
      <c r="QJ37" s="115"/>
      <c r="QK37" s="115"/>
      <c r="QL37" s="115"/>
      <c r="QM37" s="115"/>
      <c r="QN37" s="115"/>
      <c r="QO37" s="115"/>
      <c r="QP37" s="115"/>
      <c r="QQ37" s="115"/>
      <c r="QR37" s="115"/>
      <c r="QS37" s="115"/>
      <c r="QT37" s="115"/>
      <c r="QU37" s="115"/>
      <c r="QV37" s="115"/>
      <c r="QW37" s="115"/>
      <c r="QX37" s="115"/>
      <c r="QY37" s="115"/>
      <c r="QZ37" s="115"/>
      <c r="RA37" s="115"/>
      <c r="RB37" s="115"/>
      <c r="RC37" s="115"/>
      <c r="RD37" s="115"/>
      <c r="RE37" s="115"/>
      <c r="RF37" s="115"/>
      <c r="RG37" s="115"/>
      <c r="RH37" s="115"/>
      <c r="RI37" s="115"/>
      <c r="RJ37" s="115"/>
      <c r="RK37" s="115"/>
      <c r="RL37" s="115"/>
      <c r="RM37" s="115"/>
      <c r="RN37" s="115"/>
      <c r="RO37" s="115"/>
      <c r="RP37" s="115"/>
      <c r="RQ37" s="115"/>
      <c r="RR37" s="115"/>
      <c r="RS37" s="115"/>
      <c r="RT37" s="115"/>
      <c r="RU37" s="115"/>
      <c r="RV37" s="115"/>
      <c r="RW37" s="115"/>
      <c r="RX37" s="115"/>
      <c r="RY37" s="115"/>
      <c r="RZ37" s="115"/>
      <c r="SA37" s="115"/>
      <c r="SB37" s="115"/>
      <c r="SC37" s="115"/>
      <c r="SD37" s="115"/>
      <c r="SE37" s="115"/>
      <c r="SF37" s="115"/>
      <c r="SG37" s="115"/>
      <c r="SH37" s="115"/>
      <c r="SI37" s="115"/>
      <c r="SJ37" s="115"/>
      <c r="SK37" s="115"/>
      <c r="SL37" s="115"/>
      <c r="SM37" s="115"/>
      <c r="SN37" s="115"/>
      <c r="SO37" s="115"/>
      <c r="SP37" s="115"/>
      <c r="SQ37" s="115"/>
      <c r="SR37" s="115"/>
      <c r="SS37" s="115"/>
      <c r="ST37" s="115"/>
      <c r="SU37" s="115"/>
      <c r="SV37" s="115"/>
      <c r="SW37" s="115"/>
      <c r="SX37" s="115"/>
      <c r="SY37" s="115"/>
      <c r="SZ37" s="115"/>
      <c r="TA37" s="115"/>
      <c r="TB37" s="115"/>
      <c r="TC37" s="115"/>
      <c r="TD37" s="115"/>
      <c r="TE37" s="115"/>
      <c r="TF37" s="115"/>
      <c r="TG37" s="115"/>
      <c r="TH37" s="115"/>
      <c r="TI37" s="115"/>
      <c r="TJ37" s="115"/>
      <c r="TK37" s="115"/>
      <c r="TL37" s="115"/>
      <c r="TM37" s="115"/>
      <c r="TN37" s="115"/>
      <c r="TO37" s="115"/>
      <c r="TP37" s="115"/>
      <c r="TQ37" s="115"/>
      <c r="TR37" s="115"/>
      <c r="TS37" s="115"/>
      <c r="TT37" s="115"/>
      <c r="TU37" s="115"/>
      <c r="TV37" s="115"/>
      <c r="TW37" s="115"/>
      <c r="TX37" s="115"/>
      <c r="TY37" s="115"/>
      <c r="TZ37" s="115"/>
      <c r="UA37" s="115"/>
      <c r="UB37" s="115"/>
      <c r="UC37" s="115"/>
      <c r="UD37" s="115"/>
      <c r="UE37" s="115"/>
      <c r="UF37" s="115"/>
      <c r="UG37" s="115"/>
      <c r="UH37" s="115"/>
      <c r="UI37" s="115"/>
      <c r="UJ37" s="115"/>
      <c r="UK37" s="115"/>
      <c r="UL37" s="115"/>
      <c r="UM37" s="115"/>
      <c r="UN37" s="115"/>
      <c r="UO37" s="115"/>
      <c r="UP37" s="115"/>
      <c r="UQ37" s="115"/>
      <c r="UR37" s="115"/>
      <c r="US37" s="115"/>
      <c r="UT37" s="115"/>
      <c r="UU37" s="115"/>
      <c r="UV37" s="115"/>
      <c r="UW37" s="115"/>
      <c r="UX37" s="115"/>
      <c r="UY37" s="115"/>
      <c r="UZ37" s="115"/>
      <c r="VA37" s="115"/>
      <c r="VB37" s="115"/>
      <c r="VC37" s="115"/>
      <c r="VD37" s="115"/>
      <c r="VE37" s="115"/>
      <c r="VF37" s="115"/>
      <c r="VG37" s="115"/>
      <c r="VH37" s="115"/>
      <c r="VI37" s="115"/>
      <c r="VJ37" s="115"/>
      <c r="VK37" s="115"/>
      <c r="VL37" s="115"/>
      <c r="VM37" s="115"/>
      <c r="VN37" s="115"/>
      <c r="VO37" s="115"/>
      <c r="VP37" s="115"/>
      <c r="VQ37" s="115"/>
      <c r="VR37" s="115"/>
      <c r="VS37" s="115"/>
      <c r="VT37" s="115"/>
      <c r="VU37" s="115"/>
      <c r="VV37" s="115"/>
      <c r="VW37" s="115"/>
      <c r="VX37" s="115"/>
      <c r="VY37" s="115"/>
      <c r="VZ37" s="115"/>
      <c r="WA37" s="115"/>
      <c r="WB37" s="115"/>
      <c r="WC37" s="115"/>
      <c r="WD37" s="115"/>
      <c r="WE37" s="115"/>
      <c r="WF37" s="115"/>
      <c r="WG37" s="115"/>
      <c r="WH37" s="115"/>
      <c r="WI37" s="115"/>
      <c r="WJ37" s="115"/>
      <c r="WK37" s="115"/>
      <c r="WL37" s="115"/>
      <c r="WM37" s="115"/>
      <c r="WN37" s="115"/>
      <c r="WO37" s="115"/>
      <c r="WP37" s="115"/>
      <c r="WQ37" s="115"/>
      <c r="WR37" s="115"/>
      <c r="WS37" s="115"/>
      <c r="WT37" s="115"/>
      <c r="WU37" s="115"/>
      <c r="WV37" s="115"/>
      <c r="WW37" s="115"/>
      <c r="WX37" s="115"/>
      <c r="WY37" s="115"/>
      <c r="WZ37" s="115"/>
      <c r="XA37" s="115"/>
      <c r="XB37" s="115"/>
      <c r="XC37" s="115"/>
      <c r="XD37" s="115"/>
      <c r="XE37" s="115"/>
      <c r="XF37" s="115"/>
      <c r="XG37" s="115"/>
      <c r="XH37" s="115"/>
      <c r="XI37" s="115"/>
      <c r="XJ37" s="115"/>
      <c r="XK37" s="115"/>
      <c r="XL37" s="115"/>
      <c r="XM37" s="115"/>
      <c r="XN37" s="115"/>
      <c r="XO37" s="115"/>
      <c r="XP37" s="115"/>
      <c r="XQ37" s="115"/>
      <c r="XR37" s="115"/>
      <c r="XS37" s="115"/>
      <c r="XT37" s="115"/>
      <c r="XU37" s="115"/>
      <c r="XV37" s="115"/>
      <c r="XW37" s="115"/>
      <c r="XX37" s="115"/>
      <c r="XY37" s="115"/>
      <c r="XZ37" s="115"/>
      <c r="YA37" s="115"/>
      <c r="YB37" s="115"/>
      <c r="YC37" s="115"/>
      <c r="YD37" s="115"/>
      <c r="YE37" s="115"/>
      <c r="YF37" s="115"/>
      <c r="YG37" s="115"/>
      <c r="YH37" s="115"/>
      <c r="YI37" s="115"/>
      <c r="YJ37" s="115"/>
      <c r="YK37" s="115"/>
      <c r="YL37" s="115"/>
      <c r="YM37" s="115"/>
      <c r="YN37" s="115"/>
      <c r="YO37" s="115"/>
      <c r="YP37" s="115"/>
      <c r="YQ37" s="115"/>
      <c r="YX37" s="22">
        <v>0</v>
      </c>
      <c r="YY37" s="22">
        <f>VLOOKUP(B37,'SCAFFOLDING MATERIAL OVERALL'!B39:S221,18,FALSE)</f>
        <v>12.984999999999999</v>
      </c>
      <c r="YZ37" s="22">
        <f t="shared" si="0"/>
        <v>0</v>
      </c>
    </row>
    <row r="38" spans="1:676" s="22" customFormat="1" x14ac:dyDescent="0.25">
      <c r="A38" s="14">
        <v>34</v>
      </c>
      <c r="B38" s="46">
        <v>3000000345</v>
      </c>
      <c r="C38" s="45" t="s">
        <v>46</v>
      </c>
      <c r="D38" s="44" t="s">
        <v>12</v>
      </c>
      <c r="OZ38" s="115"/>
      <c r="PA38" s="115"/>
      <c r="PB38" s="115"/>
      <c r="PC38" s="115"/>
      <c r="PD38" s="115"/>
      <c r="PE38" s="115"/>
      <c r="PF38" s="115"/>
      <c r="PG38" s="115"/>
      <c r="PH38" s="115"/>
      <c r="PI38" s="115"/>
      <c r="PJ38" s="115"/>
      <c r="PK38" s="115"/>
      <c r="PL38" s="115"/>
      <c r="PM38" s="115"/>
      <c r="PN38" s="115"/>
      <c r="PO38" s="115"/>
      <c r="PP38" s="115"/>
      <c r="PQ38" s="115"/>
      <c r="PR38" s="115"/>
      <c r="PS38" s="115"/>
      <c r="PT38" s="115"/>
      <c r="PU38" s="115"/>
      <c r="PV38" s="115"/>
      <c r="PW38" s="115"/>
      <c r="PX38" s="115"/>
      <c r="PY38" s="115"/>
      <c r="PZ38" s="115"/>
      <c r="QA38" s="115"/>
      <c r="QB38" s="115"/>
      <c r="QC38" s="115"/>
      <c r="QD38" s="115"/>
      <c r="QE38" s="115"/>
      <c r="QF38" s="115"/>
      <c r="QG38" s="115"/>
      <c r="QH38" s="115"/>
      <c r="QI38" s="115"/>
      <c r="QJ38" s="115"/>
      <c r="QK38" s="115"/>
      <c r="QL38" s="115"/>
      <c r="QM38" s="115"/>
      <c r="QN38" s="115"/>
      <c r="QO38" s="115"/>
      <c r="QP38" s="115"/>
      <c r="QQ38" s="115"/>
      <c r="QR38" s="115"/>
      <c r="QS38" s="115"/>
      <c r="QT38" s="115"/>
      <c r="QU38" s="115"/>
      <c r="QV38" s="115"/>
      <c r="QW38" s="115"/>
      <c r="QX38" s="115"/>
      <c r="QY38" s="115"/>
      <c r="QZ38" s="115"/>
      <c r="RA38" s="115"/>
      <c r="RB38" s="115"/>
      <c r="RC38" s="115"/>
      <c r="RD38" s="115"/>
      <c r="RE38" s="115"/>
      <c r="RF38" s="115"/>
      <c r="RG38" s="115"/>
      <c r="RH38" s="115"/>
      <c r="RI38" s="115"/>
      <c r="RJ38" s="115"/>
      <c r="RK38" s="115"/>
      <c r="RL38" s="115"/>
      <c r="RM38" s="115"/>
      <c r="RN38" s="115"/>
      <c r="RO38" s="115"/>
      <c r="RP38" s="115"/>
      <c r="RQ38" s="115"/>
      <c r="RR38" s="115"/>
      <c r="RS38" s="115"/>
      <c r="RT38" s="115"/>
      <c r="RU38" s="115"/>
      <c r="RV38" s="115"/>
      <c r="RW38" s="115"/>
      <c r="RX38" s="115"/>
      <c r="RY38" s="115"/>
      <c r="RZ38" s="115"/>
      <c r="SA38" s="115"/>
      <c r="SB38" s="115"/>
      <c r="SC38" s="115"/>
      <c r="SD38" s="115"/>
      <c r="SE38" s="115"/>
      <c r="SF38" s="115"/>
      <c r="SG38" s="115"/>
      <c r="SH38" s="115"/>
      <c r="SI38" s="115"/>
      <c r="SJ38" s="115"/>
      <c r="SK38" s="115"/>
      <c r="SL38" s="115"/>
      <c r="SM38" s="115"/>
      <c r="SN38" s="115"/>
      <c r="SO38" s="115"/>
      <c r="SP38" s="115"/>
      <c r="SQ38" s="115"/>
      <c r="SR38" s="115"/>
      <c r="SS38" s="115"/>
      <c r="ST38" s="115"/>
      <c r="SU38" s="115"/>
      <c r="SV38" s="115"/>
      <c r="SW38" s="115"/>
      <c r="SX38" s="115"/>
      <c r="SY38" s="115"/>
      <c r="SZ38" s="115"/>
      <c r="TA38" s="115"/>
      <c r="TB38" s="115"/>
      <c r="TC38" s="115"/>
      <c r="TD38" s="115"/>
      <c r="TE38" s="115"/>
      <c r="TF38" s="115"/>
      <c r="TG38" s="115"/>
      <c r="TH38" s="115"/>
      <c r="TI38" s="115"/>
      <c r="TJ38" s="115"/>
      <c r="TK38" s="115"/>
      <c r="TL38" s="115"/>
      <c r="TM38" s="115"/>
      <c r="TN38" s="115"/>
      <c r="TO38" s="115"/>
      <c r="TP38" s="115"/>
      <c r="TQ38" s="115"/>
      <c r="TR38" s="115"/>
      <c r="TS38" s="115"/>
      <c r="TT38" s="115"/>
      <c r="TU38" s="115"/>
      <c r="TV38" s="115"/>
      <c r="TW38" s="115"/>
      <c r="TX38" s="115"/>
      <c r="TY38" s="115"/>
      <c r="TZ38" s="115"/>
      <c r="UA38" s="115"/>
      <c r="UB38" s="115"/>
      <c r="UC38" s="115"/>
      <c r="UD38" s="115"/>
      <c r="UE38" s="115"/>
      <c r="UF38" s="115"/>
      <c r="UG38" s="115"/>
      <c r="UH38" s="115"/>
      <c r="UI38" s="115"/>
      <c r="UJ38" s="115"/>
      <c r="UK38" s="115"/>
      <c r="UL38" s="115"/>
      <c r="UM38" s="115"/>
      <c r="UN38" s="115"/>
      <c r="UO38" s="115"/>
      <c r="UP38" s="115"/>
      <c r="UQ38" s="115"/>
      <c r="UR38" s="115"/>
      <c r="US38" s="115"/>
      <c r="UT38" s="115"/>
      <c r="UU38" s="115"/>
      <c r="UV38" s="115"/>
      <c r="UW38" s="115"/>
      <c r="UX38" s="115"/>
      <c r="UY38" s="115"/>
      <c r="UZ38" s="115"/>
      <c r="VA38" s="115"/>
      <c r="VB38" s="115"/>
      <c r="VC38" s="115"/>
      <c r="VD38" s="115"/>
      <c r="VE38" s="115"/>
      <c r="VF38" s="115"/>
      <c r="VG38" s="115"/>
      <c r="VH38" s="115"/>
      <c r="VI38" s="115"/>
      <c r="VJ38" s="115"/>
      <c r="VK38" s="115"/>
      <c r="VL38" s="115"/>
      <c r="VM38" s="115"/>
      <c r="VN38" s="115"/>
      <c r="VO38" s="115"/>
      <c r="VP38" s="115"/>
      <c r="VQ38" s="115"/>
      <c r="VR38" s="115"/>
      <c r="VS38" s="115"/>
      <c r="VT38" s="115"/>
      <c r="VU38" s="115"/>
      <c r="VV38" s="115"/>
      <c r="VW38" s="115"/>
      <c r="VX38" s="115"/>
      <c r="VY38" s="115"/>
      <c r="VZ38" s="115"/>
      <c r="WA38" s="115"/>
      <c r="WB38" s="115"/>
      <c r="WC38" s="115"/>
      <c r="WD38" s="115"/>
      <c r="WE38" s="115"/>
      <c r="WF38" s="115"/>
      <c r="WG38" s="115"/>
      <c r="WH38" s="115"/>
      <c r="WI38" s="115"/>
      <c r="WJ38" s="115"/>
      <c r="WK38" s="115"/>
      <c r="WL38" s="115"/>
      <c r="WM38" s="115"/>
      <c r="WN38" s="115"/>
      <c r="WO38" s="115"/>
      <c r="WP38" s="115"/>
      <c r="WQ38" s="115"/>
      <c r="WR38" s="115"/>
      <c r="WS38" s="115"/>
      <c r="WT38" s="115"/>
      <c r="WU38" s="115"/>
      <c r="WV38" s="115"/>
      <c r="WW38" s="115"/>
      <c r="WX38" s="115"/>
      <c r="WY38" s="115"/>
      <c r="WZ38" s="115"/>
      <c r="XA38" s="115"/>
      <c r="XB38" s="115"/>
      <c r="XC38" s="115"/>
      <c r="XD38" s="115"/>
      <c r="XE38" s="115"/>
      <c r="XF38" s="115"/>
      <c r="XG38" s="115"/>
      <c r="XH38" s="115"/>
      <c r="XI38" s="115"/>
      <c r="XJ38" s="115"/>
      <c r="XK38" s="115"/>
      <c r="XL38" s="115"/>
      <c r="XM38" s="115"/>
      <c r="XN38" s="115"/>
      <c r="XO38" s="115"/>
      <c r="XP38" s="115"/>
      <c r="XQ38" s="115"/>
      <c r="XR38" s="115"/>
      <c r="XS38" s="115"/>
      <c r="XT38" s="115"/>
      <c r="XU38" s="115"/>
      <c r="XV38" s="115"/>
      <c r="XW38" s="115"/>
      <c r="XX38" s="115"/>
      <c r="XY38" s="115"/>
      <c r="XZ38" s="115"/>
      <c r="YA38" s="115"/>
      <c r="YB38" s="115"/>
      <c r="YC38" s="115"/>
      <c r="YD38" s="115"/>
      <c r="YE38" s="115"/>
      <c r="YF38" s="115"/>
      <c r="YG38" s="115"/>
      <c r="YH38" s="115"/>
      <c r="YI38" s="115"/>
      <c r="YJ38" s="115"/>
      <c r="YK38" s="115"/>
      <c r="YL38" s="115"/>
      <c r="YM38" s="115"/>
      <c r="YN38" s="115"/>
      <c r="YO38" s="115"/>
      <c r="YP38" s="115"/>
      <c r="YQ38" s="115"/>
      <c r="YX38" s="22">
        <v>0</v>
      </c>
      <c r="YY38" s="22">
        <f>VLOOKUP(B38,'SCAFFOLDING MATERIAL OVERALL'!B40:S222,18,FALSE)</f>
        <v>15.37</v>
      </c>
      <c r="YZ38" s="22">
        <f t="shared" si="0"/>
        <v>0</v>
      </c>
    </row>
    <row r="39" spans="1:676" s="22" customFormat="1" x14ac:dyDescent="0.25">
      <c r="A39" s="17">
        <v>35</v>
      </c>
      <c r="B39" s="46">
        <v>3000000346</v>
      </c>
      <c r="C39" s="45" t="s">
        <v>47</v>
      </c>
      <c r="D39" s="44" t="s">
        <v>12</v>
      </c>
      <c r="OZ39" s="115"/>
      <c r="PA39" s="115"/>
      <c r="PB39" s="115"/>
      <c r="PC39" s="115"/>
      <c r="PD39" s="115"/>
      <c r="PE39" s="115"/>
      <c r="PF39" s="115"/>
      <c r="PG39" s="115"/>
      <c r="PH39" s="115"/>
      <c r="PI39" s="115"/>
      <c r="PJ39" s="115"/>
      <c r="PK39" s="115"/>
      <c r="PL39" s="115"/>
      <c r="PM39" s="115"/>
      <c r="PN39" s="115"/>
      <c r="PO39" s="115"/>
      <c r="PP39" s="115"/>
      <c r="PQ39" s="115"/>
      <c r="PR39" s="115"/>
      <c r="PS39" s="115"/>
      <c r="PT39" s="115"/>
      <c r="PU39" s="115"/>
      <c r="PV39" s="115"/>
      <c r="PW39" s="115"/>
      <c r="PX39" s="115"/>
      <c r="PY39" s="115"/>
      <c r="PZ39" s="115"/>
      <c r="QA39" s="115"/>
      <c r="QB39" s="115"/>
      <c r="QC39" s="115"/>
      <c r="QD39" s="115"/>
      <c r="QE39" s="115"/>
      <c r="QF39" s="115"/>
      <c r="QG39" s="115"/>
      <c r="QH39" s="115"/>
      <c r="QI39" s="115"/>
      <c r="QJ39" s="115"/>
      <c r="QK39" s="115"/>
      <c r="QL39" s="115"/>
      <c r="QM39" s="115"/>
      <c r="QN39" s="115"/>
      <c r="QO39" s="115"/>
      <c r="QP39" s="115"/>
      <c r="QQ39" s="115"/>
      <c r="QR39" s="115"/>
      <c r="QS39" s="115"/>
      <c r="QT39" s="115"/>
      <c r="QU39" s="115"/>
      <c r="QV39" s="115"/>
      <c r="QW39" s="115"/>
      <c r="QX39" s="115"/>
      <c r="QY39" s="115"/>
      <c r="QZ39" s="115"/>
      <c r="RA39" s="115"/>
      <c r="RB39" s="115"/>
      <c r="RC39" s="115"/>
      <c r="RD39" s="115"/>
      <c r="RE39" s="115"/>
      <c r="RF39" s="115"/>
      <c r="RG39" s="115"/>
      <c r="RH39" s="115"/>
      <c r="RI39" s="115"/>
      <c r="RJ39" s="115"/>
      <c r="RK39" s="115"/>
      <c r="RL39" s="115"/>
      <c r="RM39" s="115"/>
      <c r="RN39" s="115"/>
      <c r="RO39" s="115"/>
      <c r="RP39" s="115"/>
      <c r="RQ39" s="115"/>
      <c r="RR39" s="115"/>
      <c r="RS39" s="115"/>
      <c r="RT39" s="115"/>
      <c r="RU39" s="115"/>
      <c r="RV39" s="115"/>
      <c r="RW39" s="115"/>
      <c r="RX39" s="115"/>
      <c r="RY39" s="115"/>
      <c r="RZ39" s="115"/>
      <c r="SA39" s="115"/>
      <c r="SB39" s="115"/>
      <c r="SC39" s="115"/>
      <c r="SD39" s="115"/>
      <c r="SE39" s="115"/>
      <c r="SF39" s="115"/>
      <c r="SG39" s="115"/>
      <c r="SH39" s="115"/>
      <c r="SI39" s="115"/>
      <c r="SJ39" s="115"/>
      <c r="SK39" s="115"/>
      <c r="SL39" s="115"/>
      <c r="SM39" s="115"/>
      <c r="SN39" s="115"/>
      <c r="SO39" s="115"/>
      <c r="SP39" s="115"/>
      <c r="SQ39" s="115"/>
      <c r="SR39" s="115"/>
      <c r="SS39" s="115"/>
      <c r="ST39" s="115"/>
      <c r="SU39" s="115"/>
      <c r="SV39" s="115"/>
      <c r="SW39" s="115"/>
      <c r="SX39" s="115"/>
      <c r="SY39" s="115"/>
      <c r="SZ39" s="115"/>
      <c r="TA39" s="115"/>
      <c r="TB39" s="115"/>
      <c r="TC39" s="115"/>
      <c r="TD39" s="115"/>
      <c r="TE39" s="115"/>
      <c r="TF39" s="115"/>
      <c r="TG39" s="115"/>
      <c r="TH39" s="115"/>
      <c r="TI39" s="115"/>
      <c r="TJ39" s="115"/>
      <c r="TK39" s="115"/>
      <c r="TL39" s="115"/>
      <c r="TM39" s="115"/>
      <c r="TN39" s="115"/>
      <c r="TO39" s="115"/>
      <c r="TP39" s="115"/>
      <c r="TQ39" s="115"/>
      <c r="TR39" s="115"/>
      <c r="TS39" s="115"/>
      <c r="TT39" s="115"/>
      <c r="TU39" s="115"/>
      <c r="TV39" s="115"/>
      <c r="TW39" s="115"/>
      <c r="TX39" s="115"/>
      <c r="TY39" s="115"/>
      <c r="TZ39" s="115"/>
      <c r="UA39" s="115"/>
      <c r="UB39" s="115"/>
      <c r="UC39" s="115"/>
      <c r="UD39" s="115"/>
      <c r="UE39" s="115"/>
      <c r="UF39" s="115"/>
      <c r="UG39" s="115"/>
      <c r="UH39" s="115"/>
      <c r="UI39" s="115"/>
      <c r="UJ39" s="115"/>
      <c r="UK39" s="115"/>
      <c r="UL39" s="115"/>
      <c r="UM39" s="115"/>
      <c r="UN39" s="115"/>
      <c r="UO39" s="115"/>
      <c r="UP39" s="115"/>
      <c r="UQ39" s="115"/>
      <c r="UR39" s="115"/>
      <c r="US39" s="115"/>
      <c r="UT39" s="115"/>
      <c r="UU39" s="115"/>
      <c r="UV39" s="115"/>
      <c r="UW39" s="115"/>
      <c r="UX39" s="115"/>
      <c r="UY39" s="115"/>
      <c r="UZ39" s="115"/>
      <c r="VA39" s="115"/>
      <c r="VB39" s="115"/>
      <c r="VC39" s="115"/>
      <c r="VD39" s="115"/>
      <c r="VE39" s="115"/>
      <c r="VF39" s="115"/>
      <c r="VG39" s="115"/>
      <c r="VH39" s="115"/>
      <c r="VI39" s="115"/>
      <c r="VJ39" s="115"/>
      <c r="VK39" s="115"/>
      <c r="VL39" s="115"/>
      <c r="VM39" s="115"/>
      <c r="VN39" s="115"/>
      <c r="VO39" s="115"/>
      <c r="VP39" s="115"/>
      <c r="VQ39" s="115"/>
      <c r="VR39" s="115"/>
      <c r="VS39" s="115"/>
      <c r="VT39" s="115"/>
      <c r="VU39" s="115"/>
      <c r="VV39" s="115"/>
      <c r="VW39" s="115"/>
      <c r="VX39" s="115"/>
      <c r="VY39" s="115"/>
      <c r="VZ39" s="115"/>
      <c r="WA39" s="115"/>
      <c r="WB39" s="115"/>
      <c r="WC39" s="115"/>
      <c r="WD39" s="115"/>
      <c r="WE39" s="115"/>
      <c r="WF39" s="115"/>
      <c r="WG39" s="115"/>
      <c r="WH39" s="115"/>
      <c r="WI39" s="115"/>
      <c r="WJ39" s="115"/>
      <c r="WK39" s="115"/>
      <c r="WL39" s="115"/>
      <c r="WM39" s="115"/>
      <c r="WN39" s="115"/>
      <c r="WO39" s="115"/>
      <c r="WP39" s="115"/>
      <c r="WQ39" s="115"/>
      <c r="WR39" s="115"/>
      <c r="WS39" s="115"/>
      <c r="WT39" s="115"/>
      <c r="WU39" s="115"/>
      <c r="WV39" s="115"/>
      <c r="WW39" s="115"/>
      <c r="WX39" s="115"/>
      <c r="WY39" s="115"/>
      <c r="WZ39" s="115"/>
      <c r="XA39" s="115"/>
      <c r="XB39" s="115"/>
      <c r="XC39" s="115"/>
      <c r="XD39" s="115"/>
      <c r="XE39" s="115"/>
      <c r="XF39" s="115"/>
      <c r="XG39" s="115"/>
      <c r="XH39" s="115"/>
      <c r="XI39" s="115"/>
      <c r="XJ39" s="115"/>
      <c r="XK39" s="115"/>
      <c r="XL39" s="115"/>
      <c r="XM39" s="115"/>
      <c r="XN39" s="115"/>
      <c r="XO39" s="115"/>
      <c r="XP39" s="115"/>
      <c r="XQ39" s="115"/>
      <c r="XR39" s="115"/>
      <c r="XS39" s="115"/>
      <c r="XT39" s="115"/>
      <c r="XU39" s="115"/>
      <c r="XV39" s="115"/>
      <c r="XW39" s="115"/>
      <c r="XX39" s="115"/>
      <c r="XY39" s="115"/>
      <c r="XZ39" s="115"/>
      <c r="YA39" s="115"/>
      <c r="YB39" s="115"/>
      <c r="YC39" s="115"/>
      <c r="YD39" s="115"/>
      <c r="YE39" s="115"/>
      <c r="YF39" s="115"/>
      <c r="YG39" s="115"/>
      <c r="YH39" s="115"/>
      <c r="YI39" s="115"/>
      <c r="YJ39" s="115"/>
      <c r="YK39" s="115"/>
      <c r="YL39" s="115"/>
      <c r="YM39" s="115"/>
      <c r="YN39" s="115"/>
      <c r="YO39" s="115"/>
      <c r="YP39" s="115"/>
      <c r="YQ39" s="115"/>
      <c r="YX39" s="22">
        <v>0</v>
      </c>
      <c r="YY39" s="22">
        <f>VLOOKUP(B39,'SCAFFOLDING MATERIAL OVERALL'!B41:S223,18,FALSE)</f>
        <v>20.67</v>
      </c>
      <c r="YZ39" s="22">
        <f t="shared" si="0"/>
        <v>0</v>
      </c>
    </row>
    <row r="40" spans="1:676" s="22" customFormat="1" x14ac:dyDescent="0.25">
      <c r="A40" s="14">
        <v>36</v>
      </c>
      <c r="B40" s="46">
        <v>3000000347</v>
      </c>
      <c r="C40" s="45" t="s">
        <v>48</v>
      </c>
      <c r="D40" s="44" t="s">
        <v>12</v>
      </c>
      <c r="OZ40" s="115"/>
      <c r="PA40" s="115"/>
      <c r="PB40" s="115"/>
      <c r="PC40" s="115"/>
      <c r="PD40" s="115"/>
      <c r="PE40" s="115"/>
      <c r="PF40" s="115"/>
      <c r="PG40" s="115"/>
      <c r="PH40" s="115"/>
      <c r="PI40" s="115"/>
      <c r="PJ40" s="115"/>
      <c r="PK40" s="115"/>
      <c r="PL40" s="115"/>
      <c r="PM40" s="115"/>
      <c r="PN40" s="115"/>
      <c r="PO40" s="115"/>
      <c r="PP40" s="115"/>
      <c r="PQ40" s="115"/>
      <c r="PR40" s="115"/>
      <c r="PS40" s="115"/>
      <c r="PT40" s="115"/>
      <c r="PU40" s="115"/>
      <c r="PV40" s="115"/>
      <c r="PW40" s="115"/>
      <c r="PX40" s="115"/>
      <c r="PY40" s="115"/>
      <c r="PZ40" s="115"/>
      <c r="QA40" s="115"/>
      <c r="QB40" s="115"/>
      <c r="QC40" s="115"/>
      <c r="QD40" s="115"/>
      <c r="QE40" s="115"/>
      <c r="QF40" s="115"/>
      <c r="QG40" s="115"/>
      <c r="QH40" s="115"/>
      <c r="QI40" s="115"/>
      <c r="QJ40" s="115"/>
      <c r="QK40" s="115"/>
      <c r="QL40" s="115"/>
      <c r="QM40" s="115"/>
      <c r="QN40" s="115"/>
      <c r="QO40" s="115"/>
      <c r="QP40" s="115"/>
      <c r="QQ40" s="115"/>
      <c r="QR40" s="115"/>
      <c r="QS40" s="115"/>
      <c r="QT40" s="115"/>
      <c r="QU40" s="115"/>
      <c r="QV40" s="115"/>
      <c r="QW40" s="115"/>
      <c r="QX40" s="115"/>
      <c r="QY40" s="115"/>
      <c r="QZ40" s="115"/>
      <c r="RA40" s="115"/>
      <c r="RB40" s="115"/>
      <c r="RC40" s="115"/>
      <c r="RD40" s="115"/>
      <c r="RE40" s="115"/>
      <c r="RF40" s="115"/>
      <c r="RG40" s="115"/>
      <c r="RH40" s="115"/>
      <c r="RI40" s="115"/>
      <c r="RJ40" s="115"/>
      <c r="RK40" s="115"/>
      <c r="RL40" s="115"/>
      <c r="RM40" s="115"/>
      <c r="RN40" s="115"/>
      <c r="RO40" s="115"/>
      <c r="RP40" s="115"/>
      <c r="RQ40" s="115"/>
      <c r="RR40" s="115"/>
      <c r="RS40" s="115"/>
      <c r="RT40" s="115"/>
      <c r="RU40" s="115"/>
      <c r="RV40" s="115"/>
      <c r="RW40" s="115"/>
      <c r="RX40" s="115"/>
      <c r="RY40" s="115"/>
      <c r="RZ40" s="115"/>
      <c r="SA40" s="115"/>
      <c r="SB40" s="115"/>
      <c r="SC40" s="115"/>
      <c r="SD40" s="115"/>
      <c r="SE40" s="115"/>
      <c r="SF40" s="115"/>
      <c r="SG40" s="115"/>
      <c r="SH40" s="115"/>
      <c r="SI40" s="115"/>
      <c r="SJ40" s="115"/>
      <c r="SK40" s="115"/>
      <c r="SL40" s="115"/>
      <c r="SM40" s="115"/>
      <c r="SN40" s="115"/>
      <c r="SO40" s="115"/>
      <c r="SP40" s="115"/>
      <c r="SQ40" s="115"/>
      <c r="SR40" s="115"/>
      <c r="SS40" s="115"/>
      <c r="ST40" s="115"/>
      <c r="SU40" s="115"/>
      <c r="SV40" s="115"/>
      <c r="SW40" s="115"/>
      <c r="SX40" s="115"/>
      <c r="SY40" s="115"/>
      <c r="SZ40" s="115"/>
      <c r="TA40" s="115"/>
      <c r="TB40" s="115"/>
      <c r="TC40" s="115"/>
      <c r="TD40" s="115"/>
      <c r="TE40" s="115"/>
      <c r="TF40" s="115"/>
      <c r="TG40" s="115"/>
      <c r="TH40" s="115"/>
      <c r="TI40" s="115"/>
      <c r="TJ40" s="115"/>
      <c r="TK40" s="115"/>
      <c r="TL40" s="115"/>
      <c r="TM40" s="115"/>
      <c r="TN40" s="115"/>
      <c r="TO40" s="115"/>
      <c r="TP40" s="115"/>
      <c r="TQ40" s="115"/>
      <c r="TR40" s="115"/>
      <c r="TS40" s="115"/>
      <c r="TT40" s="115"/>
      <c r="TU40" s="115"/>
      <c r="TV40" s="115"/>
      <c r="TW40" s="115"/>
      <c r="TX40" s="115"/>
      <c r="TY40" s="115"/>
      <c r="TZ40" s="115"/>
      <c r="UA40" s="115"/>
      <c r="UB40" s="115"/>
      <c r="UC40" s="115"/>
      <c r="UD40" s="115"/>
      <c r="UE40" s="115"/>
      <c r="UF40" s="115"/>
      <c r="UG40" s="115"/>
      <c r="UH40" s="115"/>
      <c r="UI40" s="115"/>
      <c r="UJ40" s="115"/>
      <c r="UK40" s="115"/>
      <c r="UL40" s="115"/>
      <c r="UM40" s="115"/>
      <c r="UN40" s="115"/>
      <c r="UO40" s="115"/>
      <c r="UP40" s="115"/>
      <c r="UQ40" s="115"/>
      <c r="UR40" s="115"/>
      <c r="US40" s="115"/>
      <c r="UT40" s="115"/>
      <c r="UU40" s="115"/>
      <c r="UV40" s="115"/>
      <c r="UW40" s="115"/>
      <c r="UX40" s="115"/>
      <c r="UY40" s="115"/>
      <c r="UZ40" s="115"/>
      <c r="VA40" s="115"/>
      <c r="VB40" s="115"/>
      <c r="VC40" s="115"/>
      <c r="VD40" s="115"/>
      <c r="VE40" s="115"/>
      <c r="VF40" s="115"/>
      <c r="VG40" s="115"/>
      <c r="VH40" s="115"/>
      <c r="VI40" s="115"/>
      <c r="VJ40" s="115"/>
      <c r="VK40" s="115"/>
      <c r="VL40" s="115"/>
      <c r="VM40" s="115"/>
      <c r="VN40" s="115"/>
      <c r="VO40" s="115"/>
      <c r="VP40" s="115"/>
      <c r="VQ40" s="115"/>
      <c r="VR40" s="115"/>
      <c r="VS40" s="115"/>
      <c r="VT40" s="115"/>
      <c r="VU40" s="115"/>
      <c r="VV40" s="115"/>
      <c r="VW40" s="115"/>
      <c r="VX40" s="115"/>
      <c r="VY40" s="115"/>
      <c r="VZ40" s="115"/>
      <c r="WA40" s="115"/>
      <c r="WB40" s="115"/>
      <c r="WC40" s="115"/>
      <c r="WD40" s="115"/>
      <c r="WE40" s="115"/>
      <c r="WF40" s="115"/>
      <c r="WG40" s="115"/>
      <c r="WH40" s="115"/>
      <c r="WI40" s="115"/>
      <c r="WJ40" s="115"/>
      <c r="WK40" s="115"/>
      <c r="WL40" s="115"/>
      <c r="WM40" s="115"/>
      <c r="WN40" s="115"/>
      <c r="WO40" s="115"/>
      <c r="WP40" s="115"/>
      <c r="WQ40" s="115"/>
      <c r="WR40" s="115"/>
      <c r="WS40" s="115"/>
      <c r="WT40" s="115"/>
      <c r="WU40" s="115"/>
      <c r="WV40" s="115"/>
      <c r="WW40" s="115"/>
      <c r="WX40" s="115"/>
      <c r="WY40" s="115"/>
      <c r="WZ40" s="115"/>
      <c r="XA40" s="115"/>
      <c r="XB40" s="115"/>
      <c r="XC40" s="115"/>
      <c r="XD40" s="115"/>
      <c r="XE40" s="115"/>
      <c r="XF40" s="115"/>
      <c r="XG40" s="115"/>
      <c r="XH40" s="115"/>
      <c r="XI40" s="115"/>
      <c r="XJ40" s="115"/>
      <c r="XK40" s="115"/>
      <c r="XL40" s="115"/>
      <c r="XM40" s="115"/>
      <c r="XN40" s="115"/>
      <c r="XO40" s="115"/>
      <c r="XP40" s="115"/>
      <c r="XQ40" s="115"/>
      <c r="XR40" s="115"/>
      <c r="XS40" s="115"/>
      <c r="XT40" s="115"/>
      <c r="XU40" s="115"/>
      <c r="XV40" s="115"/>
      <c r="XW40" s="115"/>
      <c r="XX40" s="115"/>
      <c r="XY40" s="115"/>
      <c r="XZ40" s="115"/>
      <c r="YA40" s="115"/>
      <c r="YB40" s="115"/>
      <c r="YC40" s="115"/>
      <c r="YD40" s="115"/>
      <c r="YE40" s="115"/>
      <c r="YF40" s="115"/>
      <c r="YG40" s="115"/>
      <c r="YH40" s="115"/>
      <c r="YI40" s="115"/>
      <c r="YJ40" s="115"/>
      <c r="YK40" s="115"/>
      <c r="YL40" s="115"/>
      <c r="YM40" s="115"/>
      <c r="YN40" s="115"/>
      <c r="YO40" s="115"/>
      <c r="YP40" s="115"/>
      <c r="YQ40" s="115"/>
      <c r="YX40" s="22">
        <v>0</v>
      </c>
      <c r="YY40" s="22">
        <f>VLOOKUP(B40,'SCAFFOLDING MATERIAL OVERALL'!B42:S224,18,FALSE)</f>
        <v>23.85</v>
      </c>
      <c r="YZ40" s="22">
        <f t="shared" si="0"/>
        <v>0</v>
      </c>
    </row>
    <row r="41" spans="1:676" s="22" customFormat="1" x14ac:dyDescent="0.25">
      <c r="A41" s="14">
        <v>37</v>
      </c>
      <c r="B41" s="18">
        <v>3000000348</v>
      </c>
      <c r="C41" s="19" t="s">
        <v>49</v>
      </c>
      <c r="D41" s="44" t="s">
        <v>12</v>
      </c>
      <c r="OZ41" s="115"/>
      <c r="PA41" s="115"/>
      <c r="PB41" s="115"/>
      <c r="PC41" s="115"/>
      <c r="PD41" s="115"/>
      <c r="PE41" s="115"/>
      <c r="PF41" s="115"/>
      <c r="PG41" s="115"/>
      <c r="PH41" s="115"/>
      <c r="PI41" s="115"/>
      <c r="PJ41" s="115"/>
      <c r="PK41" s="115"/>
      <c r="PL41" s="115"/>
      <c r="PM41" s="115"/>
      <c r="PN41" s="115"/>
      <c r="PO41" s="115"/>
      <c r="PP41" s="115"/>
      <c r="PQ41" s="115"/>
      <c r="PR41" s="115"/>
      <c r="PS41" s="115"/>
      <c r="PT41" s="115"/>
      <c r="PU41" s="115"/>
      <c r="PV41" s="115"/>
      <c r="PW41" s="115"/>
      <c r="PX41" s="115"/>
      <c r="PY41" s="115"/>
      <c r="PZ41" s="115"/>
      <c r="QA41" s="115"/>
      <c r="QB41" s="115"/>
      <c r="QC41" s="115"/>
      <c r="QD41" s="115"/>
      <c r="QE41" s="115"/>
      <c r="QF41" s="115"/>
      <c r="QG41" s="115"/>
      <c r="QH41" s="115"/>
      <c r="QI41" s="115"/>
      <c r="QJ41" s="115"/>
      <c r="QK41" s="115"/>
      <c r="QL41" s="115"/>
      <c r="QM41" s="115"/>
      <c r="QN41" s="115"/>
      <c r="QO41" s="115"/>
      <c r="QP41" s="115"/>
      <c r="QQ41" s="115"/>
      <c r="QR41" s="115"/>
      <c r="QS41" s="115"/>
      <c r="QT41" s="115"/>
      <c r="QU41" s="115"/>
      <c r="QV41" s="115"/>
      <c r="QW41" s="115"/>
      <c r="QX41" s="115"/>
      <c r="QY41" s="115"/>
      <c r="QZ41" s="115"/>
      <c r="RA41" s="115"/>
      <c r="RB41" s="115"/>
      <c r="RC41" s="115"/>
      <c r="RD41" s="115"/>
      <c r="RE41" s="115"/>
      <c r="RF41" s="115"/>
      <c r="RG41" s="115"/>
      <c r="RH41" s="115"/>
      <c r="RI41" s="115"/>
      <c r="RJ41" s="115"/>
      <c r="RK41" s="115"/>
      <c r="RL41" s="115"/>
      <c r="RM41" s="115"/>
      <c r="RN41" s="115"/>
      <c r="RO41" s="115"/>
      <c r="RP41" s="115"/>
      <c r="RQ41" s="115"/>
      <c r="RR41" s="115"/>
      <c r="RS41" s="115"/>
      <c r="RT41" s="115"/>
      <c r="RU41" s="115"/>
      <c r="RV41" s="115"/>
      <c r="RW41" s="115"/>
      <c r="RX41" s="115"/>
      <c r="RY41" s="115"/>
      <c r="RZ41" s="115"/>
      <c r="SA41" s="115"/>
      <c r="SB41" s="115"/>
      <c r="SC41" s="115"/>
      <c r="SD41" s="115"/>
      <c r="SE41" s="115"/>
      <c r="SF41" s="115"/>
      <c r="SG41" s="115"/>
      <c r="SH41" s="115"/>
      <c r="SI41" s="115"/>
      <c r="SJ41" s="115"/>
      <c r="SK41" s="115"/>
      <c r="SL41" s="115"/>
      <c r="SM41" s="115"/>
      <c r="SN41" s="115"/>
      <c r="SO41" s="115"/>
      <c r="SP41" s="115"/>
      <c r="SQ41" s="115"/>
      <c r="SR41" s="115"/>
      <c r="SS41" s="115"/>
      <c r="ST41" s="115"/>
      <c r="SU41" s="115"/>
      <c r="SV41" s="115"/>
      <c r="SW41" s="115"/>
      <c r="SX41" s="115"/>
      <c r="SY41" s="115"/>
      <c r="SZ41" s="115"/>
      <c r="TA41" s="115"/>
      <c r="TB41" s="115"/>
      <c r="TC41" s="115"/>
      <c r="TD41" s="115"/>
      <c r="TE41" s="115"/>
      <c r="TF41" s="115"/>
      <c r="TG41" s="115"/>
      <c r="TH41" s="115"/>
      <c r="TI41" s="115"/>
      <c r="TJ41" s="115"/>
      <c r="TK41" s="115"/>
      <c r="TL41" s="115"/>
      <c r="TM41" s="115"/>
      <c r="TN41" s="115"/>
      <c r="TO41" s="115"/>
      <c r="TP41" s="115"/>
      <c r="TQ41" s="115"/>
      <c r="TR41" s="115"/>
      <c r="TS41" s="115"/>
      <c r="TT41" s="115"/>
      <c r="TU41" s="115"/>
      <c r="TV41" s="115"/>
      <c r="TW41" s="115"/>
      <c r="TX41" s="115"/>
      <c r="TY41" s="115"/>
      <c r="TZ41" s="115"/>
      <c r="UA41" s="115"/>
      <c r="UB41" s="115"/>
      <c r="UC41" s="115"/>
      <c r="UD41" s="115"/>
      <c r="UE41" s="115"/>
      <c r="UF41" s="115"/>
      <c r="UG41" s="115"/>
      <c r="UH41" s="115"/>
      <c r="UI41" s="115"/>
      <c r="UJ41" s="115"/>
      <c r="UK41" s="115"/>
      <c r="UL41" s="115"/>
      <c r="UM41" s="115"/>
      <c r="UN41" s="115"/>
      <c r="UO41" s="115"/>
      <c r="UP41" s="115"/>
      <c r="UQ41" s="115"/>
      <c r="UR41" s="115"/>
      <c r="US41" s="115"/>
      <c r="UT41" s="115"/>
      <c r="UU41" s="115"/>
      <c r="UV41" s="115"/>
      <c r="UW41" s="115"/>
      <c r="UX41" s="115"/>
      <c r="UY41" s="115"/>
      <c r="UZ41" s="115"/>
      <c r="VA41" s="115"/>
      <c r="VB41" s="115"/>
      <c r="VC41" s="115"/>
      <c r="VD41" s="115"/>
      <c r="VE41" s="115"/>
      <c r="VF41" s="115"/>
      <c r="VG41" s="115"/>
      <c r="VH41" s="115"/>
      <c r="VI41" s="115"/>
      <c r="VJ41" s="115"/>
      <c r="VK41" s="115"/>
      <c r="VL41" s="115"/>
      <c r="VM41" s="115"/>
      <c r="VN41" s="115"/>
      <c r="VO41" s="115"/>
      <c r="VP41" s="115"/>
      <c r="VQ41" s="115"/>
      <c r="VR41" s="115"/>
      <c r="VS41" s="115"/>
      <c r="VT41" s="115"/>
      <c r="VU41" s="115"/>
      <c r="VV41" s="115"/>
      <c r="VW41" s="115"/>
      <c r="VX41" s="115"/>
      <c r="VY41" s="115"/>
      <c r="VZ41" s="115"/>
      <c r="WA41" s="115"/>
      <c r="WB41" s="115"/>
      <c r="WC41" s="115"/>
      <c r="WD41" s="115"/>
      <c r="WE41" s="115"/>
      <c r="WF41" s="115"/>
      <c r="WG41" s="115"/>
      <c r="WH41" s="115"/>
      <c r="WI41" s="115"/>
      <c r="WJ41" s="115"/>
      <c r="WK41" s="115"/>
      <c r="WL41" s="115"/>
      <c r="WM41" s="115"/>
      <c r="WN41" s="115"/>
      <c r="WO41" s="115"/>
      <c r="WP41" s="115"/>
      <c r="WQ41" s="115"/>
      <c r="WR41" s="115"/>
      <c r="WS41" s="115"/>
      <c r="WT41" s="115"/>
      <c r="WU41" s="115"/>
      <c r="WV41" s="115"/>
      <c r="WW41" s="115"/>
      <c r="WX41" s="115"/>
      <c r="WY41" s="115"/>
      <c r="WZ41" s="115"/>
      <c r="XA41" s="115"/>
      <c r="XB41" s="115"/>
      <c r="XC41" s="115"/>
      <c r="XD41" s="115"/>
      <c r="XE41" s="115"/>
      <c r="XF41" s="115"/>
      <c r="XG41" s="115"/>
      <c r="XH41" s="115"/>
      <c r="XI41" s="115"/>
      <c r="XJ41" s="115"/>
      <c r="XK41" s="115"/>
      <c r="XL41" s="115"/>
      <c r="XM41" s="115"/>
      <c r="XN41" s="115"/>
      <c r="XO41" s="115"/>
      <c r="XP41" s="115"/>
      <c r="XQ41" s="115"/>
      <c r="XR41" s="115"/>
      <c r="XS41" s="115"/>
      <c r="XT41" s="115"/>
      <c r="XU41" s="115"/>
      <c r="XV41" s="115"/>
      <c r="XW41" s="115"/>
      <c r="XX41" s="115"/>
      <c r="XY41" s="115"/>
      <c r="XZ41" s="115"/>
      <c r="YA41" s="115"/>
      <c r="YB41" s="115"/>
      <c r="YC41" s="115"/>
      <c r="YD41" s="115"/>
      <c r="YE41" s="115"/>
      <c r="YF41" s="115"/>
      <c r="YG41" s="115"/>
      <c r="YH41" s="115"/>
      <c r="YI41" s="115"/>
      <c r="YJ41" s="115"/>
      <c r="YK41" s="115"/>
      <c r="YL41" s="115"/>
      <c r="YM41" s="115"/>
      <c r="YN41" s="115"/>
      <c r="YO41" s="115"/>
      <c r="YP41" s="115"/>
      <c r="YQ41" s="115"/>
      <c r="YX41" s="22">
        <v>0</v>
      </c>
      <c r="YY41" s="22">
        <f>VLOOKUP(B41,'SCAFFOLDING MATERIAL OVERALL'!B43:S225,18,FALSE)</f>
        <v>25.97</v>
      </c>
      <c r="YZ41" s="22">
        <f t="shared" si="0"/>
        <v>0</v>
      </c>
    </row>
    <row r="42" spans="1:676" s="22" customFormat="1" x14ac:dyDescent="0.25">
      <c r="A42" s="17">
        <v>38</v>
      </c>
      <c r="B42" s="18">
        <v>3000000349</v>
      </c>
      <c r="C42" s="19" t="s">
        <v>50</v>
      </c>
      <c r="D42" s="44" t="s">
        <v>12</v>
      </c>
      <c r="OZ42" s="115"/>
      <c r="PA42" s="115"/>
      <c r="PB42" s="115"/>
      <c r="PC42" s="115"/>
      <c r="PD42" s="115"/>
      <c r="PE42" s="115"/>
      <c r="PF42" s="115"/>
      <c r="PG42" s="115"/>
      <c r="PH42" s="115"/>
      <c r="PI42" s="115"/>
      <c r="PJ42" s="115"/>
      <c r="PK42" s="115"/>
      <c r="PL42" s="115"/>
      <c r="PM42" s="115"/>
      <c r="PN42" s="115"/>
      <c r="PO42" s="115"/>
      <c r="PP42" s="115"/>
      <c r="PQ42" s="115"/>
      <c r="PR42" s="115"/>
      <c r="PS42" s="115"/>
      <c r="PT42" s="115"/>
      <c r="PU42" s="115"/>
      <c r="PV42" s="115"/>
      <c r="PW42" s="115"/>
      <c r="PX42" s="115"/>
      <c r="PY42" s="115"/>
      <c r="PZ42" s="115"/>
      <c r="QA42" s="115"/>
      <c r="QB42" s="115"/>
      <c r="QC42" s="115"/>
      <c r="QD42" s="115"/>
      <c r="QE42" s="115"/>
      <c r="QF42" s="115"/>
      <c r="QG42" s="115"/>
      <c r="QH42" s="115"/>
      <c r="QI42" s="115"/>
      <c r="QJ42" s="115"/>
      <c r="QK42" s="115"/>
      <c r="QL42" s="115"/>
      <c r="QM42" s="115"/>
      <c r="QN42" s="115"/>
      <c r="QO42" s="115"/>
      <c r="QP42" s="115"/>
      <c r="QQ42" s="115"/>
      <c r="QR42" s="115"/>
      <c r="QS42" s="115"/>
      <c r="QT42" s="115"/>
      <c r="QU42" s="115"/>
      <c r="QV42" s="115"/>
      <c r="QW42" s="115"/>
      <c r="QX42" s="115"/>
      <c r="QY42" s="115"/>
      <c r="QZ42" s="115"/>
      <c r="RA42" s="115"/>
      <c r="RB42" s="115"/>
      <c r="RC42" s="115"/>
      <c r="RD42" s="115"/>
      <c r="RE42" s="115"/>
      <c r="RF42" s="115"/>
      <c r="RG42" s="115"/>
      <c r="RH42" s="115"/>
      <c r="RI42" s="115"/>
      <c r="RJ42" s="115"/>
      <c r="RK42" s="115"/>
      <c r="RL42" s="115"/>
      <c r="RM42" s="115"/>
      <c r="RN42" s="115"/>
      <c r="RO42" s="115"/>
      <c r="RP42" s="115"/>
      <c r="RQ42" s="115"/>
      <c r="RR42" s="115"/>
      <c r="RS42" s="115"/>
      <c r="RT42" s="115"/>
      <c r="RU42" s="115"/>
      <c r="RV42" s="115"/>
      <c r="RW42" s="115"/>
      <c r="RX42" s="115"/>
      <c r="RY42" s="115"/>
      <c r="RZ42" s="115"/>
      <c r="SA42" s="115"/>
      <c r="SB42" s="115"/>
      <c r="SC42" s="115"/>
      <c r="SD42" s="115"/>
      <c r="SE42" s="115"/>
      <c r="SF42" s="115"/>
      <c r="SG42" s="115"/>
      <c r="SH42" s="115"/>
      <c r="SI42" s="115"/>
      <c r="SJ42" s="115"/>
      <c r="SK42" s="115"/>
      <c r="SL42" s="115"/>
      <c r="SM42" s="115"/>
      <c r="SN42" s="115"/>
      <c r="SO42" s="115"/>
      <c r="SP42" s="115"/>
      <c r="SQ42" s="115"/>
      <c r="SR42" s="115"/>
      <c r="SS42" s="115"/>
      <c r="ST42" s="115"/>
      <c r="SU42" s="115"/>
      <c r="SV42" s="115"/>
      <c r="SW42" s="115"/>
      <c r="SX42" s="115"/>
      <c r="SY42" s="115"/>
      <c r="SZ42" s="115"/>
      <c r="TA42" s="115"/>
      <c r="TB42" s="115"/>
      <c r="TC42" s="115"/>
      <c r="TD42" s="115"/>
      <c r="TE42" s="115"/>
      <c r="TF42" s="115"/>
      <c r="TG42" s="115"/>
      <c r="TH42" s="115"/>
      <c r="TI42" s="115"/>
      <c r="TJ42" s="115"/>
      <c r="TK42" s="115"/>
      <c r="TL42" s="115"/>
      <c r="TM42" s="115"/>
      <c r="TN42" s="115"/>
      <c r="TO42" s="115"/>
      <c r="TP42" s="115"/>
      <c r="TQ42" s="115"/>
      <c r="TR42" s="115"/>
      <c r="TS42" s="115"/>
      <c r="TT42" s="115"/>
      <c r="TU42" s="115"/>
      <c r="TV42" s="115"/>
      <c r="TW42" s="115"/>
      <c r="TX42" s="115"/>
      <c r="TY42" s="115"/>
      <c r="TZ42" s="115"/>
      <c r="UA42" s="115"/>
      <c r="UB42" s="115"/>
      <c r="UC42" s="115"/>
      <c r="UD42" s="115"/>
      <c r="UE42" s="115"/>
      <c r="UF42" s="115"/>
      <c r="UG42" s="115"/>
      <c r="UH42" s="115"/>
      <c r="UI42" s="115"/>
      <c r="UJ42" s="115"/>
      <c r="UK42" s="115"/>
      <c r="UL42" s="115"/>
      <c r="UM42" s="115"/>
      <c r="UN42" s="115"/>
      <c r="UO42" s="115"/>
      <c r="UP42" s="115"/>
      <c r="UQ42" s="115"/>
      <c r="UR42" s="115"/>
      <c r="US42" s="115"/>
      <c r="UT42" s="115"/>
      <c r="UU42" s="115"/>
      <c r="UV42" s="115"/>
      <c r="UW42" s="115"/>
      <c r="UX42" s="115"/>
      <c r="UY42" s="115"/>
      <c r="UZ42" s="115"/>
      <c r="VA42" s="115"/>
      <c r="VB42" s="115"/>
      <c r="VC42" s="115"/>
      <c r="VD42" s="115"/>
      <c r="VE42" s="115"/>
      <c r="VF42" s="115"/>
      <c r="VG42" s="115"/>
      <c r="VH42" s="115"/>
      <c r="VI42" s="115"/>
      <c r="VJ42" s="115"/>
      <c r="VK42" s="115"/>
      <c r="VL42" s="115"/>
      <c r="VM42" s="115"/>
      <c r="VN42" s="115"/>
      <c r="VO42" s="115"/>
      <c r="VP42" s="115"/>
      <c r="VQ42" s="115"/>
      <c r="VR42" s="115"/>
      <c r="VS42" s="115"/>
      <c r="VT42" s="115"/>
      <c r="VU42" s="115"/>
      <c r="VV42" s="115"/>
      <c r="VW42" s="115"/>
      <c r="VX42" s="115"/>
      <c r="VY42" s="115"/>
      <c r="VZ42" s="115"/>
      <c r="WA42" s="115"/>
      <c r="WB42" s="115"/>
      <c r="WC42" s="115"/>
      <c r="WD42" s="115"/>
      <c r="WE42" s="115"/>
      <c r="WF42" s="115"/>
      <c r="WG42" s="115"/>
      <c r="WH42" s="115"/>
      <c r="WI42" s="115"/>
      <c r="WJ42" s="115"/>
      <c r="WK42" s="115"/>
      <c r="WL42" s="115"/>
      <c r="WM42" s="115"/>
      <c r="WN42" s="115"/>
      <c r="WO42" s="115"/>
      <c r="WP42" s="115"/>
      <c r="WQ42" s="115"/>
      <c r="WR42" s="115"/>
      <c r="WS42" s="115"/>
      <c r="WT42" s="115"/>
      <c r="WU42" s="115"/>
      <c r="WV42" s="115"/>
      <c r="WW42" s="115"/>
      <c r="WX42" s="115"/>
      <c r="WY42" s="115"/>
      <c r="WZ42" s="115"/>
      <c r="XA42" s="115"/>
      <c r="XB42" s="115"/>
      <c r="XC42" s="115"/>
      <c r="XD42" s="115"/>
      <c r="XE42" s="115"/>
      <c r="XF42" s="115"/>
      <c r="XG42" s="115"/>
      <c r="XH42" s="115"/>
      <c r="XI42" s="115"/>
      <c r="XJ42" s="115"/>
      <c r="XK42" s="115"/>
      <c r="XL42" s="115"/>
      <c r="XM42" s="115"/>
      <c r="XN42" s="115"/>
      <c r="XO42" s="115"/>
      <c r="XP42" s="115"/>
      <c r="XQ42" s="115"/>
      <c r="XR42" s="115"/>
      <c r="XS42" s="115"/>
      <c r="XT42" s="115"/>
      <c r="XU42" s="115"/>
      <c r="XV42" s="115"/>
      <c r="XW42" s="115"/>
      <c r="XX42" s="115"/>
      <c r="XY42" s="115"/>
      <c r="XZ42" s="115"/>
      <c r="YA42" s="115"/>
      <c r="YB42" s="115"/>
      <c r="YC42" s="115"/>
      <c r="YD42" s="115"/>
      <c r="YE42" s="115"/>
      <c r="YF42" s="115"/>
      <c r="YG42" s="115"/>
      <c r="YH42" s="115"/>
      <c r="YI42" s="115"/>
      <c r="YJ42" s="115"/>
      <c r="YK42" s="115"/>
      <c r="YL42" s="115"/>
      <c r="YM42" s="115"/>
      <c r="YN42" s="115"/>
      <c r="YO42" s="115"/>
      <c r="YP42" s="115"/>
      <c r="YQ42" s="115"/>
      <c r="YX42" s="22">
        <v>0</v>
      </c>
      <c r="YY42" s="22">
        <f>VLOOKUP(B42,'SCAFFOLDING MATERIAL OVERALL'!B44:S226,18,FALSE)</f>
        <v>31.27</v>
      </c>
      <c r="YZ42" s="22">
        <f t="shared" si="0"/>
        <v>0</v>
      </c>
    </row>
    <row r="43" spans="1:676" s="22" customFormat="1" x14ac:dyDescent="0.25">
      <c r="A43" s="14">
        <v>39</v>
      </c>
      <c r="B43" s="18">
        <v>3000004464</v>
      </c>
      <c r="C43" s="19" t="s">
        <v>51</v>
      </c>
      <c r="D43" s="44" t="s">
        <v>12</v>
      </c>
      <c r="OZ43" s="115"/>
      <c r="PA43" s="115"/>
      <c r="PB43" s="115"/>
      <c r="PC43" s="115"/>
      <c r="PD43" s="115"/>
      <c r="PE43" s="115"/>
      <c r="PF43" s="115"/>
      <c r="PG43" s="115"/>
      <c r="PH43" s="115"/>
      <c r="PI43" s="115"/>
      <c r="PJ43" s="115"/>
      <c r="PK43" s="115"/>
      <c r="PL43" s="115"/>
      <c r="PM43" s="115"/>
      <c r="PN43" s="115"/>
      <c r="PO43" s="115"/>
      <c r="PP43" s="115"/>
      <c r="PQ43" s="115"/>
      <c r="PR43" s="115"/>
      <c r="PS43" s="115"/>
      <c r="PT43" s="115"/>
      <c r="PU43" s="115"/>
      <c r="PV43" s="115"/>
      <c r="PW43" s="115"/>
      <c r="PX43" s="115"/>
      <c r="PY43" s="115"/>
      <c r="PZ43" s="115"/>
      <c r="QA43" s="115"/>
      <c r="QB43" s="115"/>
      <c r="QC43" s="115"/>
      <c r="QD43" s="115"/>
      <c r="QE43" s="115"/>
      <c r="QF43" s="115"/>
      <c r="QG43" s="115"/>
      <c r="QH43" s="115"/>
      <c r="QI43" s="115"/>
      <c r="QJ43" s="115"/>
      <c r="QK43" s="115"/>
      <c r="QL43" s="115"/>
      <c r="QM43" s="115"/>
      <c r="QN43" s="115"/>
      <c r="QO43" s="115"/>
      <c r="QP43" s="115"/>
      <c r="QQ43" s="115"/>
      <c r="QR43" s="115"/>
      <c r="QS43" s="115"/>
      <c r="QT43" s="115"/>
      <c r="QU43" s="115"/>
      <c r="QV43" s="115"/>
      <c r="QW43" s="115"/>
      <c r="QX43" s="115"/>
      <c r="QY43" s="115"/>
      <c r="QZ43" s="115"/>
      <c r="RA43" s="115"/>
      <c r="RB43" s="115"/>
      <c r="RC43" s="115"/>
      <c r="RD43" s="115"/>
      <c r="RE43" s="115"/>
      <c r="RF43" s="115"/>
      <c r="RG43" s="115"/>
      <c r="RH43" s="115"/>
      <c r="RI43" s="115"/>
      <c r="RJ43" s="115"/>
      <c r="RK43" s="115"/>
      <c r="RL43" s="115"/>
      <c r="RM43" s="115"/>
      <c r="RN43" s="115"/>
      <c r="RO43" s="115"/>
      <c r="RP43" s="115"/>
      <c r="RQ43" s="115"/>
      <c r="RR43" s="115"/>
      <c r="RS43" s="115"/>
      <c r="RT43" s="115"/>
      <c r="RU43" s="115"/>
      <c r="RV43" s="115"/>
      <c r="RW43" s="115"/>
      <c r="RX43" s="115"/>
      <c r="RY43" s="115"/>
      <c r="RZ43" s="115"/>
      <c r="SA43" s="115"/>
      <c r="SB43" s="115"/>
      <c r="SC43" s="115"/>
      <c r="SD43" s="115"/>
      <c r="SE43" s="115"/>
      <c r="SF43" s="115"/>
      <c r="SG43" s="115"/>
      <c r="SH43" s="115"/>
      <c r="SI43" s="115"/>
      <c r="SJ43" s="115"/>
      <c r="SK43" s="115"/>
      <c r="SL43" s="115"/>
      <c r="SM43" s="115"/>
      <c r="SN43" s="115"/>
      <c r="SO43" s="115"/>
      <c r="SP43" s="115"/>
      <c r="SQ43" s="115"/>
      <c r="SR43" s="115"/>
      <c r="SS43" s="115"/>
      <c r="ST43" s="115"/>
      <c r="SU43" s="115"/>
      <c r="SV43" s="115"/>
      <c r="SW43" s="115"/>
      <c r="SX43" s="115"/>
      <c r="SY43" s="115"/>
      <c r="SZ43" s="115"/>
      <c r="TA43" s="115"/>
      <c r="TB43" s="115"/>
      <c r="TC43" s="115"/>
      <c r="TD43" s="115"/>
      <c r="TE43" s="115"/>
      <c r="TF43" s="115"/>
      <c r="TG43" s="115"/>
      <c r="TH43" s="115"/>
      <c r="TI43" s="115"/>
      <c r="TJ43" s="115"/>
      <c r="TK43" s="115"/>
      <c r="TL43" s="115"/>
      <c r="TM43" s="115"/>
      <c r="TN43" s="115"/>
      <c r="TO43" s="115"/>
      <c r="TP43" s="115"/>
      <c r="TQ43" s="115"/>
      <c r="TR43" s="115"/>
      <c r="TS43" s="115"/>
      <c r="TT43" s="115"/>
      <c r="TU43" s="115"/>
      <c r="TV43" s="115"/>
      <c r="TW43" s="115"/>
      <c r="TX43" s="115"/>
      <c r="TY43" s="115"/>
      <c r="TZ43" s="115"/>
      <c r="UA43" s="115"/>
      <c r="UB43" s="115"/>
      <c r="UC43" s="115"/>
      <c r="UD43" s="115"/>
      <c r="UE43" s="115"/>
      <c r="UF43" s="115"/>
      <c r="UG43" s="115"/>
      <c r="UH43" s="115"/>
      <c r="UI43" s="115"/>
      <c r="UJ43" s="115"/>
      <c r="UK43" s="115"/>
      <c r="UL43" s="115"/>
      <c r="UM43" s="115"/>
      <c r="UN43" s="115"/>
      <c r="UO43" s="115"/>
      <c r="UP43" s="115"/>
      <c r="UQ43" s="115"/>
      <c r="UR43" s="115"/>
      <c r="US43" s="115"/>
      <c r="UT43" s="115"/>
      <c r="UU43" s="115"/>
      <c r="UV43" s="115"/>
      <c r="UW43" s="115"/>
      <c r="UX43" s="115"/>
      <c r="UY43" s="115"/>
      <c r="UZ43" s="115"/>
      <c r="VA43" s="115"/>
      <c r="VB43" s="115"/>
      <c r="VC43" s="115"/>
      <c r="VD43" s="115"/>
      <c r="VE43" s="115"/>
      <c r="VF43" s="115"/>
      <c r="VG43" s="115"/>
      <c r="VH43" s="115"/>
      <c r="VI43" s="115"/>
      <c r="VJ43" s="115"/>
      <c r="VK43" s="115"/>
      <c r="VL43" s="115"/>
      <c r="VM43" s="115"/>
      <c r="VN43" s="115"/>
      <c r="VO43" s="115"/>
      <c r="VP43" s="115"/>
      <c r="VQ43" s="115"/>
      <c r="VR43" s="115"/>
      <c r="VS43" s="115"/>
      <c r="VT43" s="115"/>
      <c r="VU43" s="115"/>
      <c r="VV43" s="115"/>
      <c r="VW43" s="115"/>
      <c r="VX43" s="115"/>
      <c r="VY43" s="115"/>
      <c r="VZ43" s="115"/>
      <c r="WA43" s="115"/>
      <c r="WB43" s="115"/>
      <c r="WC43" s="115"/>
      <c r="WD43" s="115"/>
      <c r="WE43" s="115"/>
      <c r="WF43" s="115"/>
      <c r="WG43" s="115"/>
      <c r="WH43" s="115"/>
      <c r="WI43" s="115"/>
      <c r="WJ43" s="115"/>
      <c r="WK43" s="115"/>
      <c r="WL43" s="115"/>
      <c r="WM43" s="115"/>
      <c r="WN43" s="115"/>
      <c r="WO43" s="115"/>
      <c r="WP43" s="115"/>
      <c r="WQ43" s="115"/>
      <c r="WR43" s="115"/>
      <c r="WS43" s="115"/>
      <c r="WT43" s="115"/>
      <c r="WU43" s="115"/>
      <c r="WV43" s="115"/>
      <c r="WW43" s="115"/>
      <c r="WX43" s="115"/>
      <c r="WY43" s="115"/>
      <c r="WZ43" s="115"/>
      <c r="XA43" s="115"/>
      <c r="XB43" s="115"/>
      <c r="XC43" s="115"/>
      <c r="XD43" s="115"/>
      <c r="XE43" s="115"/>
      <c r="XF43" s="115"/>
      <c r="XG43" s="115"/>
      <c r="XH43" s="115"/>
      <c r="XI43" s="115"/>
      <c r="XJ43" s="115"/>
      <c r="XK43" s="115"/>
      <c r="XL43" s="115"/>
      <c r="XM43" s="115"/>
      <c r="XN43" s="115"/>
      <c r="XO43" s="115"/>
      <c r="XP43" s="115"/>
      <c r="XQ43" s="115"/>
      <c r="XR43" s="115"/>
      <c r="XS43" s="115"/>
      <c r="XT43" s="115"/>
      <c r="XU43" s="115"/>
      <c r="XV43" s="115"/>
      <c r="XW43" s="115"/>
      <c r="XX43" s="115"/>
      <c r="XY43" s="115"/>
      <c r="XZ43" s="115"/>
      <c r="YA43" s="115"/>
      <c r="YB43" s="115"/>
      <c r="YC43" s="115"/>
      <c r="YD43" s="115"/>
      <c r="YE43" s="115"/>
      <c r="YF43" s="115"/>
      <c r="YG43" s="115"/>
      <c r="YH43" s="115"/>
      <c r="YI43" s="115"/>
      <c r="YJ43" s="115"/>
      <c r="YK43" s="115"/>
      <c r="YL43" s="115"/>
      <c r="YM43" s="115"/>
      <c r="YN43" s="115"/>
      <c r="YO43" s="115"/>
      <c r="YP43" s="115"/>
      <c r="YQ43" s="115"/>
      <c r="YX43" s="22">
        <v>0</v>
      </c>
      <c r="YY43" s="22">
        <f>VLOOKUP(B43,'SCAFFOLDING MATERIAL OVERALL'!B45:S227,18,FALSE)</f>
        <v>11</v>
      </c>
      <c r="YZ43" s="22">
        <f t="shared" si="0"/>
        <v>0</v>
      </c>
    </row>
    <row r="44" spans="1:676" s="22" customFormat="1" x14ac:dyDescent="0.25">
      <c r="A44" s="14">
        <v>40</v>
      </c>
      <c r="B44" s="18">
        <v>3000000352</v>
      </c>
      <c r="C44" s="19" t="s">
        <v>52</v>
      </c>
      <c r="D44" s="44" t="s">
        <v>12</v>
      </c>
      <c r="OZ44" s="115"/>
      <c r="PA44" s="115"/>
      <c r="PB44" s="115"/>
      <c r="PC44" s="115"/>
      <c r="PD44" s="115"/>
      <c r="PE44" s="115"/>
      <c r="PF44" s="115"/>
      <c r="PG44" s="115"/>
      <c r="PH44" s="115"/>
      <c r="PI44" s="115"/>
      <c r="PJ44" s="115"/>
      <c r="PK44" s="115"/>
      <c r="PL44" s="115"/>
      <c r="PM44" s="115"/>
      <c r="PN44" s="115"/>
      <c r="PO44" s="115"/>
      <c r="PP44" s="115"/>
      <c r="PQ44" s="115"/>
      <c r="PR44" s="115"/>
      <c r="PS44" s="115"/>
      <c r="PT44" s="115"/>
      <c r="PU44" s="115"/>
      <c r="PV44" s="115"/>
      <c r="PW44" s="115"/>
      <c r="PX44" s="115"/>
      <c r="PY44" s="115"/>
      <c r="PZ44" s="115"/>
      <c r="QA44" s="115"/>
      <c r="QB44" s="115"/>
      <c r="QC44" s="115"/>
      <c r="QD44" s="115"/>
      <c r="QE44" s="115"/>
      <c r="QF44" s="115"/>
      <c r="QG44" s="115"/>
      <c r="QH44" s="115"/>
      <c r="QI44" s="115"/>
      <c r="QJ44" s="115"/>
      <c r="QK44" s="115"/>
      <c r="QL44" s="115"/>
      <c r="QM44" s="115"/>
      <c r="QN44" s="115"/>
      <c r="QO44" s="115"/>
      <c r="QP44" s="115"/>
      <c r="QQ44" s="115"/>
      <c r="QR44" s="115"/>
      <c r="QS44" s="115"/>
      <c r="QT44" s="115"/>
      <c r="QU44" s="115"/>
      <c r="QV44" s="115"/>
      <c r="QW44" s="115"/>
      <c r="QX44" s="115"/>
      <c r="QY44" s="115"/>
      <c r="QZ44" s="115"/>
      <c r="RA44" s="115"/>
      <c r="RB44" s="115"/>
      <c r="RC44" s="115"/>
      <c r="RD44" s="115"/>
      <c r="RE44" s="115"/>
      <c r="RF44" s="115"/>
      <c r="RG44" s="115"/>
      <c r="RH44" s="115"/>
      <c r="RI44" s="115"/>
      <c r="RJ44" s="115"/>
      <c r="RK44" s="115"/>
      <c r="RL44" s="115"/>
      <c r="RM44" s="115"/>
      <c r="RN44" s="115"/>
      <c r="RO44" s="115"/>
      <c r="RP44" s="115"/>
      <c r="RQ44" s="115"/>
      <c r="RR44" s="115"/>
      <c r="RS44" s="115"/>
      <c r="RT44" s="115"/>
      <c r="RU44" s="115"/>
      <c r="RV44" s="115"/>
      <c r="RW44" s="115"/>
      <c r="RX44" s="115"/>
      <c r="RY44" s="115"/>
      <c r="RZ44" s="115"/>
      <c r="SA44" s="115"/>
      <c r="SB44" s="115"/>
      <c r="SC44" s="115"/>
      <c r="SD44" s="115"/>
      <c r="SE44" s="115"/>
      <c r="SF44" s="115"/>
      <c r="SG44" s="115"/>
      <c r="SH44" s="115"/>
      <c r="SI44" s="115"/>
      <c r="SJ44" s="115"/>
      <c r="SK44" s="115"/>
      <c r="SL44" s="115"/>
      <c r="SM44" s="115"/>
      <c r="SN44" s="115"/>
      <c r="SO44" s="115"/>
      <c r="SP44" s="115"/>
      <c r="SQ44" s="115"/>
      <c r="SR44" s="115"/>
      <c r="SS44" s="115"/>
      <c r="ST44" s="115"/>
      <c r="SU44" s="115"/>
      <c r="SV44" s="115"/>
      <c r="SW44" s="115"/>
      <c r="SX44" s="115"/>
      <c r="SY44" s="115"/>
      <c r="SZ44" s="115"/>
      <c r="TA44" s="115"/>
      <c r="TB44" s="115"/>
      <c r="TC44" s="115"/>
      <c r="TD44" s="115"/>
      <c r="TE44" s="115"/>
      <c r="TF44" s="115"/>
      <c r="TG44" s="115"/>
      <c r="TH44" s="115"/>
      <c r="TI44" s="115"/>
      <c r="TJ44" s="115"/>
      <c r="TK44" s="115"/>
      <c r="TL44" s="115"/>
      <c r="TM44" s="115"/>
      <c r="TN44" s="115"/>
      <c r="TO44" s="115"/>
      <c r="TP44" s="115"/>
      <c r="TQ44" s="115"/>
      <c r="TR44" s="115"/>
      <c r="TS44" s="115"/>
      <c r="TT44" s="115"/>
      <c r="TU44" s="115"/>
      <c r="TV44" s="115"/>
      <c r="TW44" s="115"/>
      <c r="TX44" s="115"/>
      <c r="TY44" s="115"/>
      <c r="TZ44" s="115"/>
      <c r="UA44" s="115"/>
      <c r="UB44" s="115"/>
      <c r="UC44" s="115"/>
      <c r="UD44" s="115"/>
      <c r="UE44" s="115"/>
      <c r="UF44" s="115"/>
      <c r="UG44" s="115"/>
      <c r="UH44" s="115"/>
      <c r="UI44" s="115"/>
      <c r="UJ44" s="115"/>
      <c r="UK44" s="115"/>
      <c r="UL44" s="115"/>
      <c r="UM44" s="115"/>
      <c r="UN44" s="115"/>
      <c r="UO44" s="115"/>
      <c r="UP44" s="115"/>
      <c r="UQ44" s="115"/>
      <c r="UR44" s="115"/>
      <c r="US44" s="115"/>
      <c r="UT44" s="115"/>
      <c r="UU44" s="115"/>
      <c r="UV44" s="115"/>
      <c r="UW44" s="115"/>
      <c r="UX44" s="115"/>
      <c r="UY44" s="115"/>
      <c r="UZ44" s="115"/>
      <c r="VA44" s="115"/>
      <c r="VB44" s="115"/>
      <c r="VC44" s="115"/>
      <c r="VD44" s="115"/>
      <c r="VE44" s="115"/>
      <c r="VF44" s="115"/>
      <c r="VG44" s="115"/>
      <c r="VH44" s="115"/>
      <c r="VI44" s="115"/>
      <c r="VJ44" s="115"/>
      <c r="VK44" s="115"/>
      <c r="VL44" s="115"/>
      <c r="VM44" s="115"/>
      <c r="VN44" s="115"/>
      <c r="VO44" s="115"/>
      <c r="VP44" s="115"/>
      <c r="VQ44" s="115"/>
      <c r="VR44" s="115"/>
      <c r="VS44" s="115"/>
      <c r="VT44" s="115"/>
      <c r="VU44" s="115"/>
      <c r="VV44" s="115"/>
      <c r="VW44" s="115"/>
      <c r="VX44" s="115"/>
      <c r="VY44" s="115"/>
      <c r="VZ44" s="115"/>
      <c r="WA44" s="115"/>
      <c r="WB44" s="115"/>
      <c r="WC44" s="115"/>
      <c r="WD44" s="115"/>
      <c r="WE44" s="115"/>
      <c r="WF44" s="115"/>
      <c r="WG44" s="115"/>
      <c r="WH44" s="115"/>
      <c r="WI44" s="115"/>
      <c r="WJ44" s="115"/>
      <c r="WK44" s="115"/>
      <c r="WL44" s="115"/>
      <c r="WM44" s="115"/>
      <c r="WN44" s="115"/>
      <c r="WO44" s="115"/>
      <c r="WP44" s="115"/>
      <c r="WQ44" s="115"/>
      <c r="WR44" s="115"/>
      <c r="WS44" s="115"/>
      <c r="WT44" s="115"/>
      <c r="WU44" s="115"/>
      <c r="WV44" s="115"/>
      <c r="WW44" s="115"/>
      <c r="WX44" s="115"/>
      <c r="WY44" s="115"/>
      <c r="WZ44" s="115"/>
      <c r="XA44" s="115"/>
      <c r="XB44" s="115"/>
      <c r="XC44" s="115"/>
      <c r="XD44" s="115"/>
      <c r="XE44" s="115"/>
      <c r="XF44" s="115"/>
      <c r="XG44" s="115"/>
      <c r="XH44" s="115"/>
      <c r="XI44" s="115"/>
      <c r="XJ44" s="115"/>
      <c r="XK44" s="115"/>
      <c r="XL44" s="115"/>
      <c r="XM44" s="115"/>
      <c r="XN44" s="115"/>
      <c r="XO44" s="115"/>
      <c r="XP44" s="115"/>
      <c r="XQ44" s="115"/>
      <c r="XR44" s="115"/>
      <c r="XS44" s="115"/>
      <c r="XT44" s="115"/>
      <c r="XU44" s="115"/>
      <c r="XV44" s="115"/>
      <c r="XW44" s="115"/>
      <c r="XX44" s="115"/>
      <c r="XY44" s="115"/>
      <c r="XZ44" s="115"/>
      <c r="YA44" s="115"/>
      <c r="YB44" s="115"/>
      <c r="YC44" s="115"/>
      <c r="YD44" s="115"/>
      <c r="YE44" s="115"/>
      <c r="YF44" s="115"/>
      <c r="YG44" s="115"/>
      <c r="YH44" s="115"/>
      <c r="YI44" s="115"/>
      <c r="YJ44" s="115"/>
      <c r="YK44" s="115"/>
      <c r="YL44" s="115"/>
      <c r="YM44" s="115"/>
      <c r="YN44" s="115"/>
      <c r="YO44" s="115"/>
      <c r="YP44" s="115"/>
      <c r="YQ44" s="115"/>
      <c r="YX44" s="22">
        <v>0</v>
      </c>
      <c r="YY44" s="22">
        <f>VLOOKUP(B44,'SCAFFOLDING MATERIAL OVERALL'!B46:S228,18,FALSE)</f>
        <v>1.125</v>
      </c>
      <c r="YZ44" s="22">
        <f t="shared" si="0"/>
        <v>0</v>
      </c>
    </row>
    <row r="45" spans="1:676" s="22" customFormat="1" x14ac:dyDescent="0.25">
      <c r="A45" s="17">
        <v>41</v>
      </c>
      <c r="B45" s="18">
        <v>5000000007</v>
      </c>
      <c r="C45" s="19" t="s">
        <v>53</v>
      </c>
      <c r="D45" s="44" t="s">
        <v>12</v>
      </c>
      <c r="OZ45" s="115"/>
      <c r="PA45" s="115"/>
      <c r="PB45" s="115"/>
      <c r="PC45" s="115"/>
      <c r="PD45" s="115"/>
      <c r="PE45" s="115"/>
      <c r="PF45" s="115"/>
      <c r="PG45" s="115"/>
      <c r="PH45" s="115"/>
      <c r="PI45" s="115"/>
      <c r="PJ45" s="115"/>
      <c r="PK45" s="115"/>
      <c r="PL45" s="115"/>
      <c r="PM45" s="115"/>
      <c r="PN45" s="115"/>
      <c r="PO45" s="115"/>
      <c r="PP45" s="115"/>
      <c r="PQ45" s="115"/>
      <c r="PR45" s="115"/>
      <c r="PS45" s="115"/>
      <c r="PT45" s="115"/>
      <c r="PU45" s="115"/>
      <c r="PV45" s="115"/>
      <c r="PW45" s="115"/>
      <c r="PX45" s="115"/>
      <c r="PY45" s="115"/>
      <c r="PZ45" s="115"/>
      <c r="QA45" s="115"/>
      <c r="QB45" s="115"/>
      <c r="QC45" s="115"/>
      <c r="QD45" s="115"/>
      <c r="QE45" s="115"/>
      <c r="QF45" s="115"/>
      <c r="QG45" s="115"/>
      <c r="QH45" s="115"/>
      <c r="QI45" s="115"/>
      <c r="QJ45" s="115"/>
      <c r="QK45" s="115"/>
      <c r="QL45" s="115"/>
      <c r="QM45" s="115"/>
      <c r="QN45" s="115"/>
      <c r="QO45" s="115"/>
      <c r="QP45" s="115"/>
      <c r="QQ45" s="115"/>
      <c r="QR45" s="115"/>
      <c r="QS45" s="115"/>
      <c r="QT45" s="115"/>
      <c r="QU45" s="115"/>
      <c r="QV45" s="115"/>
      <c r="QW45" s="115"/>
      <c r="QX45" s="115"/>
      <c r="QY45" s="115"/>
      <c r="QZ45" s="115"/>
      <c r="RA45" s="115"/>
      <c r="RB45" s="115"/>
      <c r="RC45" s="115"/>
      <c r="RD45" s="115"/>
      <c r="RE45" s="115"/>
      <c r="RF45" s="115"/>
      <c r="RG45" s="115"/>
      <c r="RH45" s="115"/>
      <c r="RI45" s="115"/>
      <c r="RJ45" s="115"/>
      <c r="RK45" s="115"/>
      <c r="RL45" s="115"/>
      <c r="RM45" s="115"/>
      <c r="RN45" s="115"/>
      <c r="RO45" s="115"/>
      <c r="RP45" s="115"/>
      <c r="RQ45" s="115"/>
      <c r="RR45" s="115"/>
      <c r="RS45" s="115"/>
      <c r="RT45" s="115"/>
      <c r="RU45" s="115"/>
      <c r="RV45" s="115"/>
      <c r="RW45" s="115"/>
      <c r="RX45" s="115"/>
      <c r="RY45" s="115"/>
      <c r="RZ45" s="115"/>
      <c r="SA45" s="115"/>
      <c r="SB45" s="115"/>
      <c r="SC45" s="115"/>
      <c r="SD45" s="115"/>
      <c r="SE45" s="115"/>
      <c r="SF45" s="115"/>
      <c r="SG45" s="115"/>
      <c r="SH45" s="115"/>
      <c r="SI45" s="115"/>
      <c r="SJ45" s="115"/>
      <c r="SK45" s="115"/>
      <c r="SL45" s="115"/>
      <c r="SM45" s="115"/>
      <c r="SN45" s="115"/>
      <c r="SO45" s="115"/>
      <c r="SP45" s="115"/>
      <c r="SQ45" s="115"/>
      <c r="SR45" s="115"/>
      <c r="SS45" s="115"/>
      <c r="ST45" s="115"/>
      <c r="SU45" s="115"/>
      <c r="SV45" s="115"/>
      <c r="SW45" s="115"/>
      <c r="SX45" s="115"/>
      <c r="SY45" s="115"/>
      <c r="SZ45" s="115"/>
      <c r="TA45" s="115"/>
      <c r="TB45" s="115"/>
      <c r="TC45" s="115"/>
      <c r="TD45" s="115"/>
      <c r="TE45" s="115"/>
      <c r="TF45" s="115"/>
      <c r="TG45" s="115"/>
      <c r="TH45" s="115"/>
      <c r="TI45" s="115"/>
      <c r="TJ45" s="115"/>
      <c r="TK45" s="115"/>
      <c r="TL45" s="115"/>
      <c r="TM45" s="115"/>
      <c r="TN45" s="115"/>
      <c r="TO45" s="115"/>
      <c r="TP45" s="115"/>
      <c r="TQ45" s="115"/>
      <c r="TR45" s="115"/>
      <c r="TS45" s="115"/>
      <c r="TT45" s="115"/>
      <c r="TU45" s="115"/>
      <c r="TV45" s="115"/>
      <c r="TW45" s="115"/>
      <c r="TX45" s="115"/>
      <c r="TY45" s="115"/>
      <c r="TZ45" s="115"/>
      <c r="UA45" s="115"/>
      <c r="UB45" s="115"/>
      <c r="UC45" s="115"/>
      <c r="UD45" s="115"/>
      <c r="UE45" s="115"/>
      <c r="UF45" s="115"/>
      <c r="UG45" s="115"/>
      <c r="UH45" s="115"/>
      <c r="UI45" s="115"/>
      <c r="UJ45" s="115"/>
      <c r="UK45" s="115"/>
      <c r="UL45" s="115"/>
      <c r="UM45" s="115"/>
      <c r="UN45" s="115"/>
      <c r="UO45" s="115"/>
      <c r="UP45" s="115"/>
      <c r="UQ45" s="115"/>
      <c r="UR45" s="115"/>
      <c r="US45" s="115"/>
      <c r="UT45" s="115"/>
      <c r="UU45" s="115"/>
      <c r="UV45" s="115"/>
      <c r="UW45" s="115"/>
      <c r="UX45" s="115"/>
      <c r="UY45" s="115"/>
      <c r="UZ45" s="115"/>
      <c r="VA45" s="115"/>
      <c r="VB45" s="115"/>
      <c r="VC45" s="115"/>
      <c r="VD45" s="115"/>
      <c r="VE45" s="115"/>
      <c r="VF45" s="115"/>
      <c r="VG45" s="115"/>
      <c r="VH45" s="115"/>
      <c r="VI45" s="115"/>
      <c r="VJ45" s="115"/>
      <c r="VK45" s="115"/>
      <c r="VL45" s="115"/>
      <c r="VM45" s="115"/>
      <c r="VN45" s="115"/>
      <c r="VO45" s="115"/>
      <c r="VP45" s="115"/>
      <c r="VQ45" s="115"/>
      <c r="VR45" s="115"/>
      <c r="VS45" s="115"/>
      <c r="VT45" s="115"/>
      <c r="VU45" s="115"/>
      <c r="VV45" s="115"/>
      <c r="VW45" s="115"/>
      <c r="VX45" s="115"/>
      <c r="VY45" s="115"/>
      <c r="VZ45" s="115"/>
      <c r="WA45" s="115"/>
      <c r="WB45" s="115"/>
      <c r="WC45" s="115"/>
      <c r="WD45" s="115"/>
      <c r="WE45" s="115"/>
      <c r="WF45" s="115"/>
      <c r="WG45" s="115"/>
      <c r="WH45" s="115"/>
      <c r="WI45" s="115"/>
      <c r="WJ45" s="115"/>
      <c r="WK45" s="115"/>
      <c r="WL45" s="115"/>
      <c r="WM45" s="115"/>
      <c r="WN45" s="115"/>
      <c r="WO45" s="115"/>
      <c r="WP45" s="115"/>
      <c r="WQ45" s="115"/>
      <c r="WR45" s="115"/>
      <c r="WS45" s="115"/>
      <c r="WT45" s="115"/>
      <c r="WU45" s="115"/>
      <c r="WV45" s="115"/>
      <c r="WW45" s="115"/>
      <c r="WX45" s="115"/>
      <c r="WY45" s="115"/>
      <c r="WZ45" s="115"/>
      <c r="XA45" s="115"/>
      <c r="XB45" s="115"/>
      <c r="XC45" s="115"/>
      <c r="XD45" s="115"/>
      <c r="XE45" s="115"/>
      <c r="XF45" s="115"/>
      <c r="XG45" s="115"/>
      <c r="XH45" s="115"/>
      <c r="XI45" s="115"/>
      <c r="XJ45" s="115"/>
      <c r="XK45" s="115"/>
      <c r="XL45" s="115"/>
      <c r="XM45" s="115"/>
      <c r="XN45" s="115"/>
      <c r="XO45" s="115"/>
      <c r="XP45" s="115"/>
      <c r="XQ45" s="115"/>
      <c r="XR45" s="115"/>
      <c r="XS45" s="115"/>
      <c r="XT45" s="115"/>
      <c r="XU45" s="115"/>
      <c r="XV45" s="115"/>
      <c r="XW45" s="115"/>
      <c r="XX45" s="115"/>
      <c r="XY45" s="115"/>
      <c r="XZ45" s="115"/>
      <c r="YA45" s="115"/>
      <c r="YB45" s="115"/>
      <c r="YC45" s="115"/>
      <c r="YD45" s="115"/>
      <c r="YE45" s="115"/>
      <c r="YF45" s="115"/>
      <c r="YG45" s="115"/>
      <c r="YH45" s="115"/>
      <c r="YI45" s="115"/>
      <c r="YJ45" s="115"/>
      <c r="YK45" s="115"/>
      <c r="YL45" s="115"/>
      <c r="YM45" s="115"/>
      <c r="YN45" s="115"/>
      <c r="YO45" s="115"/>
      <c r="YP45" s="115"/>
      <c r="YQ45" s="115"/>
      <c r="YX45" s="22">
        <v>0</v>
      </c>
      <c r="YY45" s="22">
        <f>VLOOKUP(B45,'SCAFFOLDING MATERIAL OVERALL'!B47:S229,18,FALSE)</f>
        <v>20.553999999999998</v>
      </c>
      <c r="YZ45" s="22">
        <f t="shared" si="0"/>
        <v>0</v>
      </c>
    </row>
    <row r="46" spans="1:676" s="22" customFormat="1" x14ac:dyDescent="0.25">
      <c r="A46" s="14">
        <v>42</v>
      </c>
      <c r="B46" s="18">
        <v>5000000004</v>
      </c>
      <c r="C46" s="19" t="s">
        <v>54</v>
      </c>
      <c r="D46" s="44" t="s">
        <v>12</v>
      </c>
      <c r="OZ46" s="115"/>
      <c r="PA46" s="115"/>
      <c r="PB46" s="115"/>
      <c r="PC46" s="115"/>
      <c r="PD46" s="115"/>
      <c r="PE46" s="115"/>
      <c r="PF46" s="115"/>
      <c r="PG46" s="115"/>
      <c r="PH46" s="115"/>
      <c r="PI46" s="115"/>
      <c r="PJ46" s="115"/>
      <c r="PK46" s="115"/>
      <c r="PL46" s="115"/>
      <c r="PM46" s="115"/>
      <c r="PN46" s="115"/>
      <c r="PO46" s="115"/>
      <c r="PP46" s="115"/>
      <c r="PQ46" s="115"/>
      <c r="PR46" s="115"/>
      <c r="PS46" s="115"/>
      <c r="PT46" s="115"/>
      <c r="PU46" s="115"/>
      <c r="PV46" s="115"/>
      <c r="PW46" s="115"/>
      <c r="PX46" s="115"/>
      <c r="PY46" s="115"/>
      <c r="PZ46" s="115"/>
      <c r="QA46" s="115"/>
      <c r="QB46" s="115"/>
      <c r="QC46" s="115"/>
      <c r="QD46" s="115"/>
      <c r="QE46" s="115"/>
      <c r="QF46" s="115"/>
      <c r="QG46" s="115"/>
      <c r="QH46" s="115"/>
      <c r="QI46" s="115"/>
      <c r="QJ46" s="115"/>
      <c r="QK46" s="115"/>
      <c r="QL46" s="115"/>
      <c r="QM46" s="115"/>
      <c r="QN46" s="115"/>
      <c r="QO46" s="115"/>
      <c r="QP46" s="115"/>
      <c r="QQ46" s="115"/>
      <c r="QR46" s="115"/>
      <c r="QS46" s="115"/>
      <c r="QT46" s="115"/>
      <c r="QU46" s="115"/>
      <c r="QV46" s="115"/>
      <c r="QW46" s="115"/>
      <c r="QX46" s="115"/>
      <c r="QY46" s="115"/>
      <c r="QZ46" s="115"/>
      <c r="RA46" s="115"/>
      <c r="RB46" s="115"/>
      <c r="RC46" s="115"/>
      <c r="RD46" s="115"/>
      <c r="RE46" s="115"/>
      <c r="RF46" s="115"/>
      <c r="RG46" s="115"/>
      <c r="RH46" s="115"/>
      <c r="RI46" s="115"/>
      <c r="RJ46" s="115"/>
      <c r="RK46" s="115"/>
      <c r="RL46" s="115"/>
      <c r="RM46" s="115"/>
      <c r="RN46" s="115"/>
      <c r="RO46" s="115"/>
      <c r="RP46" s="115"/>
      <c r="RQ46" s="115"/>
      <c r="RR46" s="115"/>
      <c r="RS46" s="115"/>
      <c r="RT46" s="115"/>
      <c r="RU46" s="115"/>
      <c r="RV46" s="115"/>
      <c r="RW46" s="115"/>
      <c r="RX46" s="115"/>
      <c r="RY46" s="115"/>
      <c r="RZ46" s="115"/>
      <c r="SA46" s="115"/>
      <c r="SB46" s="115"/>
      <c r="SC46" s="115"/>
      <c r="SD46" s="115"/>
      <c r="SE46" s="115"/>
      <c r="SF46" s="115"/>
      <c r="SG46" s="115"/>
      <c r="SH46" s="115"/>
      <c r="SI46" s="115"/>
      <c r="SJ46" s="115"/>
      <c r="SK46" s="115"/>
      <c r="SL46" s="115"/>
      <c r="SM46" s="115"/>
      <c r="SN46" s="115"/>
      <c r="SO46" s="115"/>
      <c r="SP46" s="115"/>
      <c r="SQ46" s="115"/>
      <c r="SR46" s="115"/>
      <c r="SS46" s="115"/>
      <c r="ST46" s="115"/>
      <c r="SU46" s="115"/>
      <c r="SV46" s="115"/>
      <c r="SW46" s="115"/>
      <c r="SX46" s="115"/>
      <c r="SY46" s="115"/>
      <c r="SZ46" s="115"/>
      <c r="TA46" s="115"/>
      <c r="TB46" s="115"/>
      <c r="TC46" s="115"/>
      <c r="TD46" s="115"/>
      <c r="TE46" s="115"/>
      <c r="TF46" s="115"/>
      <c r="TG46" s="115"/>
      <c r="TH46" s="115"/>
      <c r="TI46" s="115"/>
      <c r="TJ46" s="115"/>
      <c r="TK46" s="115"/>
      <c r="TL46" s="115"/>
      <c r="TM46" s="115"/>
      <c r="TN46" s="115"/>
      <c r="TO46" s="115"/>
      <c r="TP46" s="115"/>
      <c r="TQ46" s="115"/>
      <c r="TR46" s="115"/>
      <c r="TS46" s="115"/>
      <c r="TT46" s="115"/>
      <c r="TU46" s="115"/>
      <c r="TV46" s="115"/>
      <c r="TW46" s="115"/>
      <c r="TX46" s="115"/>
      <c r="TY46" s="115"/>
      <c r="TZ46" s="115"/>
      <c r="UA46" s="115"/>
      <c r="UB46" s="115"/>
      <c r="UC46" s="115"/>
      <c r="UD46" s="115"/>
      <c r="UE46" s="115"/>
      <c r="UF46" s="115"/>
      <c r="UG46" s="115"/>
      <c r="UH46" s="115"/>
      <c r="UI46" s="115"/>
      <c r="UJ46" s="115"/>
      <c r="UK46" s="115"/>
      <c r="UL46" s="115"/>
      <c r="UM46" s="115"/>
      <c r="UN46" s="115"/>
      <c r="UO46" s="115"/>
      <c r="UP46" s="115"/>
      <c r="UQ46" s="115"/>
      <c r="UR46" s="115"/>
      <c r="US46" s="115"/>
      <c r="UT46" s="115"/>
      <c r="UU46" s="115"/>
      <c r="UV46" s="115"/>
      <c r="UW46" s="115"/>
      <c r="UX46" s="115"/>
      <c r="UY46" s="115"/>
      <c r="UZ46" s="115"/>
      <c r="VA46" s="115"/>
      <c r="VB46" s="115"/>
      <c r="VC46" s="115"/>
      <c r="VD46" s="115"/>
      <c r="VE46" s="115"/>
      <c r="VF46" s="115"/>
      <c r="VG46" s="115"/>
      <c r="VH46" s="115"/>
      <c r="VI46" s="115"/>
      <c r="VJ46" s="115"/>
      <c r="VK46" s="115"/>
      <c r="VL46" s="115"/>
      <c r="VM46" s="115"/>
      <c r="VN46" s="115"/>
      <c r="VO46" s="115"/>
      <c r="VP46" s="115"/>
      <c r="VQ46" s="115"/>
      <c r="VR46" s="115"/>
      <c r="VS46" s="115"/>
      <c r="VT46" s="115"/>
      <c r="VU46" s="115"/>
      <c r="VV46" s="115"/>
      <c r="VW46" s="115"/>
      <c r="VX46" s="115"/>
      <c r="VY46" s="115"/>
      <c r="VZ46" s="115"/>
      <c r="WA46" s="115"/>
      <c r="WB46" s="115"/>
      <c r="WC46" s="115"/>
      <c r="WD46" s="115"/>
      <c r="WE46" s="115"/>
      <c r="WF46" s="115"/>
      <c r="WG46" s="115"/>
      <c r="WH46" s="115"/>
      <c r="WI46" s="115"/>
      <c r="WJ46" s="115"/>
      <c r="WK46" s="115"/>
      <c r="WL46" s="115"/>
      <c r="WM46" s="115"/>
      <c r="WN46" s="115"/>
      <c r="WO46" s="115"/>
      <c r="WP46" s="115"/>
      <c r="WQ46" s="115"/>
      <c r="WR46" s="115"/>
      <c r="WS46" s="115"/>
      <c r="WT46" s="115"/>
      <c r="WU46" s="115"/>
      <c r="WV46" s="115"/>
      <c r="WW46" s="115"/>
      <c r="WX46" s="115"/>
      <c r="WY46" s="115"/>
      <c r="WZ46" s="115"/>
      <c r="XA46" s="115"/>
      <c r="XB46" s="115"/>
      <c r="XC46" s="115"/>
      <c r="XD46" s="115"/>
      <c r="XE46" s="115"/>
      <c r="XF46" s="115"/>
      <c r="XG46" s="115"/>
      <c r="XH46" s="115"/>
      <c r="XI46" s="115"/>
      <c r="XJ46" s="115"/>
      <c r="XK46" s="115"/>
      <c r="XL46" s="115"/>
      <c r="XM46" s="115"/>
      <c r="XN46" s="115"/>
      <c r="XO46" s="115"/>
      <c r="XP46" s="115"/>
      <c r="XQ46" s="115"/>
      <c r="XR46" s="115"/>
      <c r="XS46" s="115"/>
      <c r="XT46" s="115"/>
      <c r="XU46" s="115"/>
      <c r="XV46" s="115"/>
      <c r="XW46" s="115"/>
      <c r="XX46" s="115"/>
      <c r="XY46" s="115"/>
      <c r="XZ46" s="115"/>
      <c r="YA46" s="115"/>
      <c r="YB46" s="115"/>
      <c r="YC46" s="115"/>
      <c r="YD46" s="115"/>
      <c r="YE46" s="115"/>
      <c r="YF46" s="115"/>
      <c r="YG46" s="115"/>
      <c r="YH46" s="115"/>
      <c r="YI46" s="115"/>
      <c r="YJ46" s="115"/>
      <c r="YK46" s="115"/>
      <c r="YL46" s="115"/>
      <c r="YM46" s="115"/>
      <c r="YN46" s="115"/>
      <c r="YO46" s="115"/>
      <c r="YP46" s="115"/>
      <c r="YQ46" s="115"/>
      <c r="YX46" s="22">
        <v>0</v>
      </c>
      <c r="YY46" s="22">
        <f>VLOOKUP(B46,'SCAFFOLDING MATERIAL OVERALL'!B48:S230,18,FALSE)</f>
        <v>21.018000000000001</v>
      </c>
      <c r="YZ46" s="22">
        <f t="shared" si="0"/>
        <v>0</v>
      </c>
    </row>
    <row r="47" spans="1:676" s="22" customFormat="1" x14ac:dyDescent="0.25">
      <c r="A47" s="14">
        <v>43</v>
      </c>
      <c r="B47" s="15">
        <v>5000000006</v>
      </c>
      <c r="C47" s="16" t="s">
        <v>55</v>
      </c>
      <c r="D47" s="44" t="s">
        <v>12</v>
      </c>
      <c r="OZ47" s="115"/>
      <c r="PA47" s="115"/>
      <c r="PB47" s="115"/>
      <c r="PC47" s="115"/>
      <c r="PD47" s="115"/>
      <c r="PE47" s="115"/>
      <c r="PF47" s="115"/>
      <c r="PG47" s="115"/>
      <c r="PH47" s="115"/>
      <c r="PI47" s="115"/>
      <c r="PJ47" s="115"/>
      <c r="PK47" s="115"/>
      <c r="PL47" s="115"/>
      <c r="PM47" s="115"/>
      <c r="PN47" s="115"/>
      <c r="PO47" s="115"/>
      <c r="PP47" s="115"/>
      <c r="PQ47" s="115"/>
      <c r="PR47" s="115"/>
      <c r="PS47" s="115"/>
      <c r="PT47" s="115"/>
      <c r="PU47" s="115"/>
      <c r="PV47" s="115"/>
      <c r="PW47" s="115"/>
      <c r="PX47" s="115"/>
      <c r="PY47" s="115"/>
      <c r="PZ47" s="115"/>
      <c r="QA47" s="115"/>
      <c r="QB47" s="115"/>
      <c r="QC47" s="115"/>
      <c r="QD47" s="115"/>
      <c r="QE47" s="115"/>
      <c r="QF47" s="115"/>
      <c r="QG47" s="115"/>
      <c r="QH47" s="115"/>
      <c r="QI47" s="115"/>
      <c r="QJ47" s="115"/>
      <c r="QK47" s="115"/>
      <c r="QL47" s="115"/>
      <c r="QM47" s="115"/>
      <c r="QN47" s="115"/>
      <c r="QO47" s="115"/>
      <c r="QP47" s="115"/>
      <c r="QQ47" s="115"/>
      <c r="QR47" s="115"/>
      <c r="QS47" s="115"/>
      <c r="QT47" s="115"/>
      <c r="QU47" s="115"/>
      <c r="QV47" s="115"/>
      <c r="QW47" s="115"/>
      <c r="QX47" s="115"/>
      <c r="QY47" s="115"/>
      <c r="QZ47" s="115"/>
      <c r="RA47" s="115"/>
      <c r="RB47" s="115"/>
      <c r="RC47" s="115"/>
      <c r="RD47" s="115"/>
      <c r="RE47" s="115"/>
      <c r="RF47" s="115"/>
      <c r="RG47" s="115"/>
      <c r="RH47" s="115"/>
      <c r="RI47" s="115"/>
      <c r="RJ47" s="115"/>
      <c r="RK47" s="115"/>
      <c r="RL47" s="115"/>
      <c r="RM47" s="115"/>
      <c r="RN47" s="115"/>
      <c r="RO47" s="115"/>
      <c r="RP47" s="115"/>
      <c r="RQ47" s="115"/>
      <c r="RR47" s="115"/>
      <c r="RS47" s="115"/>
      <c r="RT47" s="115"/>
      <c r="RU47" s="115"/>
      <c r="RV47" s="115"/>
      <c r="RW47" s="115"/>
      <c r="RX47" s="115"/>
      <c r="RY47" s="115"/>
      <c r="RZ47" s="115"/>
      <c r="SA47" s="115"/>
      <c r="SB47" s="115"/>
      <c r="SC47" s="115"/>
      <c r="SD47" s="115"/>
      <c r="SE47" s="115"/>
      <c r="SF47" s="115"/>
      <c r="SG47" s="115"/>
      <c r="SH47" s="115"/>
      <c r="SI47" s="115"/>
      <c r="SJ47" s="115"/>
      <c r="SK47" s="115"/>
      <c r="SL47" s="115"/>
      <c r="SM47" s="115"/>
      <c r="SN47" s="115"/>
      <c r="SO47" s="115"/>
      <c r="SP47" s="115"/>
      <c r="SQ47" s="115"/>
      <c r="SR47" s="115"/>
      <c r="SS47" s="115"/>
      <c r="ST47" s="115"/>
      <c r="SU47" s="115"/>
      <c r="SV47" s="115"/>
      <c r="SW47" s="115"/>
      <c r="SX47" s="115"/>
      <c r="SY47" s="115"/>
      <c r="SZ47" s="115"/>
      <c r="TA47" s="115"/>
      <c r="TB47" s="115"/>
      <c r="TC47" s="115"/>
      <c r="TD47" s="115"/>
      <c r="TE47" s="115"/>
      <c r="TF47" s="115"/>
      <c r="TG47" s="115"/>
      <c r="TH47" s="115"/>
      <c r="TI47" s="115"/>
      <c r="TJ47" s="115"/>
      <c r="TK47" s="115"/>
      <c r="TL47" s="115"/>
      <c r="TM47" s="115"/>
      <c r="TN47" s="115"/>
      <c r="TO47" s="115"/>
      <c r="TP47" s="115"/>
      <c r="TQ47" s="115"/>
      <c r="TR47" s="115"/>
      <c r="TS47" s="115"/>
      <c r="TT47" s="115"/>
      <c r="TU47" s="115"/>
      <c r="TV47" s="115"/>
      <c r="TW47" s="115"/>
      <c r="TX47" s="115"/>
      <c r="TY47" s="115"/>
      <c r="TZ47" s="115"/>
      <c r="UA47" s="115"/>
      <c r="UB47" s="115"/>
      <c r="UC47" s="115"/>
      <c r="UD47" s="115"/>
      <c r="UE47" s="115"/>
      <c r="UF47" s="115"/>
      <c r="UG47" s="115"/>
      <c r="UH47" s="115"/>
      <c r="UI47" s="115"/>
      <c r="UJ47" s="115"/>
      <c r="UK47" s="115"/>
      <c r="UL47" s="115"/>
      <c r="UM47" s="115"/>
      <c r="UN47" s="115"/>
      <c r="UO47" s="115"/>
      <c r="UP47" s="115"/>
      <c r="UQ47" s="115"/>
      <c r="UR47" s="115"/>
      <c r="US47" s="115"/>
      <c r="UT47" s="115"/>
      <c r="UU47" s="115"/>
      <c r="UV47" s="115"/>
      <c r="UW47" s="115"/>
      <c r="UX47" s="115"/>
      <c r="UY47" s="115"/>
      <c r="UZ47" s="115"/>
      <c r="VA47" s="115"/>
      <c r="VB47" s="115"/>
      <c r="VC47" s="115"/>
      <c r="VD47" s="115"/>
      <c r="VE47" s="115"/>
      <c r="VF47" s="115"/>
      <c r="VG47" s="115"/>
      <c r="VH47" s="115"/>
      <c r="VI47" s="115"/>
      <c r="VJ47" s="115"/>
      <c r="VK47" s="115"/>
      <c r="VL47" s="115"/>
      <c r="VM47" s="115"/>
      <c r="VN47" s="115"/>
      <c r="VO47" s="115"/>
      <c r="VP47" s="115"/>
      <c r="VQ47" s="115"/>
      <c r="VR47" s="115"/>
      <c r="VS47" s="115"/>
      <c r="VT47" s="115"/>
      <c r="VU47" s="115"/>
      <c r="VV47" s="115"/>
      <c r="VW47" s="115"/>
      <c r="VX47" s="115"/>
      <c r="VY47" s="115"/>
      <c r="VZ47" s="115"/>
      <c r="WA47" s="115"/>
      <c r="WB47" s="115"/>
      <c r="WC47" s="115"/>
      <c r="WD47" s="115"/>
      <c r="WE47" s="115"/>
      <c r="WF47" s="115"/>
      <c r="WG47" s="115"/>
      <c r="WH47" s="115"/>
      <c r="WI47" s="115"/>
      <c r="WJ47" s="115"/>
      <c r="WK47" s="115"/>
      <c r="WL47" s="115"/>
      <c r="WM47" s="115"/>
      <c r="WN47" s="115"/>
      <c r="WO47" s="115"/>
      <c r="WP47" s="115"/>
      <c r="WQ47" s="115"/>
      <c r="WR47" s="115"/>
      <c r="WS47" s="115"/>
      <c r="WT47" s="115"/>
      <c r="WU47" s="115"/>
      <c r="WV47" s="115"/>
      <c r="WW47" s="115"/>
      <c r="WX47" s="115"/>
      <c r="WY47" s="115"/>
      <c r="WZ47" s="115"/>
      <c r="XA47" s="115"/>
      <c r="XB47" s="115"/>
      <c r="XC47" s="115"/>
      <c r="XD47" s="115"/>
      <c r="XE47" s="115"/>
      <c r="XF47" s="115"/>
      <c r="XG47" s="115"/>
      <c r="XH47" s="115"/>
      <c r="XI47" s="115"/>
      <c r="XJ47" s="115"/>
      <c r="XK47" s="115"/>
      <c r="XL47" s="115"/>
      <c r="XM47" s="115"/>
      <c r="XN47" s="115"/>
      <c r="XO47" s="115"/>
      <c r="XP47" s="115"/>
      <c r="XQ47" s="115"/>
      <c r="XR47" s="115"/>
      <c r="XS47" s="115"/>
      <c r="XT47" s="115"/>
      <c r="XU47" s="115"/>
      <c r="XV47" s="115"/>
      <c r="XW47" s="115"/>
      <c r="XX47" s="115"/>
      <c r="XY47" s="115"/>
      <c r="XZ47" s="115"/>
      <c r="YA47" s="115"/>
      <c r="YB47" s="115"/>
      <c r="YC47" s="115"/>
      <c r="YD47" s="115"/>
      <c r="YE47" s="115"/>
      <c r="YF47" s="115"/>
      <c r="YG47" s="115"/>
      <c r="YH47" s="115"/>
      <c r="YI47" s="115"/>
      <c r="YJ47" s="115"/>
      <c r="YK47" s="115"/>
      <c r="YL47" s="115"/>
      <c r="YM47" s="115"/>
      <c r="YN47" s="115"/>
      <c r="YO47" s="115"/>
      <c r="YP47" s="115"/>
      <c r="YQ47" s="115"/>
      <c r="YX47" s="22">
        <v>0</v>
      </c>
      <c r="YY47" s="22">
        <f>VLOOKUP(B47,'SCAFFOLDING MATERIAL OVERALL'!B49:S231,18,FALSE)</f>
        <v>32.299999999999997</v>
      </c>
      <c r="YZ47" s="22">
        <f t="shared" si="0"/>
        <v>0</v>
      </c>
    </row>
    <row r="48" spans="1:676" s="22" customFormat="1" x14ac:dyDescent="0.25">
      <c r="A48" s="17">
        <v>44</v>
      </c>
      <c r="B48" s="15" t="s">
        <v>35</v>
      </c>
      <c r="C48" s="16" t="s">
        <v>56</v>
      </c>
      <c r="D48" s="44" t="s">
        <v>12</v>
      </c>
      <c r="OZ48" s="115"/>
      <c r="PA48" s="115"/>
      <c r="PB48" s="115"/>
      <c r="PC48" s="115"/>
      <c r="PD48" s="115"/>
      <c r="PE48" s="115"/>
      <c r="PF48" s="115"/>
      <c r="PG48" s="115"/>
      <c r="PH48" s="115"/>
      <c r="PI48" s="115"/>
      <c r="PJ48" s="115"/>
      <c r="PK48" s="115"/>
      <c r="PL48" s="115"/>
      <c r="PM48" s="115"/>
      <c r="PN48" s="115"/>
      <c r="PO48" s="115"/>
      <c r="PP48" s="115"/>
      <c r="PQ48" s="115"/>
      <c r="PR48" s="115"/>
      <c r="PS48" s="115"/>
      <c r="PT48" s="115"/>
      <c r="PU48" s="115"/>
      <c r="PV48" s="115"/>
      <c r="PW48" s="115"/>
      <c r="PX48" s="115"/>
      <c r="PY48" s="115"/>
      <c r="PZ48" s="115"/>
      <c r="QA48" s="115"/>
      <c r="QB48" s="115"/>
      <c r="QC48" s="115"/>
      <c r="QD48" s="115"/>
      <c r="QE48" s="115"/>
      <c r="QF48" s="115"/>
      <c r="QG48" s="115"/>
      <c r="QH48" s="115"/>
      <c r="QI48" s="115"/>
      <c r="QJ48" s="115"/>
      <c r="QK48" s="115"/>
      <c r="QL48" s="115"/>
      <c r="QM48" s="115"/>
      <c r="QN48" s="115"/>
      <c r="QO48" s="115"/>
      <c r="QP48" s="115"/>
      <c r="QQ48" s="115"/>
      <c r="QR48" s="115"/>
      <c r="QS48" s="115"/>
      <c r="QT48" s="115"/>
      <c r="QU48" s="115"/>
      <c r="QV48" s="115"/>
      <c r="QW48" s="115"/>
      <c r="QX48" s="115"/>
      <c r="QY48" s="115"/>
      <c r="QZ48" s="115"/>
      <c r="RA48" s="115"/>
      <c r="RB48" s="115"/>
      <c r="RC48" s="115"/>
      <c r="RD48" s="115"/>
      <c r="RE48" s="115"/>
      <c r="RF48" s="115"/>
      <c r="RG48" s="115"/>
      <c r="RH48" s="115"/>
      <c r="RI48" s="115"/>
      <c r="RJ48" s="115"/>
      <c r="RK48" s="115"/>
      <c r="RL48" s="115"/>
      <c r="RM48" s="115"/>
      <c r="RN48" s="115"/>
      <c r="RO48" s="115"/>
      <c r="RP48" s="115"/>
      <c r="RQ48" s="115"/>
      <c r="RR48" s="115"/>
      <c r="RS48" s="115"/>
      <c r="RT48" s="115"/>
      <c r="RU48" s="115"/>
      <c r="RV48" s="115"/>
      <c r="RW48" s="115"/>
      <c r="RX48" s="115"/>
      <c r="RY48" s="115"/>
      <c r="RZ48" s="115"/>
      <c r="SA48" s="115"/>
      <c r="SB48" s="115"/>
      <c r="SC48" s="115"/>
      <c r="SD48" s="115"/>
      <c r="SE48" s="115"/>
      <c r="SF48" s="115"/>
      <c r="SG48" s="115"/>
      <c r="SH48" s="115"/>
      <c r="SI48" s="115"/>
      <c r="SJ48" s="115"/>
      <c r="SK48" s="115"/>
      <c r="SL48" s="115"/>
      <c r="SM48" s="115"/>
      <c r="SN48" s="115"/>
      <c r="SO48" s="115"/>
      <c r="SP48" s="115"/>
      <c r="SQ48" s="115"/>
      <c r="SR48" s="115"/>
      <c r="SS48" s="115"/>
      <c r="ST48" s="115"/>
      <c r="SU48" s="115"/>
      <c r="SV48" s="115"/>
      <c r="SW48" s="115"/>
      <c r="SX48" s="115"/>
      <c r="SY48" s="115"/>
      <c r="SZ48" s="115"/>
      <c r="TA48" s="115"/>
      <c r="TB48" s="115"/>
      <c r="TC48" s="115"/>
      <c r="TD48" s="115"/>
      <c r="TE48" s="115"/>
      <c r="TF48" s="115"/>
      <c r="TG48" s="115"/>
      <c r="TH48" s="115"/>
      <c r="TI48" s="115"/>
      <c r="TJ48" s="115"/>
      <c r="TK48" s="115"/>
      <c r="TL48" s="115"/>
      <c r="TM48" s="115"/>
      <c r="TN48" s="115"/>
      <c r="TO48" s="115"/>
      <c r="TP48" s="115"/>
      <c r="TQ48" s="115"/>
      <c r="TR48" s="115"/>
      <c r="TS48" s="115"/>
      <c r="TT48" s="115"/>
      <c r="TU48" s="115"/>
      <c r="TV48" s="115"/>
      <c r="TW48" s="115"/>
      <c r="TX48" s="115"/>
      <c r="TY48" s="115"/>
      <c r="TZ48" s="115"/>
      <c r="UA48" s="115"/>
      <c r="UB48" s="115"/>
      <c r="UC48" s="115"/>
      <c r="UD48" s="115"/>
      <c r="UE48" s="115"/>
      <c r="UF48" s="115"/>
      <c r="UG48" s="115"/>
      <c r="UH48" s="115"/>
      <c r="UI48" s="115"/>
      <c r="UJ48" s="115"/>
      <c r="UK48" s="115"/>
      <c r="UL48" s="115"/>
      <c r="UM48" s="115"/>
      <c r="UN48" s="115"/>
      <c r="UO48" s="115"/>
      <c r="UP48" s="115"/>
      <c r="UQ48" s="115"/>
      <c r="UR48" s="115"/>
      <c r="US48" s="115"/>
      <c r="UT48" s="115"/>
      <c r="UU48" s="115"/>
      <c r="UV48" s="115"/>
      <c r="UW48" s="115"/>
      <c r="UX48" s="115"/>
      <c r="UY48" s="115"/>
      <c r="UZ48" s="115"/>
      <c r="VA48" s="115"/>
      <c r="VB48" s="115"/>
      <c r="VC48" s="115"/>
      <c r="VD48" s="115"/>
      <c r="VE48" s="115"/>
      <c r="VF48" s="115"/>
      <c r="VG48" s="115"/>
      <c r="VH48" s="115"/>
      <c r="VI48" s="115"/>
      <c r="VJ48" s="115"/>
      <c r="VK48" s="115"/>
      <c r="VL48" s="115"/>
      <c r="VM48" s="115"/>
      <c r="VN48" s="115"/>
      <c r="VO48" s="115"/>
      <c r="VP48" s="115"/>
      <c r="VQ48" s="115"/>
      <c r="VR48" s="115"/>
      <c r="VS48" s="115"/>
      <c r="VT48" s="115"/>
      <c r="VU48" s="115"/>
      <c r="VV48" s="115"/>
      <c r="VW48" s="115"/>
      <c r="VX48" s="115"/>
      <c r="VY48" s="115"/>
      <c r="VZ48" s="115"/>
      <c r="WA48" s="115"/>
      <c r="WB48" s="115"/>
      <c r="WC48" s="115"/>
      <c r="WD48" s="115"/>
      <c r="WE48" s="115"/>
      <c r="WF48" s="115"/>
      <c r="WG48" s="115"/>
      <c r="WH48" s="115"/>
      <c r="WI48" s="115"/>
      <c r="WJ48" s="115"/>
      <c r="WK48" s="115"/>
      <c r="WL48" s="115"/>
      <c r="WM48" s="115"/>
      <c r="WN48" s="115"/>
      <c r="WO48" s="115"/>
      <c r="WP48" s="115"/>
      <c r="WQ48" s="115"/>
      <c r="WR48" s="115"/>
      <c r="WS48" s="115"/>
      <c r="WT48" s="115"/>
      <c r="WU48" s="115"/>
      <c r="WV48" s="115"/>
      <c r="WW48" s="115"/>
      <c r="WX48" s="115"/>
      <c r="WY48" s="115"/>
      <c r="WZ48" s="115"/>
      <c r="XA48" s="115"/>
      <c r="XB48" s="115"/>
      <c r="XC48" s="115"/>
      <c r="XD48" s="115"/>
      <c r="XE48" s="115"/>
      <c r="XF48" s="115"/>
      <c r="XG48" s="115"/>
      <c r="XH48" s="115"/>
      <c r="XI48" s="115"/>
      <c r="XJ48" s="115"/>
      <c r="XK48" s="115"/>
      <c r="XL48" s="115"/>
      <c r="XM48" s="115"/>
      <c r="XN48" s="115"/>
      <c r="XO48" s="115"/>
      <c r="XP48" s="115"/>
      <c r="XQ48" s="115"/>
      <c r="XR48" s="115"/>
      <c r="XS48" s="115"/>
      <c r="XT48" s="115"/>
      <c r="XU48" s="115"/>
      <c r="XV48" s="115"/>
      <c r="XW48" s="115"/>
      <c r="XX48" s="115"/>
      <c r="XY48" s="115"/>
      <c r="XZ48" s="115"/>
      <c r="YA48" s="115"/>
      <c r="YB48" s="115"/>
      <c r="YC48" s="115"/>
      <c r="YD48" s="115"/>
      <c r="YE48" s="115"/>
      <c r="YF48" s="115"/>
      <c r="YG48" s="115"/>
      <c r="YH48" s="115"/>
      <c r="YI48" s="115"/>
      <c r="YJ48" s="115"/>
      <c r="YK48" s="115"/>
      <c r="YL48" s="115"/>
      <c r="YM48" s="115"/>
      <c r="YN48" s="115"/>
      <c r="YO48" s="115"/>
      <c r="YP48" s="115"/>
      <c r="YQ48" s="115"/>
      <c r="YX48" s="22">
        <v>0</v>
      </c>
      <c r="YY48" s="22">
        <f>VLOOKUP(B48,'SCAFFOLDING MATERIAL OVERALL'!B50:S232,18,FALSE)</f>
        <v>0</v>
      </c>
      <c r="YZ48" s="22">
        <f t="shared" si="0"/>
        <v>0</v>
      </c>
    </row>
    <row r="49" spans="1:676" s="22" customFormat="1" x14ac:dyDescent="0.25">
      <c r="A49" s="14">
        <v>45</v>
      </c>
      <c r="B49" s="15">
        <v>3000000354</v>
      </c>
      <c r="C49" s="16" t="s">
        <v>57</v>
      </c>
      <c r="D49" s="44" t="s">
        <v>12</v>
      </c>
      <c r="OZ49" s="115"/>
      <c r="PA49" s="115"/>
      <c r="PB49" s="115"/>
      <c r="PC49" s="115"/>
      <c r="PD49" s="115"/>
      <c r="PE49" s="115"/>
      <c r="PF49" s="115"/>
      <c r="PG49" s="115"/>
      <c r="PH49" s="115"/>
      <c r="PI49" s="115"/>
      <c r="PJ49" s="115"/>
      <c r="PK49" s="115"/>
      <c r="PL49" s="115"/>
      <c r="PM49" s="115"/>
      <c r="PN49" s="115"/>
      <c r="PO49" s="115"/>
      <c r="PP49" s="115"/>
      <c r="PQ49" s="115"/>
      <c r="PR49" s="115"/>
      <c r="PS49" s="115"/>
      <c r="PT49" s="115"/>
      <c r="PU49" s="115"/>
      <c r="PV49" s="115"/>
      <c r="PW49" s="115"/>
      <c r="PX49" s="115"/>
      <c r="PY49" s="115"/>
      <c r="PZ49" s="115"/>
      <c r="QA49" s="115"/>
      <c r="QB49" s="115"/>
      <c r="QC49" s="115"/>
      <c r="QD49" s="115"/>
      <c r="QE49" s="115"/>
      <c r="QF49" s="115"/>
      <c r="QG49" s="115"/>
      <c r="QH49" s="115"/>
      <c r="QI49" s="115"/>
      <c r="QJ49" s="115"/>
      <c r="QK49" s="115"/>
      <c r="QL49" s="115"/>
      <c r="QM49" s="115"/>
      <c r="QN49" s="115"/>
      <c r="QO49" s="115"/>
      <c r="QP49" s="115"/>
      <c r="QQ49" s="115"/>
      <c r="QR49" s="115"/>
      <c r="QS49" s="115"/>
      <c r="QT49" s="115"/>
      <c r="QU49" s="115"/>
      <c r="QV49" s="115"/>
      <c r="QW49" s="115"/>
      <c r="QX49" s="115"/>
      <c r="QY49" s="115"/>
      <c r="QZ49" s="115"/>
      <c r="RA49" s="115"/>
      <c r="RB49" s="115"/>
      <c r="RC49" s="115"/>
      <c r="RD49" s="115"/>
      <c r="RE49" s="115"/>
      <c r="RF49" s="115"/>
      <c r="RG49" s="115"/>
      <c r="RH49" s="115"/>
      <c r="RI49" s="115"/>
      <c r="RJ49" s="115"/>
      <c r="RK49" s="115"/>
      <c r="RL49" s="115"/>
      <c r="RM49" s="115"/>
      <c r="RN49" s="115"/>
      <c r="RO49" s="115"/>
      <c r="RP49" s="115"/>
      <c r="RQ49" s="115"/>
      <c r="RR49" s="115"/>
      <c r="RS49" s="115"/>
      <c r="RT49" s="115"/>
      <c r="RU49" s="115"/>
      <c r="RV49" s="115"/>
      <c r="RW49" s="115"/>
      <c r="RX49" s="115"/>
      <c r="RY49" s="115"/>
      <c r="RZ49" s="115"/>
      <c r="SA49" s="115"/>
      <c r="SB49" s="115"/>
      <c r="SC49" s="115"/>
      <c r="SD49" s="115"/>
      <c r="SE49" s="115"/>
      <c r="SF49" s="115"/>
      <c r="SG49" s="115"/>
      <c r="SH49" s="115"/>
      <c r="SI49" s="115"/>
      <c r="SJ49" s="115"/>
      <c r="SK49" s="115"/>
      <c r="SL49" s="115"/>
      <c r="SM49" s="115"/>
      <c r="SN49" s="115"/>
      <c r="SO49" s="115"/>
      <c r="SP49" s="115"/>
      <c r="SQ49" s="115"/>
      <c r="SR49" s="115"/>
      <c r="SS49" s="115"/>
      <c r="ST49" s="115"/>
      <c r="SU49" s="115"/>
      <c r="SV49" s="115"/>
      <c r="SW49" s="115"/>
      <c r="SX49" s="115"/>
      <c r="SY49" s="115"/>
      <c r="SZ49" s="115"/>
      <c r="TA49" s="115"/>
      <c r="TB49" s="115"/>
      <c r="TC49" s="115"/>
      <c r="TD49" s="115"/>
      <c r="TE49" s="115"/>
      <c r="TF49" s="115"/>
      <c r="TG49" s="115"/>
      <c r="TH49" s="115"/>
      <c r="TI49" s="115"/>
      <c r="TJ49" s="115"/>
      <c r="TK49" s="115"/>
      <c r="TL49" s="115"/>
      <c r="TM49" s="115"/>
      <c r="TN49" s="115"/>
      <c r="TO49" s="115"/>
      <c r="TP49" s="115"/>
      <c r="TQ49" s="115"/>
      <c r="TR49" s="115"/>
      <c r="TS49" s="115"/>
      <c r="TT49" s="115"/>
      <c r="TU49" s="115"/>
      <c r="TV49" s="115"/>
      <c r="TW49" s="115"/>
      <c r="TX49" s="115"/>
      <c r="TY49" s="115"/>
      <c r="TZ49" s="115"/>
      <c r="UA49" s="115"/>
      <c r="UB49" s="115"/>
      <c r="UC49" s="115"/>
      <c r="UD49" s="115"/>
      <c r="UE49" s="115"/>
      <c r="UF49" s="115"/>
      <c r="UG49" s="115"/>
      <c r="UH49" s="115"/>
      <c r="UI49" s="115"/>
      <c r="UJ49" s="115"/>
      <c r="UK49" s="115"/>
      <c r="UL49" s="115"/>
      <c r="UM49" s="115"/>
      <c r="UN49" s="115"/>
      <c r="UO49" s="115"/>
      <c r="UP49" s="115"/>
      <c r="UQ49" s="115"/>
      <c r="UR49" s="115"/>
      <c r="US49" s="115"/>
      <c r="UT49" s="115"/>
      <c r="UU49" s="115"/>
      <c r="UV49" s="115"/>
      <c r="UW49" s="115"/>
      <c r="UX49" s="115"/>
      <c r="UY49" s="115"/>
      <c r="UZ49" s="115"/>
      <c r="VA49" s="115"/>
      <c r="VB49" s="115"/>
      <c r="VC49" s="115"/>
      <c r="VD49" s="115"/>
      <c r="VE49" s="115"/>
      <c r="VF49" s="115"/>
      <c r="VG49" s="115"/>
      <c r="VH49" s="115"/>
      <c r="VI49" s="115"/>
      <c r="VJ49" s="115"/>
      <c r="VK49" s="115"/>
      <c r="VL49" s="115"/>
      <c r="VM49" s="115"/>
      <c r="VN49" s="115"/>
      <c r="VO49" s="115"/>
      <c r="VP49" s="115"/>
      <c r="VQ49" s="115"/>
      <c r="VR49" s="115"/>
      <c r="VS49" s="115"/>
      <c r="VT49" s="115"/>
      <c r="VU49" s="115"/>
      <c r="VV49" s="115"/>
      <c r="VW49" s="115"/>
      <c r="VX49" s="115"/>
      <c r="VY49" s="115"/>
      <c r="VZ49" s="115"/>
      <c r="WA49" s="115"/>
      <c r="WB49" s="115"/>
      <c r="WC49" s="115"/>
      <c r="WD49" s="115"/>
      <c r="WE49" s="115"/>
      <c r="WF49" s="115"/>
      <c r="WG49" s="115"/>
      <c r="WH49" s="115"/>
      <c r="WI49" s="115"/>
      <c r="WJ49" s="115"/>
      <c r="WK49" s="115"/>
      <c r="WL49" s="115"/>
      <c r="WM49" s="115"/>
      <c r="WN49" s="115"/>
      <c r="WO49" s="115"/>
      <c r="WP49" s="115"/>
      <c r="WQ49" s="115"/>
      <c r="WR49" s="115"/>
      <c r="WS49" s="115"/>
      <c r="WT49" s="115"/>
      <c r="WU49" s="115"/>
      <c r="WV49" s="115"/>
      <c r="WW49" s="115"/>
      <c r="WX49" s="115"/>
      <c r="WY49" s="115"/>
      <c r="WZ49" s="115"/>
      <c r="XA49" s="115"/>
      <c r="XB49" s="115"/>
      <c r="XC49" s="115"/>
      <c r="XD49" s="115"/>
      <c r="XE49" s="115"/>
      <c r="XF49" s="115"/>
      <c r="XG49" s="115"/>
      <c r="XH49" s="115"/>
      <c r="XI49" s="115"/>
      <c r="XJ49" s="115"/>
      <c r="XK49" s="115"/>
      <c r="XL49" s="115"/>
      <c r="XM49" s="115"/>
      <c r="XN49" s="115"/>
      <c r="XO49" s="115"/>
      <c r="XP49" s="115"/>
      <c r="XQ49" s="115"/>
      <c r="XR49" s="115"/>
      <c r="XS49" s="115"/>
      <c r="XT49" s="115"/>
      <c r="XU49" s="115"/>
      <c r="XV49" s="115"/>
      <c r="XW49" s="115"/>
      <c r="XX49" s="115"/>
      <c r="XY49" s="115"/>
      <c r="XZ49" s="115"/>
      <c r="YA49" s="115"/>
      <c r="YB49" s="115"/>
      <c r="YC49" s="115"/>
      <c r="YD49" s="115"/>
      <c r="YE49" s="115"/>
      <c r="YF49" s="115"/>
      <c r="YG49" s="115"/>
      <c r="YH49" s="115"/>
      <c r="YI49" s="115"/>
      <c r="YJ49" s="115"/>
      <c r="YK49" s="115"/>
      <c r="YL49" s="115"/>
      <c r="YM49" s="115"/>
      <c r="YN49" s="115"/>
      <c r="YO49" s="115"/>
      <c r="YP49" s="115"/>
      <c r="YQ49" s="115"/>
      <c r="YX49" s="22">
        <v>0</v>
      </c>
      <c r="YY49" s="22">
        <f>VLOOKUP(B49,'SCAFFOLDING MATERIAL OVERALL'!B51:S233,18,FALSE)</f>
        <v>6.1</v>
      </c>
      <c r="YZ49" s="22">
        <f t="shared" si="0"/>
        <v>0</v>
      </c>
    </row>
    <row r="50" spans="1:676" s="22" customFormat="1" x14ac:dyDescent="0.25">
      <c r="A50" s="14">
        <v>46</v>
      </c>
      <c r="B50" s="15">
        <v>3000000355</v>
      </c>
      <c r="C50" s="16" t="s">
        <v>58</v>
      </c>
      <c r="D50" s="44" t="s">
        <v>12</v>
      </c>
      <c r="OZ50" s="115"/>
      <c r="PA50" s="115"/>
      <c r="PB50" s="115"/>
      <c r="PC50" s="115"/>
      <c r="PD50" s="115"/>
      <c r="PE50" s="115"/>
      <c r="PF50" s="115"/>
      <c r="PG50" s="115"/>
      <c r="PH50" s="115"/>
      <c r="PI50" s="115"/>
      <c r="PJ50" s="115"/>
      <c r="PK50" s="115"/>
      <c r="PL50" s="115"/>
      <c r="PM50" s="115"/>
      <c r="PN50" s="115"/>
      <c r="PO50" s="115"/>
      <c r="PP50" s="115"/>
      <c r="PQ50" s="115"/>
      <c r="PR50" s="115"/>
      <c r="PS50" s="115"/>
      <c r="PT50" s="115"/>
      <c r="PU50" s="115"/>
      <c r="PV50" s="115"/>
      <c r="PW50" s="115"/>
      <c r="PX50" s="115"/>
      <c r="PY50" s="115"/>
      <c r="PZ50" s="115"/>
      <c r="QA50" s="115"/>
      <c r="QB50" s="115"/>
      <c r="QC50" s="115"/>
      <c r="QD50" s="115"/>
      <c r="QE50" s="115"/>
      <c r="QF50" s="115"/>
      <c r="QG50" s="115"/>
      <c r="QH50" s="115"/>
      <c r="QI50" s="115"/>
      <c r="QJ50" s="115"/>
      <c r="QK50" s="115"/>
      <c r="QL50" s="115"/>
      <c r="QM50" s="115"/>
      <c r="QN50" s="115"/>
      <c r="QO50" s="115"/>
      <c r="QP50" s="115"/>
      <c r="QQ50" s="115"/>
      <c r="QR50" s="115"/>
      <c r="QS50" s="115"/>
      <c r="QT50" s="115"/>
      <c r="QU50" s="115"/>
      <c r="QV50" s="115"/>
      <c r="QW50" s="115"/>
      <c r="QX50" s="115"/>
      <c r="QY50" s="115"/>
      <c r="QZ50" s="115"/>
      <c r="RA50" s="115"/>
      <c r="RB50" s="115"/>
      <c r="RC50" s="115"/>
      <c r="RD50" s="115"/>
      <c r="RE50" s="115"/>
      <c r="RF50" s="115"/>
      <c r="RG50" s="115"/>
      <c r="RH50" s="115"/>
      <c r="RI50" s="115"/>
      <c r="RJ50" s="115"/>
      <c r="RK50" s="115"/>
      <c r="RL50" s="115"/>
      <c r="RM50" s="115"/>
      <c r="RN50" s="115"/>
      <c r="RO50" s="115"/>
      <c r="RP50" s="115"/>
      <c r="RQ50" s="115"/>
      <c r="RR50" s="115"/>
      <c r="RS50" s="115"/>
      <c r="RT50" s="115"/>
      <c r="RU50" s="115"/>
      <c r="RV50" s="115"/>
      <c r="RW50" s="115"/>
      <c r="RX50" s="115"/>
      <c r="RY50" s="115"/>
      <c r="RZ50" s="115"/>
      <c r="SA50" s="115"/>
      <c r="SB50" s="115"/>
      <c r="SC50" s="115"/>
      <c r="SD50" s="115"/>
      <c r="SE50" s="115"/>
      <c r="SF50" s="115"/>
      <c r="SG50" s="115"/>
      <c r="SH50" s="115"/>
      <c r="SI50" s="115"/>
      <c r="SJ50" s="115"/>
      <c r="SK50" s="115"/>
      <c r="SL50" s="115"/>
      <c r="SM50" s="115"/>
      <c r="SN50" s="115"/>
      <c r="SO50" s="115"/>
      <c r="SP50" s="115"/>
      <c r="SQ50" s="115"/>
      <c r="SR50" s="115"/>
      <c r="SS50" s="115"/>
      <c r="ST50" s="115"/>
      <c r="SU50" s="115"/>
      <c r="SV50" s="115"/>
      <c r="SW50" s="115"/>
      <c r="SX50" s="115"/>
      <c r="SY50" s="115"/>
      <c r="SZ50" s="115"/>
      <c r="TA50" s="115"/>
      <c r="TB50" s="115"/>
      <c r="TC50" s="115"/>
      <c r="TD50" s="115"/>
      <c r="TE50" s="115"/>
      <c r="TF50" s="115"/>
      <c r="TG50" s="115"/>
      <c r="TH50" s="115"/>
      <c r="TI50" s="115"/>
      <c r="TJ50" s="115"/>
      <c r="TK50" s="115"/>
      <c r="TL50" s="115"/>
      <c r="TM50" s="115"/>
      <c r="TN50" s="115"/>
      <c r="TO50" s="115"/>
      <c r="TP50" s="115"/>
      <c r="TQ50" s="115"/>
      <c r="TR50" s="115"/>
      <c r="TS50" s="115"/>
      <c r="TT50" s="115"/>
      <c r="TU50" s="115"/>
      <c r="TV50" s="115"/>
      <c r="TW50" s="115"/>
      <c r="TX50" s="115"/>
      <c r="TY50" s="115"/>
      <c r="TZ50" s="115"/>
      <c r="UA50" s="115"/>
      <c r="UB50" s="115"/>
      <c r="UC50" s="115"/>
      <c r="UD50" s="115"/>
      <c r="UE50" s="115"/>
      <c r="UF50" s="115"/>
      <c r="UG50" s="115"/>
      <c r="UH50" s="115"/>
      <c r="UI50" s="115"/>
      <c r="UJ50" s="115"/>
      <c r="UK50" s="115"/>
      <c r="UL50" s="115"/>
      <c r="UM50" s="115"/>
      <c r="UN50" s="115"/>
      <c r="UO50" s="115"/>
      <c r="UP50" s="115"/>
      <c r="UQ50" s="115"/>
      <c r="UR50" s="115"/>
      <c r="US50" s="115"/>
      <c r="UT50" s="115"/>
      <c r="UU50" s="115"/>
      <c r="UV50" s="115"/>
      <c r="UW50" s="115"/>
      <c r="UX50" s="115"/>
      <c r="UY50" s="115"/>
      <c r="UZ50" s="115"/>
      <c r="VA50" s="115"/>
      <c r="VB50" s="115"/>
      <c r="VC50" s="115"/>
      <c r="VD50" s="115"/>
      <c r="VE50" s="115"/>
      <c r="VF50" s="115"/>
      <c r="VG50" s="115"/>
      <c r="VH50" s="115"/>
      <c r="VI50" s="115"/>
      <c r="VJ50" s="115"/>
      <c r="VK50" s="115"/>
      <c r="VL50" s="115"/>
      <c r="VM50" s="115"/>
      <c r="VN50" s="115"/>
      <c r="VO50" s="115"/>
      <c r="VP50" s="115"/>
      <c r="VQ50" s="115"/>
      <c r="VR50" s="115"/>
      <c r="VS50" s="115"/>
      <c r="VT50" s="115"/>
      <c r="VU50" s="115"/>
      <c r="VV50" s="115"/>
      <c r="VW50" s="115"/>
      <c r="VX50" s="115"/>
      <c r="VY50" s="115"/>
      <c r="VZ50" s="115"/>
      <c r="WA50" s="115"/>
      <c r="WB50" s="115"/>
      <c r="WC50" s="115"/>
      <c r="WD50" s="115"/>
      <c r="WE50" s="115"/>
      <c r="WF50" s="115"/>
      <c r="WG50" s="115"/>
      <c r="WH50" s="115"/>
      <c r="WI50" s="115"/>
      <c r="WJ50" s="115"/>
      <c r="WK50" s="115"/>
      <c r="WL50" s="115"/>
      <c r="WM50" s="115"/>
      <c r="WN50" s="115"/>
      <c r="WO50" s="115"/>
      <c r="WP50" s="115"/>
      <c r="WQ50" s="115"/>
      <c r="WR50" s="115"/>
      <c r="WS50" s="115"/>
      <c r="WT50" s="115"/>
      <c r="WU50" s="115"/>
      <c r="WV50" s="115"/>
      <c r="WW50" s="115"/>
      <c r="WX50" s="115"/>
      <c r="WY50" s="115"/>
      <c r="WZ50" s="115"/>
      <c r="XA50" s="115"/>
      <c r="XB50" s="115"/>
      <c r="XC50" s="115"/>
      <c r="XD50" s="115"/>
      <c r="XE50" s="115"/>
      <c r="XF50" s="115"/>
      <c r="XG50" s="115"/>
      <c r="XH50" s="115"/>
      <c r="XI50" s="115"/>
      <c r="XJ50" s="115"/>
      <c r="XK50" s="115"/>
      <c r="XL50" s="115"/>
      <c r="XM50" s="115"/>
      <c r="XN50" s="115"/>
      <c r="XO50" s="115"/>
      <c r="XP50" s="115"/>
      <c r="XQ50" s="115"/>
      <c r="XR50" s="115"/>
      <c r="XS50" s="115"/>
      <c r="XT50" s="115"/>
      <c r="XU50" s="115"/>
      <c r="XV50" s="115"/>
      <c r="XW50" s="115"/>
      <c r="XX50" s="115"/>
      <c r="XY50" s="115"/>
      <c r="XZ50" s="115"/>
      <c r="YA50" s="115"/>
      <c r="YB50" s="115"/>
      <c r="YC50" s="115"/>
      <c r="YD50" s="115"/>
      <c r="YE50" s="115"/>
      <c r="YF50" s="115"/>
      <c r="YG50" s="115"/>
      <c r="YH50" s="115"/>
      <c r="YI50" s="115"/>
      <c r="YJ50" s="115"/>
      <c r="YK50" s="115"/>
      <c r="YL50" s="115"/>
      <c r="YM50" s="115"/>
      <c r="YN50" s="115"/>
      <c r="YO50" s="115"/>
      <c r="YP50" s="115"/>
      <c r="YQ50" s="115"/>
      <c r="YX50" s="22">
        <v>0</v>
      </c>
      <c r="YY50" s="22">
        <f>VLOOKUP(B50,'SCAFFOLDING MATERIAL OVERALL'!B52:S234,18,FALSE)</f>
        <v>0.32500000000000001</v>
      </c>
      <c r="YZ50" s="22">
        <f t="shared" si="0"/>
        <v>0</v>
      </c>
    </row>
    <row r="51" spans="1:676" s="22" customFormat="1" x14ac:dyDescent="0.25">
      <c r="A51" s="17">
        <v>47</v>
      </c>
      <c r="B51" s="15">
        <v>3000000060</v>
      </c>
      <c r="C51" s="16" t="s">
        <v>295</v>
      </c>
      <c r="D51" s="44" t="s">
        <v>12</v>
      </c>
      <c r="OZ51" s="115"/>
      <c r="PA51" s="115"/>
      <c r="PB51" s="115"/>
      <c r="PC51" s="115"/>
      <c r="PD51" s="115"/>
      <c r="PE51" s="115"/>
      <c r="PF51" s="115"/>
      <c r="PG51" s="115"/>
      <c r="PH51" s="115"/>
      <c r="PI51" s="115"/>
      <c r="PJ51" s="115"/>
      <c r="PK51" s="115"/>
      <c r="PL51" s="115"/>
      <c r="PM51" s="115"/>
      <c r="PN51" s="115"/>
      <c r="PO51" s="115"/>
      <c r="PP51" s="115"/>
      <c r="PQ51" s="115"/>
      <c r="PR51" s="115"/>
      <c r="PS51" s="115"/>
      <c r="PT51" s="115"/>
      <c r="PU51" s="115"/>
      <c r="PV51" s="115"/>
      <c r="PW51" s="115"/>
      <c r="PX51" s="115"/>
      <c r="PY51" s="115"/>
      <c r="PZ51" s="115"/>
      <c r="QA51" s="115"/>
      <c r="QB51" s="115"/>
      <c r="QC51" s="115"/>
      <c r="QD51" s="115"/>
      <c r="QE51" s="115"/>
      <c r="QF51" s="115"/>
      <c r="QG51" s="115"/>
      <c r="QH51" s="115"/>
      <c r="QI51" s="115"/>
      <c r="QJ51" s="115"/>
      <c r="QK51" s="115"/>
      <c r="QL51" s="115"/>
      <c r="QM51" s="115"/>
      <c r="QN51" s="115"/>
      <c r="QO51" s="115"/>
      <c r="QP51" s="115"/>
      <c r="QQ51" s="115"/>
      <c r="QR51" s="115"/>
      <c r="QS51" s="115"/>
      <c r="QT51" s="115"/>
      <c r="QU51" s="115"/>
      <c r="QV51" s="115"/>
      <c r="QW51" s="115"/>
      <c r="QX51" s="115"/>
      <c r="QY51" s="115"/>
      <c r="QZ51" s="115"/>
      <c r="RA51" s="115"/>
      <c r="RB51" s="115"/>
      <c r="RC51" s="115"/>
      <c r="RD51" s="115"/>
      <c r="RE51" s="115"/>
      <c r="RF51" s="115"/>
      <c r="RG51" s="115"/>
      <c r="RH51" s="115"/>
      <c r="RI51" s="115"/>
      <c r="RJ51" s="115"/>
      <c r="RK51" s="115"/>
      <c r="RL51" s="115"/>
      <c r="RM51" s="115"/>
      <c r="RN51" s="115"/>
      <c r="RO51" s="115"/>
      <c r="RP51" s="115"/>
      <c r="RQ51" s="115"/>
      <c r="RR51" s="115"/>
      <c r="RS51" s="115"/>
      <c r="RT51" s="115"/>
      <c r="RU51" s="115"/>
      <c r="RV51" s="115"/>
      <c r="RW51" s="115"/>
      <c r="RX51" s="115"/>
      <c r="RY51" s="115"/>
      <c r="RZ51" s="115"/>
      <c r="SA51" s="115"/>
      <c r="SB51" s="115"/>
      <c r="SC51" s="115"/>
      <c r="SD51" s="115"/>
      <c r="SE51" s="115"/>
      <c r="SF51" s="115"/>
      <c r="SG51" s="115"/>
      <c r="SH51" s="115"/>
      <c r="SI51" s="115"/>
      <c r="SJ51" s="115"/>
      <c r="SK51" s="115"/>
      <c r="SL51" s="115"/>
      <c r="SM51" s="115"/>
      <c r="SN51" s="115"/>
      <c r="SO51" s="115"/>
      <c r="SP51" s="115"/>
      <c r="SQ51" s="115"/>
      <c r="SR51" s="115"/>
      <c r="SS51" s="115"/>
      <c r="ST51" s="115"/>
      <c r="SU51" s="115"/>
      <c r="SV51" s="115"/>
      <c r="SW51" s="115"/>
      <c r="SX51" s="115"/>
      <c r="SY51" s="115"/>
      <c r="SZ51" s="115"/>
      <c r="TA51" s="115"/>
      <c r="TB51" s="115"/>
      <c r="TC51" s="115"/>
      <c r="TD51" s="115"/>
      <c r="TE51" s="115"/>
      <c r="TF51" s="115"/>
      <c r="TG51" s="115"/>
      <c r="TH51" s="115"/>
      <c r="TI51" s="115"/>
      <c r="TJ51" s="115"/>
      <c r="TK51" s="115"/>
      <c r="TL51" s="115"/>
      <c r="TM51" s="115"/>
      <c r="TN51" s="115"/>
      <c r="TO51" s="115"/>
      <c r="TP51" s="115"/>
      <c r="TQ51" s="115"/>
      <c r="TR51" s="115"/>
      <c r="TS51" s="115"/>
      <c r="TT51" s="115"/>
      <c r="TU51" s="115"/>
      <c r="TV51" s="115"/>
      <c r="TW51" s="115"/>
      <c r="TX51" s="115"/>
      <c r="TY51" s="115"/>
      <c r="TZ51" s="115"/>
      <c r="UA51" s="115"/>
      <c r="UB51" s="115"/>
      <c r="UC51" s="115"/>
      <c r="UD51" s="115"/>
      <c r="UE51" s="115"/>
      <c r="UF51" s="115"/>
      <c r="UG51" s="115"/>
      <c r="UH51" s="115"/>
      <c r="UI51" s="115"/>
      <c r="UJ51" s="115"/>
      <c r="UK51" s="115"/>
      <c r="UL51" s="115"/>
      <c r="UM51" s="115"/>
      <c r="UN51" s="115"/>
      <c r="UO51" s="115"/>
      <c r="UP51" s="115"/>
      <c r="UQ51" s="115"/>
      <c r="UR51" s="115"/>
      <c r="US51" s="115"/>
      <c r="UT51" s="115"/>
      <c r="UU51" s="115"/>
      <c r="UV51" s="115"/>
      <c r="UW51" s="115"/>
      <c r="UX51" s="115"/>
      <c r="UY51" s="115"/>
      <c r="UZ51" s="115"/>
      <c r="VA51" s="115"/>
      <c r="VB51" s="115"/>
      <c r="VC51" s="115"/>
      <c r="VD51" s="115"/>
      <c r="VE51" s="115"/>
      <c r="VF51" s="115"/>
      <c r="VG51" s="115"/>
      <c r="VH51" s="115"/>
      <c r="VI51" s="115"/>
      <c r="VJ51" s="115"/>
      <c r="VK51" s="115"/>
      <c r="VL51" s="115"/>
      <c r="VM51" s="115"/>
      <c r="VN51" s="115"/>
      <c r="VO51" s="115"/>
      <c r="VP51" s="115"/>
      <c r="VQ51" s="115"/>
      <c r="VR51" s="115"/>
      <c r="VS51" s="115"/>
      <c r="VT51" s="115"/>
      <c r="VU51" s="115"/>
      <c r="VV51" s="115"/>
      <c r="VW51" s="115"/>
      <c r="VX51" s="115"/>
      <c r="VY51" s="115"/>
      <c r="VZ51" s="115"/>
      <c r="WA51" s="115"/>
      <c r="WB51" s="115"/>
      <c r="WC51" s="115"/>
      <c r="WD51" s="115"/>
      <c r="WE51" s="115"/>
      <c r="WF51" s="115"/>
      <c r="WG51" s="115"/>
      <c r="WH51" s="115"/>
      <c r="WI51" s="115"/>
      <c r="WJ51" s="115"/>
      <c r="WK51" s="115"/>
      <c r="WL51" s="115"/>
      <c r="WM51" s="115"/>
      <c r="WN51" s="115"/>
      <c r="WO51" s="115"/>
      <c r="WP51" s="115"/>
      <c r="WQ51" s="115"/>
      <c r="WR51" s="115"/>
      <c r="WS51" s="115"/>
      <c r="WT51" s="115"/>
      <c r="WU51" s="115"/>
      <c r="WV51" s="115"/>
      <c r="WW51" s="115"/>
      <c r="WX51" s="115"/>
      <c r="WY51" s="115"/>
      <c r="WZ51" s="115"/>
      <c r="XA51" s="115"/>
      <c r="XB51" s="115"/>
      <c r="XC51" s="115"/>
      <c r="XD51" s="115"/>
      <c r="XE51" s="115"/>
      <c r="XF51" s="115"/>
      <c r="XG51" s="115"/>
      <c r="XH51" s="115"/>
      <c r="XI51" s="115"/>
      <c r="XJ51" s="115"/>
      <c r="XK51" s="115"/>
      <c r="XL51" s="115"/>
      <c r="XM51" s="115"/>
      <c r="XN51" s="115"/>
      <c r="XO51" s="115"/>
      <c r="XP51" s="115"/>
      <c r="XQ51" s="115"/>
      <c r="XR51" s="115"/>
      <c r="XS51" s="115"/>
      <c r="XT51" s="115"/>
      <c r="XU51" s="115"/>
      <c r="XV51" s="115"/>
      <c r="XW51" s="115"/>
      <c r="XX51" s="115"/>
      <c r="XY51" s="115"/>
      <c r="XZ51" s="115"/>
      <c r="YA51" s="115"/>
      <c r="YB51" s="115"/>
      <c r="YC51" s="115"/>
      <c r="YD51" s="115"/>
      <c r="YE51" s="115"/>
      <c r="YF51" s="115"/>
      <c r="YG51" s="115"/>
      <c r="YH51" s="115"/>
      <c r="YI51" s="115"/>
      <c r="YJ51" s="115"/>
      <c r="YK51" s="115"/>
      <c r="YL51" s="115"/>
      <c r="YM51" s="115"/>
      <c r="YN51" s="115"/>
      <c r="YO51" s="115"/>
      <c r="YP51" s="115"/>
      <c r="YQ51" s="115"/>
      <c r="YX51" s="22">
        <v>0</v>
      </c>
      <c r="YY51" s="22">
        <f>VLOOKUP(B51,'SCAFFOLDING MATERIAL OVERALL'!B53:S235,18,FALSE)</f>
        <v>5.8730000000000002</v>
      </c>
      <c r="YZ51" s="22">
        <f t="shared" si="0"/>
        <v>0</v>
      </c>
    </row>
    <row r="52" spans="1:676" s="22" customFormat="1" x14ac:dyDescent="0.25">
      <c r="A52" s="14">
        <v>48</v>
      </c>
      <c r="B52" s="15">
        <v>3000000356</v>
      </c>
      <c r="C52" s="16" t="s">
        <v>60</v>
      </c>
      <c r="D52" s="44" t="s">
        <v>12</v>
      </c>
      <c r="OZ52" s="115"/>
      <c r="PA52" s="115"/>
      <c r="PB52" s="115"/>
      <c r="PC52" s="115"/>
      <c r="PD52" s="115"/>
      <c r="PE52" s="115"/>
      <c r="PF52" s="115"/>
      <c r="PG52" s="115"/>
      <c r="PH52" s="115"/>
      <c r="PI52" s="115"/>
      <c r="PJ52" s="115"/>
      <c r="PK52" s="115"/>
      <c r="PL52" s="115"/>
      <c r="PM52" s="115"/>
      <c r="PN52" s="115"/>
      <c r="PO52" s="115"/>
      <c r="PP52" s="115"/>
      <c r="PQ52" s="115"/>
      <c r="PR52" s="115"/>
      <c r="PS52" s="115"/>
      <c r="PT52" s="115"/>
      <c r="PU52" s="115"/>
      <c r="PV52" s="115"/>
      <c r="PW52" s="115"/>
      <c r="PX52" s="115"/>
      <c r="PY52" s="115"/>
      <c r="PZ52" s="115"/>
      <c r="QA52" s="115"/>
      <c r="QB52" s="115"/>
      <c r="QC52" s="115"/>
      <c r="QD52" s="115"/>
      <c r="QE52" s="115"/>
      <c r="QF52" s="115"/>
      <c r="QG52" s="115"/>
      <c r="QH52" s="115"/>
      <c r="QI52" s="115"/>
      <c r="QJ52" s="115"/>
      <c r="QK52" s="115"/>
      <c r="QL52" s="115"/>
      <c r="QM52" s="115"/>
      <c r="QN52" s="115"/>
      <c r="QO52" s="115"/>
      <c r="QP52" s="115"/>
      <c r="QQ52" s="115"/>
      <c r="QR52" s="115"/>
      <c r="QS52" s="115"/>
      <c r="QT52" s="115"/>
      <c r="QU52" s="115"/>
      <c r="QV52" s="115"/>
      <c r="QW52" s="115"/>
      <c r="QX52" s="115"/>
      <c r="QY52" s="115"/>
      <c r="QZ52" s="115"/>
      <c r="RA52" s="115"/>
      <c r="RB52" s="115"/>
      <c r="RC52" s="115"/>
      <c r="RD52" s="115"/>
      <c r="RE52" s="115"/>
      <c r="RF52" s="115"/>
      <c r="RG52" s="115"/>
      <c r="RH52" s="115"/>
      <c r="RI52" s="115"/>
      <c r="RJ52" s="115"/>
      <c r="RK52" s="115"/>
      <c r="RL52" s="115"/>
      <c r="RM52" s="115"/>
      <c r="RN52" s="115"/>
      <c r="RO52" s="115"/>
      <c r="RP52" s="115"/>
      <c r="RQ52" s="115"/>
      <c r="RR52" s="115"/>
      <c r="RS52" s="115"/>
      <c r="RT52" s="115"/>
      <c r="RU52" s="115"/>
      <c r="RV52" s="115"/>
      <c r="RW52" s="115"/>
      <c r="RX52" s="115"/>
      <c r="RY52" s="115"/>
      <c r="RZ52" s="115"/>
      <c r="SA52" s="115"/>
      <c r="SB52" s="115"/>
      <c r="SC52" s="115"/>
      <c r="SD52" s="115"/>
      <c r="SE52" s="115"/>
      <c r="SF52" s="115"/>
      <c r="SG52" s="115"/>
      <c r="SH52" s="115"/>
      <c r="SI52" s="115"/>
      <c r="SJ52" s="115"/>
      <c r="SK52" s="115"/>
      <c r="SL52" s="115"/>
      <c r="SM52" s="115"/>
      <c r="SN52" s="115"/>
      <c r="SO52" s="115"/>
      <c r="SP52" s="115"/>
      <c r="SQ52" s="115"/>
      <c r="SR52" s="115"/>
      <c r="SS52" s="115"/>
      <c r="ST52" s="115"/>
      <c r="SU52" s="115"/>
      <c r="SV52" s="115"/>
      <c r="SW52" s="115"/>
      <c r="SX52" s="115"/>
      <c r="SY52" s="115"/>
      <c r="SZ52" s="115"/>
      <c r="TA52" s="115"/>
      <c r="TB52" s="115"/>
      <c r="TC52" s="115"/>
      <c r="TD52" s="115"/>
      <c r="TE52" s="115"/>
      <c r="TF52" s="115"/>
      <c r="TG52" s="115"/>
      <c r="TH52" s="115"/>
      <c r="TI52" s="115"/>
      <c r="TJ52" s="115"/>
      <c r="TK52" s="115"/>
      <c r="TL52" s="115"/>
      <c r="TM52" s="115"/>
      <c r="TN52" s="115"/>
      <c r="TO52" s="115"/>
      <c r="TP52" s="115"/>
      <c r="TQ52" s="115"/>
      <c r="TR52" s="115"/>
      <c r="TS52" s="115"/>
      <c r="TT52" s="115"/>
      <c r="TU52" s="115"/>
      <c r="TV52" s="115"/>
      <c r="TW52" s="115"/>
      <c r="TX52" s="115"/>
      <c r="TY52" s="115"/>
      <c r="TZ52" s="115"/>
      <c r="UA52" s="115"/>
      <c r="UB52" s="115"/>
      <c r="UC52" s="115"/>
      <c r="UD52" s="115"/>
      <c r="UE52" s="115"/>
      <c r="UF52" s="115"/>
      <c r="UG52" s="115"/>
      <c r="UH52" s="115"/>
      <c r="UI52" s="115"/>
      <c r="UJ52" s="115"/>
      <c r="UK52" s="115"/>
      <c r="UL52" s="115"/>
      <c r="UM52" s="115"/>
      <c r="UN52" s="115"/>
      <c r="UO52" s="115"/>
      <c r="UP52" s="115"/>
      <c r="UQ52" s="115"/>
      <c r="UR52" s="115"/>
      <c r="US52" s="115"/>
      <c r="UT52" s="115"/>
      <c r="UU52" s="115"/>
      <c r="UV52" s="115"/>
      <c r="UW52" s="115"/>
      <c r="UX52" s="115"/>
      <c r="UY52" s="115"/>
      <c r="UZ52" s="115"/>
      <c r="VA52" s="115"/>
      <c r="VB52" s="115"/>
      <c r="VC52" s="115"/>
      <c r="VD52" s="115"/>
      <c r="VE52" s="115"/>
      <c r="VF52" s="115"/>
      <c r="VG52" s="115"/>
      <c r="VH52" s="115"/>
      <c r="VI52" s="115"/>
      <c r="VJ52" s="115"/>
      <c r="VK52" s="115"/>
      <c r="VL52" s="115"/>
      <c r="VM52" s="115"/>
      <c r="VN52" s="115"/>
      <c r="VO52" s="115"/>
      <c r="VP52" s="115"/>
      <c r="VQ52" s="115"/>
      <c r="VR52" s="115"/>
      <c r="VS52" s="115"/>
      <c r="VT52" s="115"/>
      <c r="VU52" s="115"/>
      <c r="VV52" s="115"/>
      <c r="VW52" s="115"/>
      <c r="VX52" s="115"/>
      <c r="VY52" s="115"/>
      <c r="VZ52" s="115"/>
      <c r="WA52" s="115"/>
      <c r="WB52" s="115"/>
      <c r="WC52" s="115"/>
      <c r="WD52" s="115"/>
      <c r="WE52" s="115"/>
      <c r="WF52" s="115"/>
      <c r="WG52" s="115"/>
      <c r="WH52" s="115"/>
      <c r="WI52" s="115"/>
      <c r="WJ52" s="115"/>
      <c r="WK52" s="115"/>
      <c r="WL52" s="115"/>
      <c r="WM52" s="115"/>
      <c r="WN52" s="115"/>
      <c r="WO52" s="115"/>
      <c r="WP52" s="115"/>
      <c r="WQ52" s="115"/>
      <c r="WR52" s="115"/>
      <c r="WS52" s="115"/>
      <c r="WT52" s="115"/>
      <c r="WU52" s="115"/>
      <c r="WV52" s="115"/>
      <c r="WW52" s="115"/>
      <c r="WX52" s="115"/>
      <c r="WY52" s="115"/>
      <c r="WZ52" s="115"/>
      <c r="XA52" s="115"/>
      <c r="XB52" s="115"/>
      <c r="XC52" s="115"/>
      <c r="XD52" s="115"/>
      <c r="XE52" s="115"/>
      <c r="XF52" s="115"/>
      <c r="XG52" s="115"/>
      <c r="XH52" s="115"/>
      <c r="XI52" s="115"/>
      <c r="XJ52" s="115"/>
      <c r="XK52" s="115"/>
      <c r="XL52" s="115"/>
      <c r="XM52" s="115"/>
      <c r="XN52" s="115"/>
      <c r="XO52" s="115"/>
      <c r="XP52" s="115"/>
      <c r="XQ52" s="115"/>
      <c r="XR52" s="115"/>
      <c r="XS52" s="115"/>
      <c r="XT52" s="115"/>
      <c r="XU52" s="115"/>
      <c r="XV52" s="115"/>
      <c r="XW52" s="115"/>
      <c r="XX52" s="115"/>
      <c r="XY52" s="115"/>
      <c r="XZ52" s="115"/>
      <c r="YA52" s="115"/>
      <c r="YB52" s="115"/>
      <c r="YC52" s="115"/>
      <c r="YD52" s="115"/>
      <c r="YE52" s="115"/>
      <c r="YF52" s="115"/>
      <c r="YG52" s="115"/>
      <c r="YH52" s="115"/>
      <c r="YI52" s="115"/>
      <c r="YJ52" s="115"/>
      <c r="YK52" s="115"/>
      <c r="YL52" s="115"/>
      <c r="YM52" s="115"/>
      <c r="YN52" s="115"/>
      <c r="YO52" s="115"/>
      <c r="YP52" s="115"/>
      <c r="YQ52" s="115"/>
      <c r="YX52" s="22">
        <v>0</v>
      </c>
      <c r="YY52" s="22">
        <f>VLOOKUP(B52,'SCAFFOLDING MATERIAL OVERALL'!B54:S236,18,FALSE)</f>
        <v>4.5</v>
      </c>
      <c r="YZ52" s="22">
        <f t="shared" si="0"/>
        <v>0</v>
      </c>
    </row>
    <row r="53" spans="1:676" s="22" customFormat="1" x14ac:dyDescent="0.25">
      <c r="A53" s="14">
        <v>49</v>
      </c>
      <c r="B53" s="15">
        <v>3000000353</v>
      </c>
      <c r="C53" s="16" t="s">
        <v>61</v>
      </c>
      <c r="D53" s="44" t="s">
        <v>12</v>
      </c>
      <c r="OZ53" s="115"/>
      <c r="PA53" s="115"/>
      <c r="PB53" s="115"/>
      <c r="PC53" s="115"/>
      <c r="PD53" s="115"/>
      <c r="PE53" s="115"/>
      <c r="PF53" s="115"/>
      <c r="PG53" s="115"/>
      <c r="PH53" s="115"/>
      <c r="PI53" s="115"/>
      <c r="PJ53" s="115"/>
      <c r="PK53" s="115"/>
      <c r="PL53" s="115"/>
      <c r="PM53" s="115"/>
      <c r="PN53" s="115"/>
      <c r="PO53" s="115"/>
      <c r="PP53" s="115"/>
      <c r="PQ53" s="115"/>
      <c r="PR53" s="115"/>
      <c r="PS53" s="115"/>
      <c r="PT53" s="115"/>
      <c r="PU53" s="115"/>
      <c r="PV53" s="115"/>
      <c r="PW53" s="115"/>
      <c r="PX53" s="115"/>
      <c r="PY53" s="115"/>
      <c r="PZ53" s="115"/>
      <c r="QA53" s="115"/>
      <c r="QB53" s="115"/>
      <c r="QC53" s="115"/>
      <c r="QD53" s="115"/>
      <c r="QE53" s="115"/>
      <c r="QF53" s="115"/>
      <c r="QG53" s="115"/>
      <c r="QH53" s="115"/>
      <c r="QI53" s="115"/>
      <c r="QJ53" s="115"/>
      <c r="QK53" s="115"/>
      <c r="QL53" s="115"/>
      <c r="QM53" s="115"/>
      <c r="QN53" s="115"/>
      <c r="QO53" s="115"/>
      <c r="QP53" s="115"/>
      <c r="QQ53" s="115"/>
      <c r="QR53" s="115"/>
      <c r="QS53" s="115"/>
      <c r="QT53" s="115"/>
      <c r="QU53" s="115"/>
      <c r="QV53" s="115"/>
      <c r="QW53" s="115"/>
      <c r="QX53" s="115"/>
      <c r="QY53" s="115"/>
      <c r="QZ53" s="115"/>
      <c r="RA53" s="115"/>
      <c r="RB53" s="115"/>
      <c r="RC53" s="115"/>
      <c r="RD53" s="115"/>
      <c r="RE53" s="115"/>
      <c r="RF53" s="115"/>
      <c r="RG53" s="115"/>
      <c r="RH53" s="115"/>
      <c r="RI53" s="115"/>
      <c r="RJ53" s="115"/>
      <c r="RK53" s="115"/>
      <c r="RL53" s="115"/>
      <c r="RM53" s="115"/>
      <c r="RN53" s="115"/>
      <c r="RO53" s="115"/>
      <c r="RP53" s="115"/>
      <c r="RQ53" s="115"/>
      <c r="RR53" s="115"/>
      <c r="RS53" s="115"/>
      <c r="RT53" s="115"/>
      <c r="RU53" s="115"/>
      <c r="RV53" s="115"/>
      <c r="RW53" s="115"/>
      <c r="RX53" s="115"/>
      <c r="RY53" s="115"/>
      <c r="RZ53" s="115"/>
      <c r="SA53" s="115"/>
      <c r="SB53" s="115"/>
      <c r="SC53" s="115"/>
      <c r="SD53" s="115"/>
      <c r="SE53" s="115"/>
      <c r="SF53" s="115"/>
      <c r="SG53" s="115"/>
      <c r="SH53" s="115"/>
      <c r="SI53" s="115"/>
      <c r="SJ53" s="115"/>
      <c r="SK53" s="115"/>
      <c r="SL53" s="115"/>
      <c r="SM53" s="115"/>
      <c r="SN53" s="115"/>
      <c r="SO53" s="115"/>
      <c r="SP53" s="115"/>
      <c r="SQ53" s="115"/>
      <c r="SR53" s="115"/>
      <c r="SS53" s="115"/>
      <c r="ST53" s="115"/>
      <c r="SU53" s="115"/>
      <c r="SV53" s="115"/>
      <c r="SW53" s="115"/>
      <c r="SX53" s="115"/>
      <c r="SY53" s="115"/>
      <c r="SZ53" s="115"/>
      <c r="TA53" s="115"/>
      <c r="TB53" s="115"/>
      <c r="TC53" s="115"/>
      <c r="TD53" s="115"/>
      <c r="TE53" s="115"/>
      <c r="TF53" s="115"/>
      <c r="TG53" s="115"/>
      <c r="TH53" s="115"/>
      <c r="TI53" s="115"/>
      <c r="TJ53" s="115"/>
      <c r="TK53" s="115"/>
      <c r="TL53" s="115"/>
      <c r="TM53" s="115"/>
      <c r="TN53" s="115"/>
      <c r="TO53" s="115"/>
      <c r="TP53" s="115"/>
      <c r="TQ53" s="115"/>
      <c r="TR53" s="115"/>
      <c r="TS53" s="115"/>
      <c r="TT53" s="115"/>
      <c r="TU53" s="115"/>
      <c r="TV53" s="115"/>
      <c r="TW53" s="115"/>
      <c r="TX53" s="115"/>
      <c r="TY53" s="115"/>
      <c r="TZ53" s="115"/>
      <c r="UA53" s="115"/>
      <c r="UB53" s="115"/>
      <c r="UC53" s="115"/>
      <c r="UD53" s="115"/>
      <c r="UE53" s="115"/>
      <c r="UF53" s="115"/>
      <c r="UG53" s="115"/>
      <c r="UH53" s="115"/>
      <c r="UI53" s="115"/>
      <c r="UJ53" s="115"/>
      <c r="UK53" s="115"/>
      <c r="UL53" s="115"/>
      <c r="UM53" s="115"/>
      <c r="UN53" s="115"/>
      <c r="UO53" s="115"/>
      <c r="UP53" s="115"/>
      <c r="UQ53" s="115"/>
      <c r="UR53" s="115"/>
      <c r="US53" s="115"/>
      <c r="UT53" s="115"/>
      <c r="UU53" s="115"/>
      <c r="UV53" s="115"/>
      <c r="UW53" s="115"/>
      <c r="UX53" s="115"/>
      <c r="UY53" s="115"/>
      <c r="UZ53" s="115"/>
      <c r="VA53" s="115"/>
      <c r="VB53" s="115"/>
      <c r="VC53" s="115"/>
      <c r="VD53" s="115"/>
      <c r="VE53" s="115"/>
      <c r="VF53" s="115"/>
      <c r="VG53" s="115"/>
      <c r="VH53" s="115"/>
      <c r="VI53" s="115"/>
      <c r="VJ53" s="115"/>
      <c r="VK53" s="115"/>
      <c r="VL53" s="115"/>
      <c r="VM53" s="115"/>
      <c r="VN53" s="115"/>
      <c r="VO53" s="115"/>
      <c r="VP53" s="115"/>
      <c r="VQ53" s="115"/>
      <c r="VR53" s="115"/>
      <c r="VS53" s="115"/>
      <c r="VT53" s="115"/>
      <c r="VU53" s="115"/>
      <c r="VV53" s="115"/>
      <c r="VW53" s="115"/>
      <c r="VX53" s="115"/>
      <c r="VY53" s="115"/>
      <c r="VZ53" s="115"/>
      <c r="WA53" s="115"/>
      <c r="WB53" s="115"/>
      <c r="WC53" s="115"/>
      <c r="WD53" s="115"/>
      <c r="WE53" s="115"/>
      <c r="WF53" s="115"/>
      <c r="WG53" s="115"/>
      <c r="WH53" s="115"/>
      <c r="WI53" s="115"/>
      <c r="WJ53" s="115"/>
      <c r="WK53" s="115"/>
      <c r="WL53" s="115"/>
      <c r="WM53" s="115"/>
      <c r="WN53" s="115"/>
      <c r="WO53" s="115"/>
      <c r="WP53" s="115"/>
      <c r="WQ53" s="115"/>
      <c r="WR53" s="115"/>
      <c r="WS53" s="115"/>
      <c r="WT53" s="115"/>
      <c r="WU53" s="115"/>
      <c r="WV53" s="115"/>
      <c r="WW53" s="115"/>
      <c r="WX53" s="115"/>
      <c r="WY53" s="115"/>
      <c r="WZ53" s="115"/>
      <c r="XA53" s="115"/>
      <c r="XB53" s="115"/>
      <c r="XC53" s="115"/>
      <c r="XD53" s="115"/>
      <c r="XE53" s="115"/>
      <c r="XF53" s="115"/>
      <c r="XG53" s="115"/>
      <c r="XH53" s="115"/>
      <c r="XI53" s="115"/>
      <c r="XJ53" s="115"/>
      <c r="XK53" s="115"/>
      <c r="XL53" s="115"/>
      <c r="XM53" s="115"/>
      <c r="XN53" s="115"/>
      <c r="XO53" s="115"/>
      <c r="XP53" s="115"/>
      <c r="XQ53" s="115"/>
      <c r="XR53" s="115"/>
      <c r="XS53" s="115"/>
      <c r="XT53" s="115"/>
      <c r="XU53" s="115"/>
      <c r="XV53" s="115"/>
      <c r="XW53" s="115"/>
      <c r="XX53" s="115"/>
      <c r="XY53" s="115"/>
      <c r="XZ53" s="115"/>
      <c r="YA53" s="115"/>
      <c r="YB53" s="115"/>
      <c r="YC53" s="115"/>
      <c r="YD53" s="115"/>
      <c r="YE53" s="115"/>
      <c r="YF53" s="115"/>
      <c r="YG53" s="115"/>
      <c r="YH53" s="115"/>
      <c r="YI53" s="115"/>
      <c r="YJ53" s="115"/>
      <c r="YK53" s="115"/>
      <c r="YL53" s="115"/>
      <c r="YM53" s="115"/>
      <c r="YN53" s="115"/>
      <c r="YO53" s="115"/>
      <c r="YP53" s="115"/>
      <c r="YQ53" s="115"/>
      <c r="YX53" s="22">
        <v>0</v>
      </c>
      <c r="YY53" s="22">
        <f>VLOOKUP(B53,'SCAFFOLDING MATERIAL OVERALL'!B55:S237,18,FALSE)</f>
        <v>5.97</v>
      </c>
      <c r="YZ53" s="22">
        <f t="shared" si="0"/>
        <v>0</v>
      </c>
    </row>
    <row r="54" spans="1:676" s="22" customFormat="1" x14ac:dyDescent="0.25">
      <c r="A54" s="17">
        <v>50</v>
      </c>
      <c r="B54" s="15">
        <v>3000000437</v>
      </c>
      <c r="C54" s="16" t="s">
        <v>62</v>
      </c>
      <c r="D54" s="44" t="s">
        <v>12</v>
      </c>
      <c r="L54" s="22">
        <v>685</v>
      </c>
      <c r="R54" s="22" t="s">
        <v>35</v>
      </c>
      <c r="S54" s="22" t="s">
        <v>35</v>
      </c>
      <c r="T54" s="22" t="s">
        <v>35</v>
      </c>
      <c r="U54" s="22">
        <v>50</v>
      </c>
      <c r="V54" s="22" t="s">
        <v>35</v>
      </c>
      <c r="W54" s="22" t="s">
        <v>35</v>
      </c>
      <c r="X54" s="22" t="s">
        <v>35</v>
      </c>
      <c r="Y54" s="22" t="s">
        <v>35</v>
      </c>
      <c r="Z54" s="22">
        <v>2000</v>
      </c>
      <c r="AA54" s="22" t="s">
        <v>35</v>
      </c>
      <c r="AB54" s="22" t="s">
        <v>35</v>
      </c>
      <c r="AC54" s="22" t="s">
        <v>35</v>
      </c>
      <c r="AD54" s="22" t="s">
        <v>35</v>
      </c>
      <c r="AR54" s="22">
        <v>4200</v>
      </c>
      <c r="AZ54" s="22">
        <v>1050</v>
      </c>
      <c r="BA54" s="22">
        <v>6225</v>
      </c>
      <c r="BE54" s="22">
        <v>8000</v>
      </c>
      <c r="BJ54" s="22">
        <v>525</v>
      </c>
      <c r="CD54" s="22">
        <v>2000</v>
      </c>
      <c r="DE54" s="22">
        <v>500</v>
      </c>
      <c r="DV54" s="22">
        <v>1500</v>
      </c>
      <c r="GN54" s="22">
        <v>2000</v>
      </c>
      <c r="GR54" s="22">
        <v>870</v>
      </c>
      <c r="HA54" s="22">
        <v>10000</v>
      </c>
      <c r="IS54" s="22">
        <v>5000</v>
      </c>
      <c r="JU54" s="22">
        <v>500</v>
      </c>
      <c r="JZ54" s="22">
        <v>400</v>
      </c>
      <c r="KX54" s="22">
        <v>950</v>
      </c>
      <c r="LB54" s="22">
        <v>918</v>
      </c>
      <c r="LG54" s="22">
        <v>500</v>
      </c>
      <c r="LK54" s="22">
        <v>400</v>
      </c>
      <c r="MD54" s="22">
        <v>1122</v>
      </c>
      <c r="MX54" s="22">
        <v>500</v>
      </c>
      <c r="MZ54" s="22">
        <v>600</v>
      </c>
      <c r="NF54" s="22">
        <v>117</v>
      </c>
      <c r="NJ54" s="22">
        <v>400</v>
      </c>
      <c r="NK54" s="22">
        <v>250</v>
      </c>
      <c r="OA54" s="22">
        <v>2000</v>
      </c>
      <c r="OC54" s="22">
        <v>2000</v>
      </c>
      <c r="OZ54" s="115"/>
      <c r="PA54" s="115"/>
      <c r="PB54" s="115"/>
      <c r="PC54" s="115" t="s">
        <v>35</v>
      </c>
      <c r="PD54" s="115" t="s">
        <v>35</v>
      </c>
      <c r="PE54" s="115" t="s">
        <v>35</v>
      </c>
      <c r="PF54" s="115" t="s">
        <v>35</v>
      </c>
      <c r="PG54" s="115">
        <v>9000</v>
      </c>
      <c r="PH54" s="115" t="s">
        <v>35</v>
      </c>
      <c r="PI54" s="115" t="s">
        <v>35</v>
      </c>
      <c r="PJ54" s="115" t="s">
        <v>35</v>
      </c>
      <c r="PK54" s="115"/>
      <c r="PL54" s="115"/>
      <c r="PM54" s="115"/>
      <c r="PN54" s="115"/>
      <c r="PO54" s="115"/>
      <c r="PP54" s="115"/>
      <c r="PQ54" s="115"/>
      <c r="PR54" s="115"/>
      <c r="PS54" s="115"/>
      <c r="PT54" s="115"/>
      <c r="PU54" s="115"/>
      <c r="PV54" s="115"/>
      <c r="PW54" s="115"/>
      <c r="PX54" s="115"/>
      <c r="PY54" s="115"/>
      <c r="PZ54" s="115"/>
      <c r="QA54" s="115"/>
      <c r="QB54" s="115"/>
      <c r="QC54" s="115"/>
      <c r="QD54" s="115"/>
      <c r="QE54" s="115"/>
      <c r="QF54" s="115"/>
      <c r="QG54" s="115"/>
      <c r="QH54" s="115"/>
      <c r="QI54" s="115"/>
      <c r="QJ54" s="115"/>
      <c r="QK54" s="115"/>
      <c r="QL54" s="115"/>
      <c r="QM54" s="115"/>
      <c r="QN54" s="115"/>
      <c r="QO54" s="115"/>
      <c r="QP54" s="115"/>
      <c r="QQ54" s="115"/>
      <c r="QR54" s="115"/>
      <c r="QS54" s="115"/>
      <c r="QT54" s="115"/>
      <c r="QU54" s="115"/>
      <c r="QV54" s="115"/>
      <c r="QW54" s="115"/>
      <c r="QX54" s="115"/>
      <c r="QY54" s="115"/>
      <c r="QZ54" s="115"/>
      <c r="RA54" s="115"/>
      <c r="RB54" s="115"/>
      <c r="RC54" s="115">
        <v>5040</v>
      </c>
      <c r="RD54" s="115">
        <v>4960</v>
      </c>
      <c r="RE54" s="115"/>
      <c r="RF54" s="115"/>
      <c r="RG54" s="115">
        <v>1000</v>
      </c>
      <c r="RH54" s="115"/>
      <c r="RI54" s="115"/>
      <c r="RJ54" s="115"/>
      <c r="RK54" s="115"/>
      <c r="RL54" s="115"/>
      <c r="RM54" s="115"/>
      <c r="RN54" s="115"/>
      <c r="RO54" s="115"/>
      <c r="RP54" s="115"/>
      <c r="RQ54" s="115"/>
      <c r="RR54" s="115"/>
      <c r="RS54" s="115"/>
      <c r="RT54" s="115"/>
      <c r="RU54" s="115">
        <v>7000</v>
      </c>
      <c r="RV54" s="115"/>
      <c r="RW54" s="115"/>
      <c r="RX54" s="115"/>
      <c r="RY54" s="115"/>
      <c r="RZ54" s="115"/>
      <c r="SA54" s="115"/>
      <c r="SB54" s="115"/>
      <c r="SC54" s="115"/>
      <c r="SD54" s="115"/>
      <c r="SE54" s="115"/>
      <c r="SF54" s="115"/>
      <c r="SG54" s="115"/>
      <c r="SH54" s="115"/>
      <c r="SI54" s="115"/>
      <c r="SJ54" s="115"/>
      <c r="SK54" s="115"/>
      <c r="SL54" s="115"/>
      <c r="SM54" s="115"/>
      <c r="SN54" s="115"/>
      <c r="SO54" s="115"/>
      <c r="SP54" s="115"/>
      <c r="SQ54" s="115"/>
      <c r="SR54" s="115"/>
      <c r="SS54" s="115"/>
      <c r="ST54" s="115"/>
      <c r="SU54" s="115"/>
      <c r="SV54" s="115"/>
      <c r="SW54" s="115"/>
      <c r="SX54" s="115"/>
      <c r="SY54" s="115"/>
      <c r="SZ54" s="115"/>
      <c r="TA54" s="115">
        <v>5000</v>
      </c>
      <c r="TB54" s="115"/>
      <c r="TC54" s="115"/>
      <c r="TD54" s="115"/>
      <c r="TE54" s="115"/>
      <c r="TF54" s="115"/>
      <c r="TG54" s="115"/>
      <c r="TH54" s="115"/>
      <c r="TI54" s="115"/>
      <c r="TJ54" s="115"/>
      <c r="TK54" s="115"/>
      <c r="TL54" s="115"/>
      <c r="TM54" s="115"/>
      <c r="TN54" s="115"/>
      <c r="TO54" s="115"/>
      <c r="TP54" s="115"/>
      <c r="TQ54" s="115"/>
      <c r="TR54" s="115"/>
      <c r="TS54" s="115"/>
      <c r="TT54" s="115"/>
      <c r="TU54" s="115">
        <v>3123</v>
      </c>
      <c r="TV54" s="115"/>
      <c r="TW54" s="115"/>
      <c r="TX54" s="115"/>
      <c r="TY54" s="115"/>
      <c r="TZ54" s="115"/>
      <c r="UA54" s="115"/>
      <c r="UB54" s="115"/>
      <c r="UC54" s="115"/>
      <c r="UD54" s="115"/>
      <c r="UE54" s="115">
        <v>4000</v>
      </c>
      <c r="UF54" s="115"/>
      <c r="UG54" s="115"/>
      <c r="UH54" s="115"/>
      <c r="UI54" s="115"/>
      <c r="UJ54" s="115"/>
      <c r="UK54" s="115"/>
      <c r="UL54" s="115"/>
      <c r="UM54" s="115"/>
      <c r="UN54" s="115"/>
      <c r="UO54" s="115">
        <v>1000</v>
      </c>
      <c r="UP54" s="115"/>
      <c r="UQ54" s="115">
        <v>2000</v>
      </c>
      <c r="UR54" s="115"/>
      <c r="US54" s="115"/>
      <c r="UT54" s="115"/>
      <c r="UU54" s="115"/>
      <c r="UV54" s="115"/>
      <c r="UW54" s="115"/>
      <c r="UX54" s="115">
        <v>1500</v>
      </c>
      <c r="UY54" s="115"/>
      <c r="UZ54" s="115"/>
      <c r="VA54" s="115"/>
      <c r="VB54" s="115"/>
      <c r="VC54" s="115"/>
      <c r="VD54" s="115"/>
      <c r="VE54" s="115"/>
      <c r="VF54" s="115"/>
      <c r="VG54" s="115">
        <v>377</v>
      </c>
      <c r="VH54" s="115"/>
      <c r="VI54" s="115">
        <v>500</v>
      </c>
      <c r="VJ54" s="115"/>
      <c r="VK54" s="115">
        <v>1000</v>
      </c>
      <c r="VL54" s="115"/>
      <c r="VM54" s="115"/>
      <c r="VN54" s="115"/>
      <c r="VO54" s="115"/>
      <c r="VP54" s="115"/>
      <c r="VQ54" s="115"/>
      <c r="VR54" s="115"/>
      <c r="VS54" s="115"/>
      <c r="VT54" s="115"/>
      <c r="VU54" s="115"/>
      <c r="VV54" s="115"/>
      <c r="VW54" s="115"/>
      <c r="VX54" s="115"/>
      <c r="VY54" s="115"/>
      <c r="VZ54" s="115"/>
      <c r="WA54" s="115"/>
      <c r="WB54" s="115"/>
      <c r="WC54" s="115">
        <v>2000</v>
      </c>
      <c r="WD54" s="115"/>
      <c r="WE54" s="115"/>
      <c r="WF54" s="115"/>
      <c r="WG54" s="115"/>
      <c r="WH54" s="115"/>
      <c r="WI54" s="115"/>
      <c r="WJ54" s="115"/>
      <c r="WK54" s="115"/>
      <c r="WL54" s="115"/>
      <c r="WM54" s="115">
        <v>2000</v>
      </c>
      <c r="WN54" s="115"/>
      <c r="WO54" s="115"/>
      <c r="WP54" s="115"/>
      <c r="WQ54" s="115"/>
      <c r="WR54" s="115">
        <v>4000</v>
      </c>
      <c r="WS54" s="115">
        <v>2000</v>
      </c>
      <c r="WT54" s="115"/>
      <c r="WU54" s="115">
        <v>3000</v>
      </c>
      <c r="WV54" s="115"/>
      <c r="WW54" s="115"/>
      <c r="WX54" s="115"/>
      <c r="WY54" s="115"/>
      <c r="WZ54" s="115"/>
      <c r="XA54" s="115"/>
      <c r="XB54" s="115"/>
      <c r="XC54" s="115"/>
      <c r="XD54" s="115"/>
      <c r="XE54" s="115"/>
      <c r="XF54" s="115"/>
      <c r="XG54" s="115"/>
      <c r="XH54" s="115"/>
      <c r="XI54" s="115"/>
      <c r="XJ54" s="115"/>
      <c r="XK54" s="115"/>
      <c r="XL54" s="115"/>
      <c r="XM54" s="115"/>
      <c r="XN54" s="115"/>
      <c r="XO54" s="115"/>
      <c r="XP54" s="115"/>
      <c r="XQ54" s="115"/>
      <c r="XR54" s="115"/>
      <c r="XS54" s="115"/>
      <c r="XT54" s="115"/>
      <c r="XU54" s="115"/>
      <c r="XV54" s="115"/>
      <c r="XW54" s="115"/>
      <c r="XX54" s="115"/>
      <c r="XY54" s="115"/>
      <c r="XZ54" s="115"/>
      <c r="YA54" s="115"/>
      <c r="YB54" s="115"/>
      <c r="YC54" s="115"/>
      <c r="YD54" s="115"/>
      <c r="YE54" s="115"/>
      <c r="YF54" s="115"/>
      <c r="YG54" s="115"/>
      <c r="YH54" s="115"/>
      <c r="YI54" s="115"/>
      <c r="YJ54" s="115"/>
      <c r="YK54" s="115"/>
      <c r="YL54" s="115"/>
      <c r="YM54" s="115"/>
      <c r="YN54" s="115"/>
      <c r="YO54" s="115"/>
      <c r="YP54" s="115"/>
      <c r="YQ54" s="115"/>
      <c r="YX54" s="22">
        <v>113762</v>
      </c>
      <c r="YY54" s="22">
        <f>VLOOKUP(B54,'SCAFFOLDING MATERIAL OVERALL'!B56:S238,18,FALSE)</f>
        <v>1.05</v>
      </c>
      <c r="YZ54" s="22">
        <f t="shared" si="0"/>
        <v>119450.1</v>
      </c>
    </row>
    <row r="55" spans="1:676" s="22" customFormat="1" x14ac:dyDescent="0.25">
      <c r="A55" s="14">
        <v>51</v>
      </c>
      <c r="B55" s="15">
        <v>1000005010</v>
      </c>
      <c r="C55" s="16" t="s">
        <v>63</v>
      </c>
      <c r="D55" s="44" t="s">
        <v>12</v>
      </c>
      <c r="OZ55" s="115"/>
      <c r="PA55" s="115"/>
      <c r="PB55" s="115"/>
      <c r="PC55" s="115"/>
      <c r="PD55" s="115"/>
      <c r="PE55" s="115"/>
      <c r="PF55" s="115"/>
      <c r="PG55" s="115"/>
      <c r="PH55" s="115"/>
      <c r="PI55" s="115"/>
      <c r="PJ55" s="115"/>
      <c r="PK55" s="115"/>
      <c r="PL55" s="115"/>
      <c r="PM55" s="115"/>
      <c r="PN55" s="115"/>
      <c r="PO55" s="115"/>
      <c r="PP55" s="115"/>
      <c r="PQ55" s="115"/>
      <c r="PR55" s="115"/>
      <c r="PS55" s="115"/>
      <c r="PT55" s="115"/>
      <c r="PU55" s="115"/>
      <c r="PV55" s="115"/>
      <c r="PW55" s="115"/>
      <c r="PX55" s="115"/>
      <c r="PY55" s="115"/>
      <c r="PZ55" s="115"/>
      <c r="QA55" s="115"/>
      <c r="QB55" s="115"/>
      <c r="QC55" s="115"/>
      <c r="QD55" s="115"/>
      <c r="QE55" s="115"/>
      <c r="QF55" s="115"/>
      <c r="QG55" s="115"/>
      <c r="QH55" s="115"/>
      <c r="QI55" s="115"/>
      <c r="QJ55" s="115"/>
      <c r="QK55" s="115"/>
      <c r="QL55" s="115"/>
      <c r="QM55" s="115"/>
      <c r="QN55" s="115"/>
      <c r="QO55" s="115"/>
      <c r="QP55" s="115"/>
      <c r="QQ55" s="115"/>
      <c r="QR55" s="115"/>
      <c r="QS55" s="115"/>
      <c r="QT55" s="115"/>
      <c r="QU55" s="115"/>
      <c r="QV55" s="115"/>
      <c r="QW55" s="115"/>
      <c r="QX55" s="115"/>
      <c r="QY55" s="115"/>
      <c r="QZ55" s="115"/>
      <c r="RA55" s="115"/>
      <c r="RB55" s="115"/>
      <c r="RC55" s="115"/>
      <c r="RD55" s="115"/>
      <c r="RE55" s="115"/>
      <c r="RF55" s="115"/>
      <c r="RG55" s="115"/>
      <c r="RH55" s="115"/>
      <c r="RI55" s="115"/>
      <c r="RJ55" s="115"/>
      <c r="RK55" s="115"/>
      <c r="RL55" s="115"/>
      <c r="RM55" s="115"/>
      <c r="RN55" s="115"/>
      <c r="RO55" s="115"/>
      <c r="RP55" s="115"/>
      <c r="RQ55" s="115"/>
      <c r="RR55" s="115"/>
      <c r="RS55" s="115"/>
      <c r="RT55" s="115"/>
      <c r="RU55" s="115"/>
      <c r="RV55" s="115"/>
      <c r="RW55" s="115"/>
      <c r="RX55" s="115"/>
      <c r="RY55" s="115"/>
      <c r="RZ55" s="115"/>
      <c r="SA55" s="115"/>
      <c r="SB55" s="115"/>
      <c r="SC55" s="115"/>
      <c r="SD55" s="115"/>
      <c r="SE55" s="115"/>
      <c r="SF55" s="115"/>
      <c r="SG55" s="115"/>
      <c r="SH55" s="115"/>
      <c r="SI55" s="115"/>
      <c r="SJ55" s="115"/>
      <c r="SK55" s="115"/>
      <c r="SL55" s="115"/>
      <c r="SM55" s="115"/>
      <c r="SN55" s="115"/>
      <c r="SO55" s="115"/>
      <c r="SP55" s="115"/>
      <c r="SQ55" s="115"/>
      <c r="SR55" s="115"/>
      <c r="SS55" s="115"/>
      <c r="ST55" s="115"/>
      <c r="SU55" s="115"/>
      <c r="SV55" s="115"/>
      <c r="SW55" s="115"/>
      <c r="SX55" s="115"/>
      <c r="SY55" s="115"/>
      <c r="SZ55" s="115"/>
      <c r="TA55" s="115"/>
      <c r="TB55" s="115"/>
      <c r="TC55" s="115"/>
      <c r="TD55" s="115"/>
      <c r="TE55" s="115"/>
      <c r="TF55" s="115"/>
      <c r="TG55" s="115"/>
      <c r="TH55" s="115"/>
      <c r="TI55" s="115"/>
      <c r="TJ55" s="115"/>
      <c r="TK55" s="115"/>
      <c r="TL55" s="115"/>
      <c r="TM55" s="115"/>
      <c r="TN55" s="115"/>
      <c r="TO55" s="115"/>
      <c r="TP55" s="115"/>
      <c r="TQ55" s="115"/>
      <c r="TR55" s="115"/>
      <c r="TS55" s="115"/>
      <c r="TT55" s="115"/>
      <c r="TU55" s="115"/>
      <c r="TV55" s="115"/>
      <c r="TW55" s="115"/>
      <c r="TX55" s="115"/>
      <c r="TY55" s="115"/>
      <c r="TZ55" s="115"/>
      <c r="UA55" s="115"/>
      <c r="UB55" s="115"/>
      <c r="UC55" s="115"/>
      <c r="UD55" s="115"/>
      <c r="UE55" s="115"/>
      <c r="UF55" s="115"/>
      <c r="UG55" s="115"/>
      <c r="UH55" s="115"/>
      <c r="UI55" s="115"/>
      <c r="UJ55" s="115"/>
      <c r="UK55" s="115"/>
      <c r="UL55" s="115"/>
      <c r="UM55" s="115"/>
      <c r="UN55" s="115"/>
      <c r="UO55" s="115"/>
      <c r="UP55" s="115"/>
      <c r="UQ55" s="115"/>
      <c r="UR55" s="115"/>
      <c r="US55" s="115"/>
      <c r="UT55" s="115"/>
      <c r="UU55" s="115"/>
      <c r="UV55" s="115"/>
      <c r="UW55" s="115"/>
      <c r="UX55" s="115"/>
      <c r="UY55" s="115"/>
      <c r="UZ55" s="115"/>
      <c r="VA55" s="115"/>
      <c r="VB55" s="115"/>
      <c r="VC55" s="115"/>
      <c r="VD55" s="115"/>
      <c r="VE55" s="115"/>
      <c r="VF55" s="115"/>
      <c r="VG55" s="115"/>
      <c r="VH55" s="115"/>
      <c r="VI55" s="115"/>
      <c r="VJ55" s="115"/>
      <c r="VK55" s="115"/>
      <c r="VL55" s="115"/>
      <c r="VM55" s="115"/>
      <c r="VN55" s="115"/>
      <c r="VO55" s="115"/>
      <c r="VP55" s="115"/>
      <c r="VQ55" s="115"/>
      <c r="VR55" s="115"/>
      <c r="VS55" s="115"/>
      <c r="VT55" s="115"/>
      <c r="VU55" s="115"/>
      <c r="VV55" s="115"/>
      <c r="VW55" s="115"/>
      <c r="VX55" s="115"/>
      <c r="VY55" s="115"/>
      <c r="VZ55" s="115"/>
      <c r="WA55" s="115"/>
      <c r="WB55" s="115"/>
      <c r="WC55" s="115"/>
      <c r="WD55" s="115"/>
      <c r="WE55" s="115"/>
      <c r="WF55" s="115"/>
      <c r="WG55" s="115"/>
      <c r="WH55" s="115"/>
      <c r="WI55" s="115"/>
      <c r="WJ55" s="115"/>
      <c r="WK55" s="115"/>
      <c r="WL55" s="115"/>
      <c r="WM55" s="115"/>
      <c r="WN55" s="115"/>
      <c r="WO55" s="115"/>
      <c r="WP55" s="115"/>
      <c r="WQ55" s="115"/>
      <c r="WR55" s="115"/>
      <c r="WS55" s="115"/>
      <c r="WT55" s="115"/>
      <c r="WU55" s="115"/>
      <c r="WV55" s="115"/>
      <c r="WW55" s="115"/>
      <c r="WX55" s="115"/>
      <c r="WY55" s="115"/>
      <c r="WZ55" s="115"/>
      <c r="XA55" s="115"/>
      <c r="XB55" s="115"/>
      <c r="XC55" s="115"/>
      <c r="XD55" s="115"/>
      <c r="XE55" s="115"/>
      <c r="XF55" s="115"/>
      <c r="XG55" s="115"/>
      <c r="XH55" s="115"/>
      <c r="XI55" s="115"/>
      <c r="XJ55" s="115"/>
      <c r="XK55" s="115"/>
      <c r="XL55" s="115"/>
      <c r="XM55" s="115"/>
      <c r="XN55" s="115"/>
      <c r="XO55" s="115"/>
      <c r="XP55" s="115"/>
      <c r="XQ55" s="115"/>
      <c r="XR55" s="115"/>
      <c r="XS55" s="115"/>
      <c r="XT55" s="115"/>
      <c r="XU55" s="115"/>
      <c r="XV55" s="115"/>
      <c r="XW55" s="115"/>
      <c r="XX55" s="115"/>
      <c r="XY55" s="115"/>
      <c r="XZ55" s="115"/>
      <c r="YA55" s="115"/>
      <c r="YB55" s="115"/>
      <c r="YC55" s="115"/>
      <c r="YD55" s="115"/>
      <c r="YE55" s="115"/>
      <c r="YF55" s="115"/>
      <c r="YG55" s="115"/>
      <c r="YH55" s="115"/>
      <c r="YI55" s="115"/>
      <c r="YJ55" s="115"/>
      <c r="YK55" s="115"/>
      <c r="YL55" s="115"/>
      <c r="YM55" s="115"/>
      <c r="YN55" s="115"/>
      <c r="YO55" s="115"/>
      <c r="YP55" s="115"/>
      <c r="YQ55" s="115"/>
      <c r="YX55" s="22">
        <v>0</v>
      </c>
      <c r="YY55" s="22">
        <f>VLOOKUP(B55,'SCAFFOLDING MATERIAL OVERALL'!B57:S239,18,FALSE)</f>
        <v>7.45</v>
      </c>
      <c r="YZ55" s="22">
        <f t="shared" si="0"/>
        <v>0</v>
      </c>
    </row>
    <row r="56" spans="1:676" s="22" customFormat="1" x14ac:dyDescent="0.25">
      <c r="A56" s="14">
        <v>52</v>
      </c>
      <c r="B56" s="15">
        <v>1000005004</v>
      </c>
      <c r="C56" s="16" t="s">
        <v>64</v>
      </c>
      <c r="D56" s="44" t="s">
        <v>12</v>
      </c>
      <c r="OZ56" s="115"/>
      <c r="PA56" s="115"/>
      <c r="PB56" s="115"/>
      <c r="PC56" s="115"/>
      <c r="PD56" s="115"/>
      <c r="PE56" s="115"/>
      <c r="PF56" s="115"/>
      <c r="PG56" s="115"/>
      <c r="PH56" s="115"/>
      <c r="PI56" s="115"/>
      <c r="PJ56" s="115"/>
      <c r="PK56" s="115"/>
      <c r="PL56" s="115"/>
      <c r="PM56" s="115"/>
      <c r="PN56" s="115"/>
      <c r="PO56" s="115"/>
      <c r="PP56" s="115"/>
      <c r="PQ56" s="115"/>
      <c r="PR56" s="115"/>
      <c r="PS56" s="115"/>
      <c r="PT56" s="115"/>
      <c r="PU56" s="115"/>
      <c r="PV56" s="115"/>
      <c r="PW56" s="115"/>
      <c r="PX56" s="115"/>
      <c r="PY56" s="115"/>
      <c r="PZ56" s="115"/>
      <c r="QA56" s="115"/>
      <c r="QB56" s="115"/>
      <c r="QC56" s="115"/>
      <c r="QD56" s="115"/>
      <c r="QE56" s="115"/>
      <c r="QF56" s="115"/>
      <c r="QG56" s="115"/>
      <c r="QH56" s="115"/>
      <c r="QI56" s="115"/>
      <c r="QJ56" s="115"/>
      <c r="QK56" s="115"/>
      <c r="QL56" s="115"/>
      <c r="QM56" s="115"/>
      <c r="QN56" s="115"/>
      <c r="QO56" s="115"/>
      <c r="QP56" s="115"/>
      <c r="QQ56" s="115"/>
      <c r="QR56" s="115"/>
      <c r="QS56" s="115"/>
      <c r="QT56" s="115"/>
      <c r="QU56" s="115"/>
      <c r="QV56" s="115"/>
      <c r="QW56" s="115"/>
      <c r="QX56" s="115"/>
      <c r="QY56" s="115"/>
      <c r="QZ56" s="115"/>
      <c r="RA56" s="115"/>
      <c r="RB56" s="115"/>
      <c r="RC56" s="115"/>
      <c r="RD56" s="115"/>
      <c r="RE56" s="115"/>
      <c r="RF56" s="115"/>
      <c r="RG56" s="115"/>
      <c r="RH56" s="115"/>
      <c r="RI56" s="115"/>
      <c r="RJ56" s="115"/>
      <c r="RK56" s="115"/>
      <c r="RL56" s="115"/>
      <c r="RM56" s="115"/>
      <c r="RN56" s="115"/>
      <c r="RO56" s="115"/>
      <c r="RP56" s="115"/>
      <c r="RQ56" s="115"/>
      <c r="RR56" s="115"/>
      <c r="RS56" s="115"/>
      <c r="RT56" s="115"/>
      <c r="RU56" s="115"/>
      <c r="RV56" s="115"/>
      <c r="RW56" s="115"/>
      <c r="RX56" s="115"/>
      <c r="RY56" s="115"/>
      <c r="RZ56" s="115"/>
      <c r="SA56" s="115"/>
      <c r="SB56" s="115"/>
      <c r="SC56" s="115"/>
      <c r="SD56" s="115"/>
      <c r="SE56" s="115"/>
      <c r="SF56" s="115"/>
      <c r="SG56" s="115"/>
      <c r="SH56" s="115"/>
      <c r="SI56" s="115"/>
      <c r="SJ56" s="115"/>
      <c r="SK56" s="115"/>
      <c r="SL56" s="115"/>
      <c r="SM56" s="115"/>
      <c r="SN56" s="115"/>
      <c r="SO56" s="115"/>
      <c r="SP56" s="115"/>
      <c r="SQ56" s="115"/>
      <c r="SR56" s="115"/>
      <c r="SS56" s="115"/>
      <c r="ST56" s="115"/>
      <c r="SU56" s="115"/>
      <c r="SV56" s="115"/>
      <c r="SW56" s="115"/>
      <c r="SX56" s="115"/>
      <c r="SY56" s="115"/>
      <c r="SZ56" s="115"/>
      <c r="TA56" s="115"/>
      <c r="TB56" s="115"/>
      <c r="TC56" s="115"/>
      <c r="TD56" s="115"/>
      <c r="TE56" s="115"/>
      <c r="TF56" s="115"/>
      <c r="TG56" s="115"/>
      <c r="TH56" s="115"/>
      <c r="TI56" s="115"/>
      <c r="TJ56" s="115"/>
      <c r="TK56" s="115"/>
      <c r="TL56" s="115"/>
      <c r="TM56" s="115"/>
      <c r="TN56" s="115"/>
      <c r="TO56" s="115"/>
      <c r="TP56" s="115"/>
      <c r="TQ56" s="115"/>
      <c r="TR56" s="115"/>
      <c r="TS56" s="115"/>
      <c r="TT56" s="115"/>
      <c r="TU56" s="115"/>
      <c r="TV56" s="115"/>
      <c r="TW56" s="115"/>
      <c r="TX56" s="115"/>
      <c r="TY56" s="115"/>
      <c r="TZ56" s="115"/>
      <c r="UA56" s="115"/>
      <c r="UB56" s="115"/>
      <c r="UC56" s="115"/>
      <c r="UD56" s="115"/>
      <c r="UE56" s="115"/>
      <c r="UF56" s="115"/>
      <c r="UG56" s="115"/>
      <c r="UH56" s="115"/>
      <c r="UI56" s="115"/>
      <c r="UJ56" s="115"/>
      <c r="UK56" s="115"/>
      <c r="UL56" s="115"/>
      <c r="UM56" s="115"/>
      <c r="UN56" s="115"/>
      <c r="UO56" s="115"/>
      <c r="UP56" s="115"/>
      <c r="UQ56" s="115"/>
      <c r="UR56" s="115"/>
      <c r="US56" s="115"/>
      <c r="UT56" s="115"/>
      <c r="UU56" s="115"/>
      <c r="UV56" s="115"/>
      <c r="UW56" s="115"/>
      <c r="UX56" s="115"/>
      <c r="UY56" s="115"/>
      <c r="UZ56" s="115"/>
      <c r="VA56" s="115"/>
      <c r="VB56" s="115"/>
      <c r="VC56" s="115"/>
      <c r="VD56" s="115"/>
      <c r="VE56" s="115"/>
      <c r="VF56" s="115"/>
      <c r="VG56" s="115"/>
      <c r="VH56" s="115"/>
      <c r="VI56" s="115"/>
      <c r="VJ56" s="115"/>
      <c r="VK56" s="115"/>
      <c r="VL56" s="115"/>
      <c r="VM56" s="115"/>
      <c r="VN56" s="115"/>
      <c r="VO56" s="115"/>
      <c r="VP56" s="115"/>
      <c r="VQ56" s="115"/>
      <c r="VR56" s="115"/>
      <c r="VS56" s="115"/>
      <c r="VT56" s="115"/>
      <c r="VU56" s="115"/>
      <c r="VV56" s="115"/>
      <c r="VW56" s="115"/>
      <c r="VX56" s="115"/>
      <c r="VY56" s="115"/>
      <c r="VZ56" s="115"/>
      <c r="WA56" s="115"/>
      <c r="WB56" s="115"/>
      <c r="WC56" s="115"/>
      <c r="WD56" s="115"/>
      <c r="WE56" s="115"/>
      <c r="WF56" s="115"/>
      <c r="WG56" s="115"/>
      <c r="WH56" s="115"/>
      <c r="WI56" s="115"/>
      <c r="WJ56" s="115"/>
      <c r="WK56" s="115"/>
      <c r="WL56" s="115"/>
      <c r="WM56" s="115"/>
      <c r="WN56" s="115"/>
      <c r="WO56" s="115"/>
      <c r="WP56" s="115"/>
      <c r="WQ56" s="115"/>
      <c r="WR56" s="115"/>
      <c r="WS56" s="115"/>
      <c r="WT56" s="115"/>
      <c r="WU56" s="115"/>
      <c r="WV56" s="115"/>
      <c r="WW56" s="115"/>
      <c r="WX56" s="115"/>
      <c r="WY56" s="115"/>
      <c r="WZ56" s="115"/>
      <c r="XA56" s="115"/>
      <c r="XB56" s="115"/>
      <c r="XC56" s="115"/>
      <c r="XD56" s="115"/>
      <c r="XE56" s="115"/>
      <c r="XF56" s="115"/>
      <c r="XG56" s="115"/>
      <c r="XH56" s="115"/>
      <c r="XI56" s="115"/>
      <c r="XJ56" s="115"/>
      <c r="XK56" s="115"/>
      <c r="XL56" s="115"/>
      <c r="XM56" s="115"/>
      <c r="XN56" s="115"/>
      <c r="XO56" s="115"/>
      <c r="XP56" s="115"/>
      <c r="XQ56" s="115"/>
      <c r="XR56" s="115"/>
      <c r="XS56" s="115"/>
      <c r="XT56" s="115"/>
      <c r="XU56" s="115"/>
      <c r="XV56" s="115"/>
      <c r="XW56" s="115"/>
      <c r="XX56" s="115"/>
      <c r="XY56" s="115"/>
      <c r="XZ56" s="115"/>
      <c r="YA56" s="115"/>
      <c r="YB56" s="115"/>
      <c r="YC56" s="115"/>
      <c r="YD56" s="115"/>
      <c r="YE56" s="115"/>
      <c r="YF56" s="115"/>
      <c r="YG56" s="115"/>
      <c r="YH56" s="115"/>
      <c r="YI56" s="115"/>
      <c r="YJ56" s="115"/>
      <c r="YK56" s="115"/>
      <c r="YL56" s="115"/>
      <c r="YM56" s="115"/>
      <c r="YN56" s="115"/>
      <c r="YO56" s="115"/>
      <c r="YP56" s="115"/>
      <c r="YQ56" s="115"/>
      <c r="YX56" s="22">
        <v>0</v>
      </c>
      <c r="YY56" s="22">
        <f>VLOOKUP(B56,'SCAFFOLDING MATERIAL OVERALL'!B58:S240,18,FALSE)</f>
        <v>1.23</v>
      </c>
      <c r="YZ56" s="22">
        <f t="shared" si="0"/>
        <v>0</v>
      </c>
    </row>
    <row r="57" spans="1:676" s="22" customFormat="1" x14ac:dyDescent="0.25">
      <c r="A57" s="17">
        <v>53</v>
      </c>
      <c r="B57" s="15">
        <v>1000005006</v>
      </c>
      <c r="C57" s="16" t="s">
        <v>65</v>
      </c>
      <c r="D57" s="44" t="s">
        <v>12</v>
      </c>
      <c r="OZ57" s="115"/>
      <c r="PA57" s="115"/>
      <c r="PB57" s="115"/>
      <c r="PC57" s="115"/>
      <c r="PD57" s="115"/>
      <c r="PE57" s="115"/>
      <c r="PF57" s="115"/>
      <c r="PG57" s="115"/>
      <c r="PH57" s="115"/>
      <c r="PI57" s="115"/>
      <c r="PJ57" s="115"/>
      <c r="PK57" s="115"/>
      <c r="PL57" s="115"/>
      <c r="PM57" s="115"/>
      <c r="PN57" s="115"/>
      <c r="PO57" s="115"/>
      <c r="PP57" s="115"/>
      <c r="PQ57" s="115"/>
      <c r="PR57" s="115"/>
      <c r="PS57" s="115"/>
      <c r="PT57" s="115"/>
      <c r="PU57" s="115"/>
      <c r="PV57" s="115"/>
      <c r="PW57" s="115"/>
      <c r="PX57" s="115"/>
      <c r="PY57" s="115"/>
      <c r="PZ57" s="115"/>
      <c r="QA57" s="115"/>
      <c r="QB57" s="115"/>
      <c r="QC57" s="115"/>
      <c r="QD57" s="115"/>
      <c r="QE57" s="115"/>
      <c r="QF57" s="115"/>
      <c r="QG57" s="115"/>
      <c r="QH57" s="115"/>
      <c r="QI57" s="115"/>
      <c r="QJ57" s="115"/>
      <c r="QK57" s="115"/>
      <c r="QL57" s="115"/>
      <c r="QM57" s="115"/>
      <c r="QN57" s="115"/>
      <c r="QO57" s="115"/>
      <c r="QP57" s="115"/>
      <c r="QQ57" s="115"/>
      <c r="QR57" s="115"/>
      <c r="QS57" s="115"/>
      <c r="QT57" s="115"/>
      <c r="QU57" s="115"/>
      <c r="QV57" s="115"/>
      <c r="QW57" s="115"/>
      <c r="QX57" s="115"/>
      <c r="QY57" s="115"/>
      <c r="QZ57" s="115"/>
      <c r="RA57" s="115"/>
      <c r="RB57" s="115"/>
      <c r="RC57" s="115"/>
      <c r="RD57" s="115"/>
      <c r="RE57" s="115"/>
      <c r="RF57" s="115"/>
      <c r="RG57" s="115"/>
      <c r="RH57" s="115"/>
      <c r="RI57" s="115"/>
      <c r="RJ57" s="115"/>
      <c r="RK57" s="115"/>
      <c r="RL57" s="115"/>
      <c r="RM57" s="115"/>
      <c r="RN57" s="115"/>
      <c r="RO57" s="115"/>
      <c r="RP57" s="115"/>
      <c r="RQ57" s="115"/>
      <c r="RR57" s="115"/>
      <c r="RS57" s="115"/>
      <c r="RT57" s="115"/>
      <c r="RU57" s="115"/>
      <c r="RV57" s="115"/>
      <c r="RW57" s="115"/>
      <c r="RX57" s="115"/>
      <c r="RY57" s="115"/>
      <c r="RZ57" s="115"/>
      <c r="SA57" s="115"/>
      <c r="SB57" s="115"/>
      <c r="SC57" s="115"/>
      <c r="SD57" s="115"/>
      <c r="SE57" s="115"/>
      <c r="SF57" s="115"/>
      <c r="SG57" s="115"/>
      <c r="SH57" s="115"/>
      <c r="SI57" s="115"/>
      <c r="SJ57" s="115"/>
      <c r="SK57" s="115"/>
      <c r="SL57" s="115"/>
      <c r="SM57" s="115"/>
      <c r="SN57" s="115"/>
      <c r="SO57" s="115"/>
      <c r="SP57" s="115"/>
      <c r="SQ57" s="115"/>
      <c r="SR57" s="115"/>
      <c r="SS57" s="115"/>
      <c r="ST57" s="115"/>
      <c r="SU57" s="115"/>
      <c r="SV57" s="115"/>
      <c r="SW57" s="115"/>
      <c r="SX57" s="115"/>
      <c r="SY57" s="115"/>
      <c r="SZ57" s="115"/>
      <c r="TA57" s="115"/>
      <c r="TB57" s="115"/>
      <c r="TC57" s="115"/>
      <c r="TD57" s="115"/>
      <c r="TE57" s="115"/>
      <c r="TF57" s="115"/>
      <c r="TG57" s="115"/>
      <c r="TH57" s="115"/>
      <c r="TI57" s="115"/>
      <c r="TJ57" s="115"/>
      <c r="TK57" s="115"/>
      <c r="TL57" s="115"/>
      <c r="TM57" s="115"/>
      <c r="TN57" s="115"/>
      <c r="TO57" s="115"/>
      <c r="TP57" s="115"/>
      <c r="TQ57" s="115"/>
      <c r="TR57" s="115"/>
      <c r="TS57" s="115"/>
      <c r="TT57" s="115"/>
      <c r="TU57" s="115"/>
      <c r="TV57" s="115"/>
      <c r="TW57" s="115"/>
      <c r="TX57" s="115"/>
      <c r="TY57" s="115"/>
      <c r="TZ57" s="115"/>
      <c r="UA57" s="115"/>
      <c r="UB57" s="115"/>
      <c r="UC57" s="115"/>
      <c r="UD57" s="115"/>
      <c r="UE57" s="115"/>
      <c r="UF57" s="115"/>
      <c r="UG57" s="115"/>
      <c r="UH57" s="115"/>
      <c r="UI57" s="115"/>
      <c r="UJ57" s="115"/>
      <c r="UK57" s="115"/>
      <c r="UL57" s="115"/>
      <c r="UM57" s="115"/>
      <c r="UN57" s="115"/>
      <c r="UO57" s="115"/>
      <c r="UP57" s="115"/>
      <c r="UQ57" s="115"/>
      <c r="UR57" s="115"/>
      <c r="US57" s="115"/>
      <c r="UT57" s="115"/>
      <c r="UU57" s="115"/>
      <c r="UV57" s="115"/>
      <c r="UW57" s="115"/>
      <c r="UX57" s="115"/>
      <c r="UY57" s="115"/>
      <c r="UZ57" s="115"/>
      <c r="VA57" s="115"/>
      <c r="VB57" s="115"/>
      <c r="VC57" s="115"/>
      <c r="VD57" s="115"/>
      <c r="VE57" s="115"/>
      <c r="VF57" s="115"/>
      <c r="VG57" s="115"/>
      <c r="VH57" s="115"/>
      <c r="VI57" s="115"/>
      <c r="VJ57" s="115"/>
      <c r="VK57" s="115"/>
      <c r="VL57" s="115"/>
      <c r="VM57" s="115"/>
      <c r="VN57" s="115"/>
      <c r="VO57" s="115"/>
      <c r="VP57" s="115"/>
      <c r="VQ57" s="115"/>
      <c r="VR57" s="115"/>
      <c r="VS57" s="115"/>
      <c r="VT57" s="115"/>
      <c r="VU57" s="115"/>
      <c r="VV57" s="115"/>
      <c r="VW57" s="115"/>
      <c r="VX57" s="115"/>
      <c r="VY57" s="115"/>
      <c r="VZ57" s="115"/>
      <c r="WA57" s="115"/>
      <c r="WB57" s="115"/>
      <c r="WC57" s="115"/>
      <c r="WD57" s="115"/>
      <c r="WE57" s="115"/>
      <c r="WF57" s="115"/>
      <c r="WG57" s="115"/>
      <c r="WH57" s="115"/>
      <c r="WI57" s="115"/>
      <c r="WJ57" s="115"/>
      <c r="WK57" s="115"/>
      <c r="WL57" s="115"/>
      <c r="WM57" s="115"/>
      <c r="WN57" s="115"/>
      <c r="WO57" s="115"/>
      <c r="WP57" s="115"/>
      <c r="WQ57" s="115"/>
      <c r="WR57" s="115"/>
      <c r="WS57" s="115"/>
      <c r="WT57" s="115"/>
      <c r="WU57" s="115"/>
      <c r="WV57" s="115"/>
      <c r="WW57" s="115"/>
      <c r="WX57" s="115"/>
      <c r="WY57" s="115"/>
      <c r="WZ57" s="115"/>
      <c r="XA57" s="115"/>
      <c r="XB57" s="115"/>
      <c r="XC57" s="115"/>
      <c r="XD57" s="115"/>
      <c r="XE57" s="115"/>
      <c r="XF57" s="115"/>
      <c r="XG57" s="115"/>
      <c r="XH57" s="115"/>
      <c r="XI57" s="115"/>
      <c r="XJ57" s="115"/>
      <c r="XK57" s="115"/>
      <c r="XL57" s="115"/>
      <c r="XM57" s="115"/>
      <c r="XN57" s="115"/>
      <c r="XO57" s="115"/>
      <c r="XP57" s="115"/>
      <c r="XQ57" s="115"/>
      <c r="XR57" s="115"/>
      <c r="XS57" s="115"/>
      <c r="XT57" s="115"/>
      <c r="XU57" s="115"/>
      <c r="XV57" s="115"/>
      <c r="XW57" s="115"/>
      <c r="XX57" s="115"/>
      <c r="XY57" s="115"/>
      <c r="XZ57" s="115"/>
      <c r="YA57" s="115"/>
      <c r="YB57" s="115"/>
      <c r="YC57" s="115"/>
      <c r="YD57" s="115"/>
      <c r="YE57" s="115"/>
      <c r="YF57" s="115"/>
      <c r="YG57" s="115"/>
      <c r="YH57" s="115"/>
      <c r="YI57" s="115"/>
      <c r="YJ57" s="115"/>
      <c r="YK57" s="115"/>
      <c r="YL57" s="115"/>
      <c r="YM57" s="115"/>
      <c r="YN57" s="115"/>
      <c r="YO57" s="115"/>
      <c r="YP57" s="115"/>
      <c r="YQ57" s="115"/>
      <c r="YX57" s="22">
        <v>0</v>
      </c>
      <c r="YY57" s="22">
        <f>VLOOKUP(B57,'SCAFFOLDING MATERIAL OVERALL'!B59:S241,18,FALSE)</f>
        <v>1.36</v>
      </c>
      <c r="YZ57" s="22">
        <f t="shared" si="0"/>
        <v>0</v>
      </c>
    </row>
    <row r="58" spans="1:676" s="22" customFormat="1" x14ac:dyDescent="0.25">
      <c r="A58" s="14">
        <v>54</v>
      </c>
      <c r="B58" s="15">
        <v>1000005005</v>
      </c>
      <c r="C58" s="16" t="s">
        <v>66</v>
      </c>
      <c r="D58" s="44" t="s">
        <v>12</v>
      </c>
      <c r="OZ58" s="115"/>
      <c r="PA58" s="115"/>
      <c r="PB58" s="115"/>
      <c r="PC58" s="115"/>
      <c r="PD58" s="115"/>
      <c r="PE58" s="115"/>
      <c r="PF58" s="115"/>
      <c r="PG58" s="115"/>
      <c r="PH58" s="115"/>
      <c r="PI58" s="115"/>
      <c r="PJ58" s="115"/>
      <c r="PK58" s="115"/>
      <c r="PL58" s="115"/>
      <c r="PM58" s="115"/>
      <c r="PN58" s="115"/>
      <c r="PO58" s="115"/>
      <c r="PP58" s="115"/>
      <c r="PQ58" s="115"/>
      <c r="PR58" s="115"/>
      <c r="PS58" s="115"/>
      <c r="PT58" s="115"/>
      <c r="PU58" s="115"/>
      <c r="PV58" s="115"/>
      <c r="PW58" s="115"/>
      <c r="PX58" s="115"/>
      <c r="PY58" s="115"/>
      <c r="PZ58" s="115"/>
      <c r="QA58" s="115"/>
      <c r="QB58" s="115"/>
      <c r="QC58" s="115"/>
      <c r="QD58" s="115"/>
      <c r="QE58" s="115"/>
      <c r="QF58" s="115"/>
      <c r="QG58" s="115"/>
      <c r="QH58" s="115"/>
      <c r="QI58" s="115"/>
      <c r="QJ58" s="115"/>
      <c r="QK58" s="115"/>
      <c r="QL58" s="115"/>
      <c r="QM58" s="115"/>
      <c r="QN58" s="115"/>
      <c r="QO58" s="115"/>
      <c r="QP58" s="115"/>
      <c r="QQ58" s="115"/>
      <c r="QR58" s="115"/>
      <c r="QS58" s="115"/>
      <c r="QT58" s="115"/>
      <c r="QU58" s="115"/>
      <c r="QV58" s="115"/>
      <c r="QW58" s="115"/>
      <c r="QX58" s="115"/>
      <c r="QY58" s="115"/>
      <c r="QZ58" s="115"/>
      <c r="RA58" s="115"/>
      <c r="RB58" s="115"/>
      <c r="RC58" s="115"/>
      <c r="RD58" s="115"/>
      <c r="RE58" s="115"/>
      <c r="RF58" s="115"/>
      <c r="RG58" s="115"/>
      <c r="RH58" s="115"/>
      <c r="RI58" s="115"/>
      <c r="RJ58" s="115"/>
      <c r="RK58" s="115"/>
      <c r="RL58" s="115"/>
      <c r="RM58" s="115"/>
      <c r="RN58" s="115"/>
      <c r="RO58" s="115"/>
      <c r="RP58" s="115"/>
      <c r="RQ58" s="115"/>
      <c r="RR58" s="115"/>
      <c r="RS58" s="115"/>
      <c r="RT58" s="115"/>
      <c r="RU58" s="115"/>
      <c r="RV58" s="115"/>
      <c r="RW58" s="115"/>
      <c r="RX58" s="115"/>
      <c r="RY58" s="115"/>
      <c r="RZ58" s="115"/>
      <c r="SA58" s="115"/>
      <c r="SB58" s="115"/>
      <c r="SC58" s="115"/>
      <c r="SD58" s="115"/>
      <c r="SE58" s="115"/>
      <c r="SF58" s="115"/>
      <c r="SG58" s="115"/>
      <c r="SH58" s="115"/>
      <c r="SI58" s="115"/>
      <c r="SJ58" s="115"/>
      <c r="SK58" s="115"/>
      <c r="SL58" s="115"/>
      <c r="SM58" s="115"/>
      <c r="SN58" s="115"/>
      <c r="SO58" s="115"/>
      <c r="SP58" s="115"/>
      <c r="SQ58" s="115"/>
      <c r="SR58" s="115"/>
      <c r="SS58" s="115"/>
      <c r="ST58" s="115"/>
      <c r="SU58" s="115"/>
      <c r="SV58" s="115"/>
      <c r="SW58" s="115"/>
      <c r="SX58" s="115"/>
      <c r="SY58" s="115"/>
      <c r="SZ58" s="115"/>
      <c r="TA58" s="115"/>
      <c r="TB58" s="115"/>
      <c r="TC58" s="115"/>
      <c r="TD58" s="115"/>
      <c r="TE58" s="115"/>
      <c r="TF58" s="115"/>
      <c r="TG58" s="115"/>
      <c r="TH58" s="115"/>
      <c r="TI58" s="115"/>
      <c r="TJ58" s="115"/>
      <c r="TK58" s="115"/>
      <c r="TL58" s="115"/>
      <c r="TM58" s="115"/>
      <c r="TN58" s="115"/>
      <c r="TO58" s="115"/>
      <c r="TP58" s="115"/>
      <c r="TQ58" s="115"/>
      <c r="TR58" s="115"/>
      <c r="TS58" s="115"/>
      <c r="TT58" s="115"/>
      <c r="TU58" s="115"/>
      <c r="TV58" s="115"/>
      <c r="TW58" s="115"/>
      <c r="TX58" s="115"/>
      <c r="TY58" s="115"/>
      <c r="TZ58" s="115"/>
      <c r="UA58" s="115"/>
      <c r="UB58" s="115"/>
      <c r="UC58" s="115"/>
      <c r="UD58" s="115"/>
      <c r="UE58" s="115"/>
      <c r="UF58" s="115"/>
      <c r="UG58" s="115"/>
      <c r="UH58" s="115"/>
      <c r="UI58" s="115"/>
      <c r="UJ58" s="115"/>
      <c r="UK58" s="115"/>
      <c r="UL58" s="115"/>
      <c r="UM58" s="115"/>
      <c r="UN58" s="115"/>
      <c r="UO58" s="115"/>
      <c r="UP58" s="115"/>
      <c r="UQ58" s="115"/>
      <c r="UR58" s="115"/>
      <c r="US58" s="115"/>
      <c r="UT58" s="115"/>
      <c r="UU58" s="115"/>
      <c r="UV58" s="115"/>
      <c r="UW58" s="115"/>
      <c r="UX58" s="115"/>
      <c r="UY58" s="115"/>
      <c r="UZ58" s="115"/>
      <c r="VA58" s="115"/>
      <c r="VB58" s="115"/>
      <c r="VC58" s="115"/>
      <c r="VD58" s="115"/>
      <c r="VE58" s="115"/>
      <c r="VF58" s="115"/>
      <c r="VG58" s="115"/>
      <c r="VH58" s="115"/>
      <c r="VI58" s="115"/>
      <c r="VJ58" s="115"/>
      <c r="VK58" s="115"/>
      <c r="VL58" s="115"/>
      <c r="VM58" s="115"/>
      <c r="VN58" s="115"/>
      <c r="VO58" s="115"/>
      <c r="VP58" s="115"/>
      <c r="VQ58" s="115"/>
      <c r="VR58" s="115"/>
      <c r="VS58" s="115"/>
      <c r="VT58" s="115"/>
      <c r="VU58" s="115"/>
      <c r="VV58" s="115"/>
      <c r="VW58" s="115"/>
      <c r="VX58" s="115"/>
      <c r="VY58" s="115"/>
      <c r="VZ58" s="115"/>
      <c r="WA58" s="115"/>
      <c r="WB58" s="115"/>
      <c r="WC58" s="115"/>
      <c r="WD58" s="115"/>
      <c r="WE58" s="115"/>
      <c r="WF58" s="115"/>
      <c r="WG58" s="115"/>
      <c r="WH58" s="115"/>
      <c r="WI58" s="115"/>
      <c r="WJ58" s="115"/>
      <c r="WK58" s="115"/>
      <c r="WL58" s="115"/>
      <c r="WM58" s="115"/>
      <c r="WN58" s="115"/>
      <c r="WO58" s="115"/>
      <c r="WP58" s="115"/>
      <c r="WQ58" s="115"/>
      <c r="WR58" s="115"/>
      <c r="WS58" s="115"/>
      <c r="WT58" s="115"/>
      <c r="WU58" s="115"/>
      <c r="WV58" s="115"/>
      <c r="WW58" s="115"/>
      <c r="WX58" s="115"/>
      <c r="WY58" s="115"/>
      <c r="WZ58" s="115"/>
      <c r="XA58" s="115"/>
      <c r="XB58" s="115"/>
      <c r="XC58" s="115"/>
      <c r="XD58" s="115"/>
      <c r="XE58" s="115"/>
      <c r="XF58" s="115"/>
      <c r="XG58" s="115"/>
      <c r="XH58" s="115"/>
      <c r="XI58" s="115"/>
      <c r="XJ58" s="115"/>
      <c r="XK58" s="115"/>
      <c r="XL58" s="115"/>
      <c r="XM58" s="115"/>
      <c r="XN58" s="115"/>
      <c r="XO58" s="115"/>
      <c r="XP58" s="115"/>
      <c r="XQ58" s="115"/>
      <c r="XR58" s="115"/>
      <c r="XS58" s="115"/>
      <c r="XT58" s="115"/>
      <c r="XU58" s="115"/>
      <c r="XV58" s="115"/>
      <c r="XW58" s="115"/>
      <c r="XX58" s="115"/>
      <c r="XY58" s="115"/>
      <c r="XZ58" s="115"/>
      <c r="YA58" s="115"/>
      <c r="YB58" s="115"/>
      <c r="YC58" s="115"/>
      <c r="YD58" s="115"/>
      <c r="YE58" s="115"/>
      <c r="YF58" s="115"/>
      <c r="YG58" s="115"/>
      <c r="YH58" s="115"/>
      <c r="YI58" s="115"/>
      <c r="YJ58" s="115"/>
      <c r="YK58" s="115"/>
      <c r="YL58" s="115"/>
      <c r="YM58" s="115"/>
      <c r="YN58" s="115"/>
      <c r="YO58" s="115"/>
      <c r="YP58" s="115"/>
      <c r="YQ58" s="115"/>
      <c r="YX58" s="22">
        <v>0</v>
      </c>
      <c r="YY58" s="22">
        <f>VLOOKUP(B58,'SCAFFOLDING MATERIAL OVERALL'!B60:S242,18,FALSE)</f>
        <v>0.43</v>
      </c>
      <c r="YZ58" s="22">
        <f t="shared" si="0"/>
        <v>0</v>
      </c>
    </row>
    <row r="59" spans="1:676" s="22" customFormat="1" x14ac:dyDescent="0.25">
      <c r="A59" s="14">
        <v>55</v>
      </c>
      <c r="B59" s="15">
        <v>1000006424</v>
      </c>
      <c r="C59" s="16" t="s">
        <v>67</v>
      </c>
      <c r="D59" s="44" t="s">
        <v>12</v>
      </c>
      <c r="OZ59" s="115"/>
      <c r="PA59" s="115"/>
      <c r="PB59" s="115"/>
      <c r="PC59" s="115"/>
      <c r="PD59" s="115"/>
      <c r="PE59" s="115"/>
      <c r="PF59" s="115"/>
      <c r="PG59" s="115"/>
      <c r="PH59" s="115"/>
      <c r="PI59" s="115"/>
      <c r="PJ59" s="115"/>
      <c r="PK59" s="115"/>
      <c r="PL59" s="115"/>
      <c r="PM59" s="115"/>
      <c r="PN59" s="115"/>
      <c r="PO59" s="115"/>
      <c r="PP59" s="115"/>
      <c r="PQ59" s="115"/>
      <c r="PR59" s="115"/>
      <c r="PS59" s="115"/>
      <c r="PT59" s="115"/>
      <c r="PU59" s="115"/>
      <c r="PV59" s="115"/>
      <c r="PW59" s="115"/>
      <c r="PX59" s="115"/>
      <c r="PY59" s="115"/>
      <c r="PZ59" s="115"/>
      <c r="QA59" s="115"/>
      <c r="QB59" s="115"/>
      <c r="QC59" s="115"/>
      <c r="QD59" s="115"/>
      <c r="QE59" s="115"/>
      <c r="QF59" s="115"/>
      <c r="QG59" s="115"/>
      <c r="QH59" s="115"/>
      <c r="QI59" s="115"/>
      <c r="QJ59" s="115"/>
      <c r="QK59" s="115"/>
      <c r="QL59" s="115"/>
      <c r="QM59" s="115"/>
      <c r="QN59" s="115"/>
      <c r="QO59" s="115"/>
      <c r="QP59" s="115"/>
      <c r="QQ59" s="115"/>
      <c r="QR59" s="115"/>
      <c r="QS59" s="115"/>
      <c r="QT59" s="115"/>
      <c r="QU59" s="115"/>
      <c r="QV59" s="115"/>
      <c r="QW59" s="115"/>
      <c r="QX59" s="115"/>
      <c r="QY59" s="115"/>
      <c r="QZ59" s="115"/>
      <c r="RA59" s="115"/>
      <c r="RB59" s="115"/>
      <c r="RC59" s="115"/>
      <c r="RD59" s="115"/>
      <c r="RE59" s="115"/>
      <c r="RF59" s="115"/>
      <c r="RG59" s="115"/>
      <c r="RH59" s="115"/>
      <c r="RI59" s="115"/>
      <c r="RJ59" s="115"/>
      <c r="RK59" s="115"/>
      <c r="RL59" s="115"/>
      <c r="RM59" s="115"/>
      <c r="RN59" s="115"/>
      <c r="RO59" s="115"/>
      <c r="RP59" s="115"/>
      <c r="RQ59" s="115"/>
      <c r="RR59" s="115"/>
      <c r="RS59" s="115"/>
      <c r="RT59" s="115"/>
      <c r="RU59" s="115"/>
      <c r="RV59" s="115"/>
      <c r="RW59" s="115"/>
      <c r="RX59" s="115"/>
      <c r="RY59" s="115"/>
      <c r="RZ59" s="115"/>
      <c r="SA59" s="115"/>
      <c r="SB59" s="115"/>
      <c r="SC59" s="115"/>
      <c r="SD59" s="115"/>
      <c r="SE59" s="115"/>
      <c r="SF59" s="115"/>
      <c r="SG59" s="115"/>
      <c r="SH59" s="115"/>
      <c r="SI59" s="115"/>
      <c r="SJ59" s="115"/>
      <c r="SK59" s="115"/>
      <c r="SL59" s="115"/>
      <c r="SM59" s="115"/>
      <c r="SN59" s="115"/>
      <c r="SO59" s="115"/>
      <c r="SP59" s="115"/>
      <c r="SQ59" s="115"/>
      <c r="SR59" s="115"/>
      <c r="SS59" s="115"/>
      <c r="ST59" s="115"/>
      <c r="SU59" s="115"/>
      <c r="SV59" s="115"/>
      <c r="SW59" s="115"/>
      <c r="SX59" s="115"/>
      <c r="SY59" s="115"/>
      <c r="SZ59" s="115"/>
      <c r="TA59" s="115"/>
      <c r="TB59" s="115"/>
      <c r="TC59" s="115"/>
      <c r="TD59" s="115"/>
      <c r="TE59" s="115"/>
      <c r="TF59" s="115"/>
      <c r="TG59" s="115"/>
      <c r="TH59" s="115"/>
      <c r="TI59" s="115"/>
      <c r="TJ59" s="115"/>
      <c r="TK59" s="115"/>
      <c r="TL59" s="115"/>
      <c r="TM59" s="115"/>
      <c r="TN59" s="115"/>
      <c r="TO59" s="115"/>
      <c r="TP59" s="115"/>
      <c r="TQ59" s="115"/>
      <c r="TR59" s="115"/>
      <c r="TS59" s="115"/>
      <c r="TT59" s="115"/>
      <c r="TU59" s="115"/>
      <c r="TV59" s="115"/>
      <c r="TW59" s="115"/>
      <c r="TX59" s="115"/>
      <c r="TY59" s="115"/>
      <c r="TZ59" s="115"/>
      <c r="UA59" s="115"/>
      <c r="UB59" s="115"/>
      <c r="UC59" s="115"/>
      <c r="UD59" s="115"/>
      <c r="UE59" s="115"/>
      <c r="UF59" s="115"/>
      <c r="UG59" s="115"/>
      <c r="UH59" s="115"/>
      <c r="UI59" s="115"/>
      <c r="UJ59" s="115"/>
      <c r="UK59" s="115"/>
      <c r="UL59" s="115"/>
      <c r="UM59" s="115"/>
      <c r="UN59" s="115"/>
      <c r="UO59" s="115"/>
      <c r="UP59" s="115"/>
      <c r="UQ59" s="115"/>
      <c r="UR59" s="115"/>
      <c r="US59" s="115"/>
      <c r="UT59" s="115"/>
      <c r="UU59" s="115"/>
      <c r="UV59" s="115"/>
      <c r="UW59" s="115"/>
      <c r="UX59" s="115"/>
      <c r="UY59" s="115"/>
      <c r="UZ59" s="115"/>
      <c r="VA59" s="115"/>
      <c r="VB59" s="115"/>
      <c r="VC59" s="115"/>
      <c r="VD59" s="115"/>
      <c r="VE59" s="115"/>
      <c r="VF59" s="115"/>
      <c r="VG59" s="115"/>
      <c r="VH59" s="115"/>
      <c r="VI59" s="115"/>
      <c r="VJ59" s="115"/>
      <c r="VK59" s="115"/>
      <c r="VL59" s="115"/>
      <c r="VM59" s="115"/>
      <c r="VN59" s="115"/>
      <c r="VO59" s="115"/>
      <c r="VP59" s="115"/>
      <c r="VQ59" s="115"/>
      <c r="VR59" s="115"/>
      <c r="VS59" s="115"/>
      <c r="VT59" s="115"/>
      <c r="VU59" s="115"/>
      <c r="VV59" s="115"/>
      <c r="VW59" s="115"/>
      <c r="VX59" s="115"/>
      <c r="VY59" s="115"/>
      <c r="VZ59" s="115"/>
      <c r="WA59" s="115"/>
      <c r="WB59" s="115"/>
      <c r="WC59" s="115"/>
      <c r="WD59" s="115"/>
      <c r="WE59" s="115"/>
      <c r="WF59" s="115"/>
      <c r="WG59" s="115"/>
      <c r="WH59" s="115"/>
      <c r="WI59" s="115"/>
      <c r="WJ59" s="115"/>
      <c r="WK59" s="115"/>
      <c r="WL59" s="115"/>
      <c r="WM59" s="115"/>
      <c r="WN59" s="115"/>
      <c r="WO59" s="115"/>
      <c r="WP59" s="115"/>
      <c r="WQ59" s="115"/>
      <c r="WR59" s="115"/>
      <c r="WS59" s="115"/>
      <c r="WT59" s="115"/>
      <c r="WU59" s="115"/>
      <c r="WV59" s="115"/>
      <c r="WW59" s="115"/>
      <c r="WX59" s="115"/>
      <c r="WY59" s="115"/>
      <c r="WZ59" s="115"/>
      <c r="XA59" s="115"/>
      <c r="XB59" s="115"/>
      <c r="XC59" s="115"/>
      <c r="XD59" s="115"/>
      <c r="XE59" s="115"/>
      <c r="XF59" s="115"/>
      <c r="XG59" s="115"/>
      <c r="XH59" s="115"/>
      <c r="XI59" s="115"/>
      <c r="XJ59" s="115"/>
      <c r="XK59" s="115"/>
      <c r="XL59" s="115"/>
      <c r="XM59" s="115"/>
      <c r="XN59" s="115"/>
      <c r="XO59" s="115"/>
      <c r="XP59" s="115"/>
      <c r="XQ59" s="115"/>
      <c r="XR59" s="115"/>
      <c r="XS59" s="115"/>
      <c r="XT59" s="115"/>
      <c r="XU59" s="115"/>
      <c r="XV59" s="115"/>
      <c r="XW59" s="115"/>
      <c r="XX59" s="115"/>
      <c r="XY59" s="115"/>
      <c r="XZ59" s="115"/>
      <c r="YA59" s="115"/>
      <c r="YB59" s="115"/>
      <c r="YC59" s="115"/>
      <c r="YD59" s="115"/>
      <c r="YE59" s="115"/>
      <c r="YF59" s="115"/>
      <c r="YG59" s="115"/>
      <c r="YH59" s="115"/>
      <c r="YI59" s="115"/>
      <c r="YJ59" s="115"/>
      <c r="YK59" s="115"/>
      <c r="YL59" s="115"/>
      <c r="YM59" s="115"/>
      <c r="YN59" s="115"/>
      <c r="YO59" s="115"/>
      <c r="YP59" s="115"/>
      <c r="YQ59" s="115"/>
      <c r="YX59" s="22">
        <v>0</v>
      </c>
      <c r="YY59" s="22">
        <f>VLOOKUP(B59,'SCAFFOLDING MATERIAL OVERALL'!B61:S243,18,FALSE)</f>
        <v>0</v>
      </c>
      <c r="YZ59" s="22">
        <f t="shared" si="0"/>
        <v>0</v>
      </c>
    </row>
    <row r="60" spans="1:676" s="22" customFormat="1" x14ac:dyDescent="0.25">
      <c r="A60" s="17">
        <v>56</v>
      </c>
      <c r="B60" s="15">
        <v>1000005009</v>
      </c>
      <c r="C60" s="16" t="s">
        <v>68</v>
      </c>
      <c r="D60" s="44" t="s">
        <v>12</v>
      </c>
      <c r="OZ60" s="115"/>
      <c r="PA60" s="115"/>
      <c r="PB60" s="115"/>
      <c r="PC60" s="115"/>
      <c r="PD60" s="115"/>
      <c r="PE60" s="115"/>
      <c r="PF60" s="115"/>
      <c r="PG60" s="115"/>
      <c r="PH60" s="115"/>
      <c r="PI60" s="115"/>
      <c r="PJ60" s="115"/>
      <c r="PK60" s="115"/>
      <c r="PL60" s="115"/>
      <c r="PM60" s="115"/>
      <c r="PN60" s="115"/>
      <c r="PO60" s="115"/>
      <c r="PP60" s="115"/>
      <c r="PQ60" s="115"/>
      <c r="PR60" s="115"/>
      <c r="PS60" s="115"/>
      <c r="PT60" s="115"/>
      <c r="PU60" s="115"/>
      <c r="PV60" s="115"/>
      <c r="PW60" s="115"/>
      <c r="PX60" s="115"/>
      <c r="PY60" s="115"/>
      <c r="PZ60" s="115"/>
      <c r="QA60" s="115"/>
      <c r="QB60" s="115"/>
      <c r="QC60" s="115"/>
      <c r="QD60" s="115"/>
      <c r="QE60" s="115"/>
      <c r="QF60" s="115"/>
      <c r="QG60" s="115"/>
      <c r="QH60" s="115"/>
      <c r="QI60" s="115"/>
      <c r="QJ60" s="115"/>
      <c r="QK60" s="115"/>
      <c r="QL60" s="115"/>
      <c r="QM60" s="115"/>
      <c r="QN60" s="115"/>
      <c r="QO60" s="115"/>
      <c r="QP60" s="115"/>
      <c r="QQ60" s="115"/>
      <c r="QR60" s="115"/>
      <c r="QS60" s="115"/>
      <c r="QT60" s="115"/>
      <c r="QU60" s="115"/>
      <c r="QV60" s="115"/>
      <c r="QW60" s="115"/>
      <c r="QX60" s="115"/>
      <c r="QY60" s="115"/>
      <c r="QZ60" s="115"/>
      <c r="RA60" s="115"/>
      <c r="RB60" s="115"/>
      <c r="RC60" s="115"/>
      <c r="RD60" s="115"/>
      <c r="RE60" s="115"/>
      <c r="RF60" s="115"/>
      <c r="RG60" s="115"/>
      <c r="RH60" s="115"/>
      <c r="RI60" s="115"/>
      <c r="RJ60" s="115"/>
      <c r="RK60" s="115"/>
      <c r="RL60" s="115"/>
      <c r="RM60" s="115"/>
      <c r="RN60" s="115"/>
      <c r="RO60" s="115"/>
      <c r="RP60" s="115"/>
      <c r="RQ60" s="115"/>
      <c r="RR60" s="115"/>
      <c r="RS60" s="115"/>
      <c r="RT60" s="115"/>
      <c r="RU60" s="115"/>
      <c r="RV60" s="115"/>
      <c r="RW60" s="115"/>
      <c r="RX60" s="115"/>
      <c r="RY60" s="115"/>
      <c r="RZ60" s="115"/>
      <c r="SA60" s="115"/>
      <c r="SB60" s="115"/>
      <c r="SC60" s="115"/>
      <c r="SD60" s="115"/>
      <c r="SE60" s="115"/>
      <c r="SF60" s="115"/>
      <c r="SG60" s="115"/>
      <c r="SH60" s="115"/>
      <c r="SI60" s="115"/>
      <c r="SJ60" s="115"/>
      <c r="SK60" s="115"/>
      <c r="SL60" s="115"/>
      <c r="SM60" s="115"/>
      <c r="SN60" s="115"/>
      <c r="SO60" s="115"/>
      <c r="SP60" s="115"/>
      <c r="SQ60" s="115"/>
      <c r="SR60" s="115"/>
      <c r="SS60" s="115"/>
      <c r="ST60" s="115"/>
      <c r="SU60" s="115"/>
      <c r="SV60" s="115"/>
      <c r="SW60" s="115"/>
      <c r="SX60" s="115"/>
      <c r="SY60" s="115"/>
      <c r="SZ60" s="115"/>
      <c r="TA60" s="115"/>
      <c r="TB60" s="115"/>
      <c r="TC60" s="115"/>
      <c r="TD60" s="115"/>
      <c r="TE60" s="115"/>
      <c r="TF60" s="115"/>
      <c r="TG60" s="115"/>
      <c r="TH60" s="115"/>
      <c r="TI60" s="115"/>
      <c r="TJ60" s="115"/>
      <c r="TK60" s="115"/>
      <c r="TL60" s="115"/>
      <c r="TM60" s="115"/>
      <c r="TN60" s="115"/>
      <c r="TO60" s="115"/>
      <c r="TP60" s="115"/>
      <c r="TQ60" s="115"/>
      <c r="TR60" s="115"/>
      <c r="TS60" s="115"/>
      <c r="TT60" s="115"/>
      <c r="TU60" s="115"/>
      <c r="TV60" s="115"/>
      <c r="TW60" s="115"/>
      <c r="TX60" s="115"/>
      <c r="TY60" s="115"/>
      <c r="TZ60" s="115"/>
      <c r="UA60" s="115"/>
      <c r="UB60" s="115"/>
      <c r="UC60" s="115"/>
      <c r="UD60" s="115"/>
      <c r="UE60" s="115"/>
      <c r="UF60" s="115"/>
      <c r="UG60" s="115"/>
      <c r="UH60" s="115"/>
      <c r="UI60" s="115"/>
      <c r="UJ60" s="115"/>
      <c r="UK60" s="115"/>
      <c r="UL60" s="115"/>
      <c r="UM60" s="115"/>
      <c r="UN60" s="115"/>
      <c r="UO60" s="115"/>
      <c r="UP60" s="115"/>
      <c r="UQ60" s="115"/>
      <c r="UR60" s="115"/>
      <c r="US60" s="115"/>
      <c r="UT60" s="115"/>
      <c r="UU60" s="115"/>
      <c r="UV60" s="115"/>
      <c r="UW60" s="115"/>
      <c r="UX60" s="115"/>
      <c r="UY60" s="115"/>
      <c r="UZ60" s="115"/>
      <c r="VA60" s="115"/>
      <c r="VB60" s="115"/>
      <c r="VC60" s="115"/>
      <c r="VD60" s="115"/>
      <c r="VE60" s="115"/>
      <c r="VF60" s="115"/>
      <c r="VG60" s="115"/>
      <c r="VH60" s="115"/>
      <c r="VI60" s="115"/>
      <c r="VJ60" s="115"/>
      <c r="VK60" s="115"/>
      <c r="VL60" s="115"/>
      <c r="VM60" s="115"/>
      <c r="VN60" s="115"/>
      <c r="VO60" s="115"/>
      <c r="VP60" s="115"/>
      <c r="VQ60" s="115"/>
      <c r="VR60" s="115"/>
      <c r="VS60" s="115"/>
      <c r="VT60" s="115"/>
      <c r="VU60" s="115"/>
      <c r="VV60" s="115"/>
      <c r="VW60" s="115"/>
      <c r="VX60" s="115"/>
      <c r="VY60" s="115"/>
      <c r="VZ60" s="115"/>
      <c r="WA60" s="115"/>
      <c r="WB60" s="115"/>
      <c r="WC60" s="115"/>
      <c r="WD60" s="115"/>
      <c r="WE60" s="115"/>
      <c r="WF60" s="115"/>
      <c r="WG60" s="115"/>
      <c r="WH60" s="115"/>
      <c r="WI60" s="115"/>
      <c r="WJ60" s="115"/>
      <c r="WK60" s="115"/>
      <c r="WL60" s="115"/>
      <c r="WM60" s="115"/>
      <c r="WN60" s="115"/>
      <c r="WO60" s="115"/>
      <c r="WP60" s="115"/>
      <c r="WQ60" s="115"/>
      <c r="WR60" s="115"/>
      <c r="WS60" s="115"/>
      <c r="WT60" s="115"/>
      <c r="WU60" s="115"/>
      <c r="WV60" s="115"/>
      <c r="WW60" s="115"/>
      <c r="WX60" s="115"/>
      <c r="WY60" s="115"/>
      <c r="WZ60" s="115"/>
      <c r="XA60" s="115"/>
      <c r="XB60" s="115"/>
      <c r="XC60" s="115"/>
      <c r="XD60" s="115"/>
      <c r="XE60" s="115"/>
      <c r="XF60" s="115"/>
      <c r="XG60" s="115"/>
      <c r="XH60" s="115"/>
      <c r="XI60" s="115"/>
      <c r="XJ60" s="115"/>
      <c r="XK60" s="115"/>
      <c r="XL60" s="115"/>
      <c r="XM60" s="115"/>
      <c r="XN60" s="115"/>
      <c r="XO60" s="115"/>
      <c r="XP60" s="115"/>
      <c r="XQ60" s="115"/>
      <c r="XR60" s="115"/>
      <c r="XS60" s="115"/>
      <c r="XT60" s="115"/>
      <c r="XU60" s="115"/>
      <c r="XV60" s="115"/>
      <c r="XW60" s="115"/>
      <c r="XX60" s="115"/>
      <c r="XY60" s="115"/>
      <c r="XZ60" s="115"/>
      <c r="YA60" s="115"/>
      <c r="YB60" s="115"/>
      <c r="YC60" s="115"/>
      <c r="YD60" s="115"/>
      <c r="YE60" s="115"/>
      <c r="YF60" s="115"/>
      <c r="YG60" s="115"/>
      <c r="YH60" s="115"/>
      <c r="YI60" s="115"/>
      <c r="YJ60" s="115"/>
      <c r="YK60" s="115"/>
      <c r="YL60" s="115"/>
      <c r="YM60" s="115"/>
      <c r="YN60" s="115"/>
      <c r="YO60" s="115"/>
      <c r="YP60" s="115"/>
      <c r="YQ60" s="115"/>
      <c r="YX60" s="22">
        <v>0</v>
      </c>
      <c r="YY60" s="22">
        <f>VLOOKUP(B60,'SCAFFOLDING MATERIAL OVERALL'!B62:S244,18,FALSE)</f>
        <v>1.1000000000000001</v>
      </c>
      <c r="YZ60" s="22">
        <f t="shared" si="0"/>
        <v>0</v>
      </c>
    </row>
    <row r="61" spans="1:676" s="22" customFormat="1" x14ac:dyDescent="0.25">
      <c r="A61" s="14">
        <v>57</v>
      </c>
      <c r="B61" s="15">
        <v>1000005008</v>
      </c>
      <c r="C61" s="16" t="s">
        <v>69</v>
      </c>
      <c r="D61" s="44" t="s">
        <v>12</v>
      </c>
      <c r="OZ61" s="115"/>
      <c r="PA61" s="115"/>
      <c r="PB61" s="115"/>
      <c r="PC61" s="115"/>
      <c r="PD61" s="115"/>
      <c r="PE61" s="115"/>
      <c r="PF61" s="115"/>
      <c r="PG61" s="115"/>
      <c r="PH61" s="115"/>
      <c r="PI61" s="115"/>
      <c r="PJ61" s="115"/>
      <c r="PK61" s="115"/>
      <c r="PL61" s="115"/>
      <c r="PM61" s="115"/>
      <c r="PN61" s="115"/>
      <c r="PO61" s="115"/>
      <c r="PP61" s="115"/>
      <c r="PQ61" s="115"/>
      <c r="PR61" s="115"/>
      <c r="PS61" s="115"/>
      <c r="PT61" s="115"/>
      <c r="PU61" s="115"/>
      <c r="PV61" s="115"/>
      <c r="PW61" s="115"/>
      <c r="PX61" s="115"/>
      <c r="PY61" s="115"/>
      <c r="PZ61" s="115"/>
      <c r="QA61" s="115"/>
      <c r="QB61" s="115"/>
      <c r="QC61" s="115"/>
      <c r="QD61" s="115"/>
      <c r="QE61" s="115"/>
      <c r="QF61" s="115"/>
      <c r="QG61" s="115"/>
      <c r="QH61" s="115"/>
      <c r="QI61" s="115"/>
      <c r="QJ61" s="115"/>
      <c r="QK61" s="115"/>
      <c r="QL61" s="115"/>
      <c r="QM61" s="115"/>
      <c r="QN61" s="115"/>
      <c r="QO61" s="115"/>
      <c r="QP61" s="115"/>
      <c r="QQ61" s="115"/>
      <c r="QR61" s="115"/>
      <c r="QS61" s="115"/>
      <c r="QT61" s="115"/>
      <c r="QU61" s="115"/>
      <c r="QV61" s="115"/>
      <c r="QW61" s="115"/>
      <c r="QX61" s="115"/>
      <c r="QY61" s="115"/>
      <c r="QZ61" s="115"/>
      <c r="RA61" s="115"/>
      <c r="RB61" s="115"/>
      <c r="RC61" s="115"/>
      <c r="RD61" s="115"/>
      <c r="RE61" s="115"/>
      <c r="RF61" s="115"/>
      <c r="RG61" s="115"/>
      <c r="RH61" s="115"/>
      <c r="RI61" s="115"/>
      <c r="RJ61" s="115"/>
      <c r="RK61" s="115"/>
      <c r="RL61" s="115"/>
      <c r="RM61" s="115"/>
      <c r="RN61" s="115"/>
      <c r="RO61" s="115"/>
      <c r="RP61" s="115"/>
      <c r="RQ61" s="115"/>
      <c r="RR61" s="115"/>
      <c r="RS61" s="115"/>
      <c r="RT61" s="115"/>
      <c r="RU61" s="115"/>
      <c r="RV61" s="115"/>
      <c r="RW61" s="115"/>
      <c r="RX61" s="115"/>
      <c r="RY61" s="115"/>
      <c r="RZ61" s="115"/>
      <c r="SA61" s="115"/>
      <c r="SB61" s="115"/>
      <c r="SC61" s="115"/>
      <c r="SD61" s="115"/>
      <c r="SE61" s="115"/>
      <c r="SF61" s="115"/>
      <c r="SG61" s="115"/>
      <c r="SH61" s="115"/>
      <c r="SI61" s="115"/>
      <c r="SJ61" s="115"/>
      <c r="SK61" s="115"/>
      <c r="SL61" s="115"/>
      <c r="SM61" s="115"/>
      <c r="SN61" s="115"/>
      <c r="SO61" s="115"/>
      <c r="SP61" s="115"/>
      <c r="SQ61" s="115"/>
      <c r="SR61" s="115"/>
      <c r="SS61" s="115"/>
      <c r="ST61" s="115"/>
      <c r="SU61" s="115"/>
      <c r="SV61" s="115"/>
      <c r="SW61" s="115"/>
      <c r="SX61" s="115"/>
      <c r="SY61" s="115"/>
      <c r="SZ61" s="115"/>
      <c r="TA61" s="115"/>
      <c r="TB61" s="115"/>
      <c r="TC61" s="115"/>
      <c r="TD61" s="115"/>
      <c r="TE61" s="115"/>
      <c r="TF61" s="115"/>
      <c r="TG61" s="115"/>
      <c r="TH61" s="115"/>
      <c r="TI61" s="115"/>
      <c r="TJ61" s="115"/>
      <c r="TK61" s="115"/>
      <c r="TL61" s="115"/>
      <c r="TM61" s="115"/>
      <c r="TN61" s="115"/>
      <c r="TO61" s="115"/>
      <c r="TP61" s="115"/>
      <c r="TQ61" s="115"/>
      <c r="TR61" s="115"/>
      <c r="TS61" s="115"/>
      <c r="TT61" s="115"/>
      <c r="TU61" s="115"/>
      <c r="TV61" s="115"/>
      <c r="TW61" s="115"/>
      <c r="TX61" s="115"/>
      <c r="TY61" s="115"/>
      <c r="TZ61" s="115"/>
      <c r="UA61" s="115"/>
      <c r="UB61" s="115"/>
      <c r="UC61" s="115"/>
      <c r="UD61" s="115"/>
      <c r="UE61" s="115"/>
      <c r="UF61" s="115"/>
      <c r="UG61" s="115"/>
      <c r="UH61" s="115"/>
      <c r="UI61" s="115"/>
      <c r="UJ61" s="115"/>
      <c r="UK61" s="115"/>
      <c r="UL61" s="115"/>
      <c r="UM61" s="115"/>
      <c r="UN61" s="115"/>
      <c r="UO61" s="115"/>
      <c r="UP61" s="115"/>
      <c r="UQ61" s="115"/>
      <c r="UR61" s="115"/>
      <c r="US61" s="115"/>
      <c r="UT61" s="115"/>
      <c r="UU61" s="115"/>
      <c r="UV61" s="115"/>
      <c r="UW61" s="115"/>
      <c r="UX61" s="115"/>
      <c r="UY61" s="115"/>
      <c r="UZ61" s="115"/>
      <c r="VA61" s="115"/>
      <c r="VB61" s="115"/>
      <c r="VC61" s="115"/>
      <c r="VD61" s="115"/>
      <c r="VE61" s="115"/>
      <c r="VF61" s="115"/>
      <c r="VG61" s="115"/>
      <c r="VH61" s="115"/>
      <c r="VI61" s="115"/>
      <c r="VJ61" s="115"/>
      <c r="VK61" s="115"/>
      <c r="VL61" s="115"/>
      <c r="VM61" s="115"/>
      <c r="VN61" s="115"/>
      <c r="VO61" s="115"/>
      <c r="VP61" s="115"/>
      <c r="VQ61" s="115"/>
      <c r="VR61" s="115"/>
      <c r="VS61" s="115"/>
      <c r="VT61" s="115"/>
      <c r="VU61" s="115"/>
      <c r="VV61" s="115"/>
      <c r="VW61" s="115"/>
      <c r="VX61" s="115"/>
      <c r="VY61" s="115"/>
      <c r="VZ61" s="115"/>
      <c r="WA61" s="115"/>
      <c r="WB61" s="115"/>
      <c r="WC61" s="115"/>
      <c r="WD61" s="115"/>
      <c r="WE61" s="115"/>
      <c r="WF61" s="115"/>
      <c r="WG61" s="115"/>
      <c r="WH61" s="115"/>
      <c r="WI61" s="115"/>
      <c r="WJ61" s="115"/>
      <c r="WK61" s="115"/>
      <c r="WL61" s="115"/>
      <c r="WM61" s="115"/>
      <c r="WN61" s="115"/>
      <c r="WO61" s="115"/>
      <c r="WP61" s="115"/>
      <c r="WQ61" s="115"/>
      <c r="WR61" s="115"/>
      <c r="WS61" s="115"/>
      <c r="WT61" s="115"/>
      <c r="WU61" s="115"/>
      <c r="WV61" s="115"/>
      <c r="WW61" s="115"/>
      <c r="WX61" s="115"/>
      <c r="WY61" s="115"/>
      <c r="WZ61" s="115"/>
      <c r="XA61" s="115"/>
      <c r="XB61" s="115"/>
      <c r="XC61" s="115"/>
      <c r="XD61" s="115"/>
      <c r="XE61" s="115"/>
      <c r="XF61" s="115"/>
      <c r="XG61" s="115"/>
      <c r="XH61" s="115"/>
      <c r="XI61" s="115"/>
      <c r="XJ61" s="115"/>
      <c r="XK61" s="115"/>
      <c r="XL61" s="115"/>
      <c r="XM61" s="115"/>
      <c r="XN61" s="115"/>
      <c r="XO61" s="115"/>
      <c r="XP61" s="115"/>
      <c r="XQ61" s="115"/>
      <c r="XR61" s="115"/>
      <c r="XS61" s="115"/>
      <c r="XT61" s="115"/>
      <c r="XU61" s="115"/>
      <c r="XV61" s="115"/>
      <c r="XW61" s="115"/>
      <c r="XX61" s="115"/>
      <c r="XY61" s="115"/>
      <c r="XZ61" s="115"/>
      <c r="YA61" s="115"/>
      <c r="YB61" s="115"/>
      <c r="YC61" s="115"/>
      <c r="YD61" s="115"/>
      <c r="YE61" s="115"/>
      <c r="YF61" s="115"/>
      <c r="YG61" s="115"/>
      <c r="YH61" s="115"/>
      <c r="YI61" s="115"/>
      <c r="YJ61" s="115"/>
      <c r="YK61" s="115"/>
      <c r="YL61" s="115"/>
      <c r="YM61" s="115"/>
      <c r="YN61" s="115"/>
      <c r="YO61" s="115"/>
      <c r="YP61" s="115"/>
      <c r="YQ61" s="115"/>
      <c r="YX61" s="22">
        <v>0</v>
      </c>
      <c r="YY61" s="22">
        <f>VLOOKUP(B61,'SCAFFOLDING MATERIAL OVERALL'!B63:S245,18,FALSE)</f>
        <v>7.7</v>
      </c>
      <c r="YZ61" s="22">
        <f t="shared" si="0"/>
        <v>0</v>
      </c>
    </row>
    <row r="62" spans="1:676" s="22" customFormat="1" x14ac:dyDescent="0.25">
      <c r="A62" s="14">
        <v>58</v>
      </c>
      <c r="B62" s="15">
        <v>1000005007</v>
      </c>
      <c r="C62" s="16" t="s">
        <v>70</v>
      </c>
      <c r="D62" s="44" t="s">
        <v>12</v>
      </c>
      <c r="OZ62" s="115"/>
      <c r="PA62" s="115"/>
      <c r="PB62" s="115"/>
      <c r="PC62" s="115"/>
      <c r="PD62" s="115"/>
      <c r="PE62" s="115"/>
      <c r="PF62" s="115"/>
      <c r="PG62" s="115"/>
      <c r="PH62" s="115"/>
      <c r="PI62" s="115"/>
      <c r="PJ62" s="115"/>
      <c r="PK62" s="115"/>
      <c r="PL62" s="115"/>
      <c r="PM62" s="115"/>
      <c r="PN62" s="115"/>
      <c r="PO62" s="115"/>
      <c r="PP62" s="115"/>
      <c r="PQ62" s="115"/>
      <c r="PR62" s="115"/>
      <c r="PS62" s="115"/>
      <c r="PT62" s="115"/>
      <c r="PU62" s="115"/>
      <c r="PV62" s="115"/>
      <c r="PW62" s="115"/>
      <c r="PX62" s="115"/>
      <c r="PY62" s="115"/>
      <c r="PZ62" s="115"/>
      <c r="QA62" s="115"/>
      <c r="QB62" s="115"/>
      <c r="QC62" s="115"/>
      <c r="QD62" s="115"/>
      <c r="QE62" s="115"/>
      <c r="QF62" s="115"/>
      <c r="QG62" s="115"/>
      <c r="QH62" s="115"/>
      <c r="QI62" s="115"/>
      <c r="QJ62" s="115"/>
      <c r="QK62" s="115"/>
      <c r="QL62" s="115"/>
      <c r="QM62" s="115"/>
      <c r="QN62" s="115"/>
      <c r="QO62" s="115"/>
      <c r="QP62" s="115"/>
      <c r="QQ62" s="115"/>
      <c r="QR62" s="115"/>
      <c r="QS62" s="115"/>
      <c r="QT62" s="115"/>
      <c r="QU62" s="115"/>
      <c r="QV62" s="115"/>
      <c r="QW62" s="115"/>
      <c r="QX62" s="115"/>
      <c r="QY62" s="115"/>
      <c r="QZ62" s="115"/>
      <c r="RA62" s="115"/>
      <c r="RB62" s="115"/>
      <c r="RC62" s="115"/>
      <c r="RD62" s="115"/>
      <c r="RE62" s="115"/>
      <c r="RF62" s="115"/>
      <c r="RG62" s="115"/>
      <c r="RH62" s="115"/>
      <c r="RI62" s="115"/>
      <c r="RJ62" s="115"/>
      <c r="RK62" s="115"/>
      <c r="RL62" s="115"/>
      <c r="RM62" s="115"/>
      <c r="RN62" s="115"/>
      <c r="RO62" s="115"/>
      <c r="RP62" s="115"/>
      <c r="RQ62" s="115"/>
      <c r="RR62" s="115"/>
      <c r="RS62" s="115"/>
      <c r="RT62" s="115"/>
      <c r="RU62" s="115"/>
      <c r="RV62" s="115"/>
      <c r="RW62" s="115"/>
      <c r="RX62" s="115"/>
      <c r="RY62" s="115"/>
      <c r="RZ62" s="115"/>
      <c r="SA62" s="115"/>
      <c r="SB62" s="115"/>
      <c r="SC62" s="115"/>
      <c r="SD62" s="115"/>
      <c r="SE62" s="115"/>
      <c r="SF62" s="115"/>
      <c r="SG62" s="115"/>
      <c r="SH62" s="115"/>
      <c r="SI62" s="115"/>
      <c r="SJ62" s="115"/>
      <c r="SK62" s="115"/>
      <c r="SL62" s="115"/>
      <c r="SM62" s="115"/>
      <c r="SN62" s="115"/>
      <c r="SO62" s="115"/>
      <c r="SP62" s="115"/>
      <c r="SQ62" s="115"/>
      <c r="SR62" s="115"/>
      <c r="SS62" s="115"/>
      <c r="ST62" s="115"/>
      <c r="SU62" s="115"/>
      <c r="SV62" s="115"/>
      <c r="SW62" s="115"/>
      <c r="SX62" s="115"/>
      <c r="SY62" s="115"/>
      <c r="SZ62" s="115"/>
      <c r="TA62" s="115"/>
      <c r="TB62" s="115"/>
      <c r="TC62" s="115"/>
      <c r="TD62" s="115"/>
      <c r="TE62" s="115"/>
      <c r="TF62" s="115"/>
      <c r="TG62" s="115"/>
      <c r="TH62" s="115"/>
      <c r="TI62" s="115"/>
      <c r="TJ62" s="115"/>
      <c r="TK62" s="115"/>
      <c r="TL62" s="115"/>
      <c r="TM62" s="115"/>
      <c r="TN62" s="115"/>
      <c r="TO62" s="115"/>
      <c r="TP62" s="115"/>
      <c r="TQ62" s="115"/>
      <c r="TR62" s="115"/>
      <c r="TS62" s="115"/>
      <c r="TT62" s="115"/>
      <c r="TU62" s="115"/>
      <c r="TV62" s="115"/>
      <c r="TW62" s="115"/>
      <c r="TX62" s="115"/>
      <c r="TY62" s="115"/>
      <c r="TZ62" s="115"/>
      <c r="UA62" s="115"/>
      <c r="UB62" s="115"/>
      <c r="UC62" s="115"/>
      <c r="UD62" s="115"/>
      <c r="UE62" s="115"/>
      <c r="UF62" s="115"/>
      <c r="UG62" s="115"/>
      <c r="UH62" s="115"/>
      <c r="UI62" s="115"/>
      <c r="UJ62" s="115"/>
      <c r="UK62" s="115"/>
      <c r="UL62" s="115"/>
      <c r="UM62" s="115"/>
      <c r="UN62" s="115"/>
      <c r="UO62" s="115"/>
      <c r="UP62" s="115"/>
      <c r="UQ62" s="115"/>
      <c r="UR62" s="115"/>
      <c r="US62" s="115"/>
      <c r="UT62" s="115"/>
      <c r="UU62" s="115"/>
      <c r="UV62" s="115"/>
      <c r="UW62" s="115"/>
      <c r="UX62" s="115"/>
      <c r="UY62" s="115"/>
      <c r="UZ62" s="115"/>
      <c r="VA62" s="115"/>
      <c r="VB62" s="115"/>
      <c r="VC62" s="115"/>
      <c r="VD62" s="115"/>
      <c r="VE62" s="115"/>
      <c r="VF62" s="115"/>
      <c r="VG62" s="115"/>
      <c r="VH62" s="115"/>
      <c r="VI62" s="115"/>
      <c r="VJ62" s="115"/>
      <c r="VK62" s="115"/>
      <c r="VL62" s="115"/>
      <c r="VM62" s="115"/>
      <c r="VN62" s="115"/>
      <c r="VO62" s="115"/>
      <c r="VP62" s="115"/>
      <c r="VQ62" s="115"/>
      <c r="VR62" s="115"/>
      <c r="VS62" s="115"/>
      <c r="VT62" s="115"/>
      <c r="VU62" s="115"/>
      <c r="VV62" s="115"/>
      <c r="VW62" s="115"/>
      <c r="VX62" s="115"/>
      <c r="VY62" s="115"/>
      <c r="VZ62" s="115"/>
      <c r="WA62" s="115"/>
      <c r="WB62" s="115"/>
      <c r="WC62" s="115"/>
      <c r="WD62" s="115"/>
      <c r="WE62" s="115"/>
      <c r="WF62" s="115"/>
      <c r="WG62" s="115"/>
      <c r="WH62" s="115"/>
      <c r="WI62" s="115"/>
      <c r="WJ62" s="115"/>
      <c r="WK62" s="115"/>
      <c r="WL62" s="115"/>
      <c r="WM62" s="115"/>
      <c r="WN62" s="115"/>
      <c r="WO62" s="115"/>
      <c r="WP62" s="115"/>
      <c r="WQ62" s="115"/>
      <c r="WR62" s="115"/>
      <c r="WS62" s="115"/>
      <c r="WT62" s="115"/>
      <c r="WU62" s="115"/>
      <c r="WV62" s="115"/>
      <c r="WW62" s="115"/>
      <c r="WX62" s="115"/>
      <c r="WY62" s="115"/>
      <c r="WZ62" s="115"/>
      <c r="XA62" s="115"/>
      <c r="XB62" s="115"/>
      <c r="XC62" s="115"/>
      <c r="XD62" s="115"/>
      <c r="XE62" s="115"/>
      <c r="XF62" s="115"/>
      <c r="XG62" s="115"/>
      <c r="XH62" s="115"/>
      <c r="XI62" s="115"/>
      <c r="XJ62" s="115"/>
      <c r="XK62" s="115"/>
      <c r="XL62" s="115"/>
      <c r="XM62" s="115"/>
      <c r="XN62" s="115"/>
      <c r="XO62" s="115"/>
      <c r="XP62" s="115"/>
      <c r="XQ62" s="115"/>
      <c r="XR62" s="115"/>
      <c r="XS62" s="115"/>
      <c r="XT62" s="115"/>
      <c r="XU62" s="115"/>
      <c r="XV62" s="115"/>
      <c r="XW62" s="115"/>
      <c r="XX62" s="115"/>
      <c r="XY62" s="115"/>
      <c r="XZ62" s="115"/>
      <c r="YA62" s="115"/>
      <c r="YB62" s="115"/>
      <c r="YC62" s="115"/>
      <c r="YD62" s="115"/>
      <c r="YE62" s="115"/>
      <c r="YF62" s="115"/>
      <c r="YG62" s="115"/>
      <c r="YH62" s="115"/>
      <c r="YI62" s="115"/>
      <c r="YJ62" s="115"/>
      <c r="YK62" s="115"/>
      <c r="YL62" s="115"/>
      <c r="YM62" s="115"/>
      <c r="YN62" s="115"/>
      <c r="YO62" s="115"/>
      <c r="YP62" s="115"/>
      <c r="YQ62" s="115"/>
      <c r="YX62" s="22">
        <v>0</v>
      </c>
      <c r="YY62" s="22">
        <f>VLOOKUP(B62,'SCAFFOLDING MATERIAL OVERALL'!B64:S246,18,FALSE)</f>
        <v>0.98</v>
      </c>
      <c r="YZ62" s="22">
        <f t="shared" si="0"/>
        <v>0</v>
      </c>
    </row>
    <row r="63" spans="1:676" s="22" customFormat="1" x14ac:dyDescent="0.25">
      <c r="A63" s="17">
        <v>59</v>
      </c>
      <c r="B63" s="15">
        <v>1000005003</v>
      </c>
      <c r="C63" s="16" t="s">
        <v>71</v>
      </c>
      <c r="D63" s="44" t="s">
        <v>12</v>
      </c>
      <c r="OZ63" s="115"/>
      <c r="PA63" s="115"/>
      <c r="PB63" s="115"/>
      <c r="PC63" s="115"/>
      <c r="PD63" s="115"/>
      <c r="PE63" s="115"/>
      <c r="PF63" s="115"/>
      <c r="PG63" s="115"/>
      <c r="PH63" s="115"/>
      <c r="PI63" s="115"/>
      <c r="PJ63" s="115"/>
      <c r="PK63" s="115"/>
      <c r="PL63" s="115"/>
      <c r="PM63" s="115"/>
      <c r="PN63" s="115"/>
      <c r="PO63" s="115"/>
      <c r="PP63" s="115"/>
      <c r="PQ63" s="115"/>
      <c r="PR63" s="115"/>
      <c r="PS63" s="115"/>
      <c r="PT63" s="115"/>
      <c r="PU63" s="115"/>
      <c r="PV63" s="115"/>
      <c r="PW63" s="115"/>
      <c r="PX63" s="115"/>
      <c r="PY63" s="115"/>
      <c r="PZ63" s="115"/>
      <c r="QA63" s="115"/>
      <c r="QB63" s="115"/>
      <c r="QC63" s="115"/>
      <c r="QD63" s="115"/>
      <c r="QE63" s="115"/>
      <c r="QF63" s="115"/>
      <c r="QG63" s="115"/>
      <c r="QH63" s="115"/>
      <c r="QI63" s="115"/>
      <c r="QJ63" s="115"/>
      <c r="QK63" s="115"/>
      <c r="QL63" s="115"/>
      <c r="QM63" s="115"/>
      <c r="QN63" s="115"/>
      <c r="QO63" s="115"/>
      <c r="QP63" s="115"/>
      <c r="QQ63" s="115"/>
      <c r="QR63" s="115"/>
      <c r="QS63" s="115"/>
      <c r="QT63" s="115"/>
      <c r="QU63" s="115"/>
      <c r="QV63" s="115"/>
      <c r="QW63" s="115"/>
      <c r="QX63" s="115"/>
      <c r="QY63" s="115"/>
      <c r="QZ63" s="115"/>
      <c r="RA63" s="115"/>
      <c r="RB63" s="115"/>
      <c r="RC63" s="115"/>
      <c r="RD63" s="115"/>
      <c r="RE63" s="115"/>
      <c r="RF63" s="115"/>
      <c r="RG63" s="115"/>
      <c r="RH63" s="115"/>
      <c r="RI63" s="115"/>
      <c r="RJ63" s="115"/>
      <c r="RK63" s="115"/>
      <c r="RL63" s="115"/>
      <c r="RM63" s="115"/>
      <c r="RN63" s="115"/>
      <c r="RO63" s="115"/>
      <c r="RP63" s="115"/>
      <c r="RQ63" s="115"/>
      <c r="RR63" s="115"/>
      <c r="RS63" s="115"/>
      <c r="RT63" s="115"/>
      <c r="RU63" s="115"/>
      <c r="RV63" s="115"/>
      <c r="RW63" s="115"/>
      <c r="RX63" s="115"/>
      <c r="RY63" s="115"/>
      <c r="RZ63" s="115"/>
      <c r="SA63" s="115"/>
      <c r="SB63" s="115"/>
      <c r="SC63" s="115"/>
      <c r="SD63" s="115"/>
      <c r="SE63" s="115"/>
      <c r="SF63" s="115"/>
      <c r="SG63" s="115"/>
      <c r="SH63" s="115"/>
      <c r="SI63" s="115"/>
      <c r="SJ63" s="115"/>
      <c r="SK63" s="115"/>
      <c r="SL63" s="115"/>
      <c r="SM63" s="115"/>
      <c r="SN63" s="115"/>
      <c r="SO63" s="115"/>
      <c r="SP63" s="115"/>
      <c r="SQ63" s="115"/>
      <c r="SR63" s="115"/>
      <c r="SS63" s="115"/>
      <c r="ST63" s="115"/>
      <c r="SU63" s="115"/>
      <c r="SV63" s="115"/>
      <c r="SW63" s="115"/>
      <c r="SX63" s="115"/>
      <c r="SY63" s="115"/>
      <c r="SZ63" s="115"/>
      <c r="TA63" s="115"/>
      <c r="TB63" s="115"/>
      <c r="TC63" s="115"/>
      <c r="TD63" s="115"/>
      <c r="TE63" s="115"/>
      <c r="TF63" s="115"/>
      <c r="TG63" s="115"/>
      <c r="TH63" s="115"/>
      <c r="TI63" s="115"/>
      <c r="TJ63" s="115"/>
      <c r="TK63" s="115"/>
      <c r="TL63" s="115"/>
      <c r="TM63" s="115"/>
      <c r="TN63" s="115"/>
      <c r="TO63" s="115"/>
      <c r="TP63" s="115"/>
      <c r="TQ63" s="115"/>
      <c r="TR63" s="115"/>
      <c r="TS63" s="115"/>
      <c r="TT63" s="115"/>
      <c r="TU63" s="115"/>
      <c r="TV63" s="115"/>
      <c r="TW63" s="115"/>
      <c r="TX63" s="115"/>
      <c r="TY63" s="115"/>
      <c r="TZ63" s="115"/>
      <c r="UA63" s="115"/>
      <c r="UB63" s="115"/>
      <c r="UC63" s="115"/>
      <c r="UD63" s="115"/>
      <c r="UE63" s="115"/>
      <c r="UF63" s="115"/>
      <c r="UG63" s="115"/>
      <c r="UH63" s="115"/>
      <c r="UI63" s="115"/>
      <c r="UJ63" s="115"/>
      <c r="UK63" s="115"/>
      <c r="UL63" s="115"/>
      <c r="UM63" s="115"/>
      <c r="UN63" s="115"/>
      <c r="UO63" s="115"/>
      <c r="UP63" s="115"/>
      <c r="UQ63" s="115"/>
      <c r="UR63" s="115"/>
      <c r="US63" s="115"/>
      <c r="UT63" s="115"/>
      <c r="UU63" s="115"/>
      <c r="UV63" s="115"/>
      <c r="UW63" s="115"/>
      <c r="UX63" s="115"/>
      <c r="UY63" s="115"/>
      <c r="UZ63" s="115"/>
      <c r="VA63" s="115"/>
      <c r="VB63" s="115"/>
      <c r="VC63" s="115"/>
      <c r="VD63" s="115"/>
      <c r="VE63" s="115"/>
      <c r="VF63" s="115"/>
      <c r="VG63" s="115"/>
      <c r="VH63" s="115"/>
      <c r="VI63" s="115"/>
      <c r="VJ63" s="115"/>
      <c r="VK63" s="115"/>
      <c r="VL63" s="115"/>
      <c r="VM63" s="115"/>
      <c r="VN63" s="115"/>
      <c r="VO63" s="115"/>
      <c r="VP63" s="115"/>
      <c r="VQ63" s="115"/>
      <c r="VR63" s="115"/>
      <c r="VS63" s="115"/>
      <c r="VT63" s="115"/>
      <c r="VU63" s="115"/>
      <c r="VV63" s="115"/>
      <c r="VW63" s="115"/>
      <c r="VX63" s="115"/>
      <c r="VY63" s="115"/>
      <c r="VZ63" s="115"/>
      <c r="WA63" s="115"/>
      <c r="WB63" s="115"/>
      <c r="WC63" s="115"/>
      <c r="WD63" s="115"/>
      <c r="WE63" s="115"/>
      <c r="WF63" s="115"/>
      <c r="WG63" s="115"/>
      <c r="WH63" s="115"/>
      <c r="WI63" s="115"/>
      <c r="WJ63" s="115"/>
      <c r="WK63" s="115"/>
      <c r="WL63" s="115"/>
      <c r="WM63" s="115"/>
      <c r="WN63" s="115"/>
      <c r="WO63" s="115"/>
      <c r="WP63" s="115"/>
      <c r="WQ63" s="115"/>
      <c r="WR63" s="115"/>
      <c r="WS63" s="115"/>
      <c r="WT63" s="115"/>
      <c r="WU63" s="115"/>
      <c r="WV63" s="115"/>
      <c r="WW63" s="115"/>
      <c r="WX63" s="115"/>
      <c r="WY63" s="115"/>
      <c r="WZ63" s="115"/>
      <c r="XA63" s="115"/>
      <c r="XB63" s="115"/>
      <c r="XC63" s="115"/>
      <c r="XD63" s="115"/>
      <c r="XE63" s="115"/>
      <c r="XF63" s="115"/>
      <c r="XG63" s="115"/>
      <c r="XH63" s="115"/>
      <c r="XI63" s="115"/>
      <c r="XJ63" s="115"/>
      <c r="XK63" s="115"/>
      <c r="XL63" s="115"/>
      <c r="XM63" s="115"/>
      <c r="XN63" s="115"/>
      <c r="XO63" s="115"/>
      <c r="XP63" s="115"/>
      <c r="XQ63" s="115"/>
      <c r="XR63" s="115"/>
      <c r="XS63" s="115"/>
      <c r="XT63" s="115"/>
      <c r="XU63" s="115"/>
      <c r="XV63" s="115"/>
      <c r="XW63" s="115"/>
      <c r="XX63" s="115"/>
      <c r="XY63" s="115"/>
      <c r="XZ63" s="115"/>
      <c r="YA63" s="115"/>
      <c r="YB63" s="115"/>
      <c r="YC63" s="115"/>
      <c r="YD63" s="115"/>
      <c r="YE63" s="115"/>
      <c r="YF63" s="115"/>
      <c r="YG63" s="115"/>
      <c r="YH63" s="115"/>
      <c r="YI63" s="115"/>
      <c r="YJ63" s="115"/>
      <c r="YK63" s="115"/>
      <c r="YL63" s="115"/>
      <c r="YM63" s="115"/>
      <c r="YN63" s="115"/>
      <c r="YO63" s="115"/>
      <c r="YP63" s="115"/>
      <c r="YQ63" s="115"/>
      <c r="YX63" s="22">
        <v>0</v>
      </c>
      <c r="YY63" s="22">
        <f>VLOOKUP(B63,'SCAFFOLDING MATERIAL OVERALL'!B65:S247,18,FALSE)</f>
        <v>41.3</v>
      </c>
      <c r="YZ63" s="22">
        <f t="shared" si="0"/>
        <v>0</v>
      </c>
    </row>
    <row r="64" spans="1:676" s="22" customFormat="1" x14ac:dyDescent="0.25">
      <c r="A64" s="14">
        <v>60</v>
      </c>
      <c r="B64" s="15">
        <v>1000005001</v>
      </c>
      <c r="C64" s="16" t="s">
        <v>72</v>
      </c>
      <c r="D64" s="44" t="s">
        <v>12</v>
      </c>
      <c r="OZ64" s="115"/>
      <c r="PA64" s="115"/>
      <c r="PB64" s="115"/>
      <c r="PC64" s="115"/>
      <c r="PD64" s="115"/>
      <c r="PE64" s="115"/>
      <c r="PF64" s="115"/>
      <c r="PG64" s="115"/>
      <c r="PH64" s="115"/>
      <c r="PI64" s="115"/>
      <c r="PJ64" s="115"/>
      <c r="PK64" s="115"/>
      <c r="PL64" s="115"/>
      <c r="PM64" s="115"/>
      <c r="PN64" s="115"/>
      <c r="PO64" s="115"/>
      <c r="PP64" s="115"/>
      <c r="PQ64" s="115"/>
      <c r="PR64" s="115"/>
      <c r="PS64" s="115"/>
      <c r="PT64" s="115"/>
      <c r="PU64" s="115"/>
      <c r="PV64" s="115"/>
      <c r="PW64" s="115"/>
      <c r="PX64" s="115"/>
      <c r="PY64" s="115"/>
      <c r="PZ64" s="115"/>
      <c r="QA64" s="115"/>
      <c r="QB64" s="115"/>
      <c r="QC64" s="115"/>
      <c r="QD64" s="115"/>
      <c r="QE64" s="115"/>
      <c r="QF64" s="115"/>
      <c r="QG64" s="115"/>
      <c r="QH64" s="115"/>
      <c r="QI64" s="115"/>
      <c r="QJ64" s="115"/>
      <c r="QK64" s="115"/>
      <c r="QL64" s="115"/>
      <c r="QM64" s="115"/>
      <c r="QN64" s="115"/>
      <c r="QO64" s="115"/>
      <c r="QP64" s="115"/>
      <c r="QQ64" s="115"/>
      <c r="QR64" s="115"/>
      <c r="QS64" s="115"/>
      <c r="QT64" s="115"/>
      <c r="QU64" s="115"/>
      <c r="QV64" s="115"/>
      <c r="QW64" s="115"/>
      <c r="QX64" s="115"/>
      <c r="QY64" s="115"/>
      <c r="QZ64" s="115"/>
      <c r="RA64" s="115"/>
      <c r="RB64" s="115"/>
      <c r="RC64" s="115"/>
      <c r="RD64" s="115"/>
      <c r="RE64" s="115"/>
      <c r="RF64" s="115"/>
      <c r="RG64" s="115"/>
      <c r="RH64" s="115"/>
      <c r="RI64" s="115"/>
      <c r="RJ64" s="115"/>
      <c r="RK64" s="115"/>
      <c r="RL64" s="115"/>
      <c r="RM64" s="115"/>
      <c r="RN64" s="115"/>
      <c r="RO64" s="115"/>
      <c r="RP64" s="115"/>
      <c r="RQ64" s="115"/>
      <c r="RR64" s="115"/>
      <c r="RS64" s="115"/>
      <c r="RT64" s="115"/>
      <c r="RU64" s="115"/>
      <c r="RV64" s="115"/>
      <c r="RW64" s="115"/>
      <c r="RX64" s="115"/>
      <c r="RY64" s="115"/>
      <c r="RZ64" s="115"/>
      <c r="SA64" s="115"/>
      <c r="SB64" s="115"/>
      <c r="SC64" s="115"/>
      <c r="SD64" s="115"/>
      <c r="SE64" s="115"/>
      <c r="SF64" s="115"/>
      <c r="SG64" s="115"/>
      <c r="SH64" s="115"/>
      <c r="SI64" s="115"/>
      <c r="SJ64" s="115"/>
      <c r="SK64" s="115"/>
      <c r="SL64" s="115"/>
      <c r="SM64" s="115"/>
      <c r="SN64" s="115"/>
      <c r="SO64" s="115"/>
      <c r="SP64" s="115"/>
      <c r="SQ64" s="115"/>
      <c r="SR64" s="115"/>
      <c r="SS64" s="115"/>
      <c r="ST64" s="115"/>
      <c r="SU64" s="115"/>
      <c r="SV64" s="115"/>
      <c r="SW64" s="115"/>
      <c r="SX64" s="115"/>
      <c r="SY64" s="115"/>
      <c r="SZ64" s="115"/>
      <c r="TA64" s="115"/>
      <c r="TB64" s="115"/>
      <c r="TC64" s="115"/>
      <c r="TD64" s="115"/>
      <c r="TE64" s="115"/>
      <c r="TF64" s="115"/>
      <c r="TG64" s="115"/>
      <c r="TH64" s="115"/>
      <c r="TI64" s="115"/>
      <c r="TJ64" s="115"/>
      <c r="TK64" s="115"/>
      <c r="TL64" s="115"/>
      <c r="TM64" s="115"/>
      <c r="TN64" s="115"/>
      <c r="TO64" s="115"/>
      <c r="TP64" s="115"/>
      <c r="TQ64" s="115"/>
      <c r="TR64" s="115"/>
      <c r="TS64" s="115"/>
      <c r="TT64" s="115"/>
      <c r="TU64" s="115"/>
      <c r="TV64" s="115"/>
      <c r="TW64" s="115"/>
      <c r="TX64" s="115"/>
      <c r="TY64" s="115"/>
      <c r="TZ64" s="115"/>
      <c r="UA64" s="115"/>
      <c r="UB64" s="115"/>
      <c r="UC64" s="115"/>
      <c r="UD64" s="115"/>
      <c r="UE64" s="115"/>
      <c r="UF64" s="115"/>
      <c r="UG64" s="115"/>
      <c r="UH64" s="115"/>
      <c r="UI64" s="115"/>
      <c r="UJ64" s="115"/>
      <c r="UK64" s="115"/>
      <c r="UL64" s="115"/>
      <c r="UM64" s="115"/>
      <c r="UN64" s="115"/>
      <c r="UO64" s="115"/>
      <c r="UP64" s="115"/>
      <c r="UQ64" s="115"/>
      <c r="UR64" s="115"/>
      <c r="US64" s="115"/>
      <c r="UT64" s="115"/>
      <c r="UU64" s="115"/>
      <c r="UV64" s="115"/>
      <c r="UW64" s="115"/>
      <c r="UX64" s="115"/>
      <c r="UY64" s="115"/>
      <c r="UZ64" s="115"/>
      <c r="VA64" s="115"/>
      <c r="VB64" s="115"/>
      <c r="VC64" s="115"/>
      <c r="VD64" s="115"/>
      <c r="VE64" s="115"/>
      <c r="VF64" s="115"/>
      <c r="VG64" s="115"/>
      <c r="VH64" s="115"/>
      <c r="VI64" s="115"/>
      <c r="VJ64" s="115"/>
      <c r="VK64" s="115"/>
      <c r="VL64" s="115"/>
      <c r="VM64" s="115"/>
      <c r="VN64" s="115"/>
      <c r="VO64" s="115"/>
      <c r="VP64" s="115"/>
      <c r="VQ64" s="115"/>
      <c r="VR64" s="115"/>
      <c r="VS64" s="115"/>
      <c r="VT64" s="115"/>
      <c r="VU64" s="115"/>
      <c r="VV64" s="115"/>
      <c r="VW64" s="115"/>
      <c r="VX64" s="115"/>
      <c r="VY64" s="115"/>
      <c r="VZ64" s="115"/>
      <c r="WA64" s="115"/>
      <c r="WB64" s="115"/>
      <c r="WC64" s="115"/>
      <c r="WD64" s="115"/>
      <c r="WE64" s="115"/>
      <c r="WF64" s="115"/>
      <c r="WG64" s="115"/>
      <c r="WH64" s="115"/>
      <c r="WI64" s="115"/>
      <c r="WJ64" s="115"/>
      <c r="WK64" s="115"/>
      <c r="WL64" s="115"/>
      <c r="WM64" s="115"/>
      <c r="WN64" s="115"/>
      <c r="WO64" s="115"/>
      <c r="WP64" s="115"/>
      <c r="WQ64" s="115"/>
      <c r="WR64" s="115"/>
      <c r="WS64" s="115"/>
      <c r="WT64" s="115"/>
      <c r="WU64" s="115"/>
      <c r="WV64" s="115"/>
      <c r="WW64" s="115"/>
      <c r="WX64" s="115"/>
      <c r="WY64" s="115"/>
      <c r="WZ64" s="115"/>
      <c r="XA64" s="115"/>
      <c r="XB64" s="115"/>
      <c r="XC64" s="115"/>
      <c r="XD64" s="115"/>
      <c r="XE64" s="115"/>
      <c r="XF64" s="115"/>
      <c r="XG64" s="115"/>
      <c r="XH64" s="115"/>
      <c r="XI64" s="115"/>
      <c r="XJ64" s="115"/>
      <c r="XK64" s="115"/>
      <c r="XL64" s="115"/>
      <c r="XM64" s="115"/>
      <c r="XN64" s="115"/>
      <c r="XO64" s="115"/>
      <c r="XP64" s="115"/>
      <c r="XQ64" s="115"/>
      <c r="XR64" s="115"/>
      <c r="XS64" s="115"/>
      <c r="XT64" s="115"/>
      <c r="XU64" s="115"/>
      <c r="XV64" s="115"/>
      <c r="XW64" s="115"/>
      <c r="XX64" s="115"/>
      <c r="XY64" s="115"/>
      <c r="XZ64" s="115"/>
      <c r="YA64" s="115"/>
      <c r="YB64" s="115"/>
      <c r="YC64" s="115"/>
      <c r="YD64" s="115"/>
      <c r="YE64" s="115"/>
      <c r="YF64" s="115"/>
      <c r="YG64" s="115"/>
      <c r="YH64" s="115"/>
      <c r="YI64" s="115"/>
      <c r="YJ64" s="115"/>
      <c r="YK64" s="115"/>
      <c r="YL64" s="115"/>
      <c r="YM64" s="115"/>
      <c r="YN64" s="115"/>
      <c r="YO64" s="115"/>
      <c r="YP64" s="115"/>
      <c r="YQ64" s="115"/>
      <c r="YX64" s="22">
        <v>0</v>
      </c>
      <c r="YY64" s="22">
        <f>VLOOKUP(B64,'SCAFFOLDING MATERIAL OVERALL'!B66:S248,18,FALSE)</f>
        <v>76.5</v>
      </c>
      <c r="YZ64" s="22">
        <f t="shared" si="0"/>
        <v>0</v>
      </c>
    </row>
    <row r="65" spans="1:676" s="22" customFormat="1" x14ac:dyDescent="0.25">
      <c r="A65" s="14">
        <v>61</v>
      </c>
      <c r="B65" s="15">
        <v>1000005002</v>
      </c>
      <c r="C65" s="16" t="s">
        <v>73</v>
      </c>
      <c r="D65" s="44" t="s">
        <v>12</v>
      </c>
      <c r="OZ65" s="115"/>
      <c r="PA65" s="115"/>
      <c r="PB65" s="115"/>
      <c r="PC65" s="115"/>
      <c r="PD65" s="115"/>
      <c r="PE65" s="115"/>
      <c r="PF65" s="115"/>
      <c r="PG65" s="115"/>
      <c r="PH65" s="115"/>
      <c r="PI65" s="115"/>
      <c r="PJ65" s="115"/>
      <c r="PK65" s="115"/>
      <c r="PL65" s="115"/>
      <c r="PM65" s="115"/>
      <c r="PN65" s="115"/>
      <c r="PO65" s="115"/>
      <c r="PP65" s="115"/>
      <c r="PQ65" s="115"/>
      <c r="PR65" s="115"/>
      <c r="PS65" s="115"/>
      <c r="PT65" s="115"/>
      <c r="PU65" s="115"/>
      <c r="PV65" s="115"/>
      <c r="PW65" s="115"/>
      <c r="PX65" s="115"/>
      <c r="PY65" s="115"/>
      <c r="PZ65" s="115"/>
      <c r="QA65" s="115"/>
      <c r="QB65" s="115"/>
      <c r="QC65" s="115"/>
      <c r="QD65" s="115"/>
      <c r="QE65" s="115"/>
      <c r="QF65" s="115"/>
      <c r="QG65" s="115"/>
      <c r="QH65" s="115"/>
      <c r="QI65" s="115"/>
      <c r="QJ65" s="115"/>
      <c r="QK65" s="115"/>
      <c r="QL65" s="115"/>
      <c r="QM65" s="115"/>
      <c r="QN65" s="115"/>
      <c r="QO65" s="115"/>
      <c r="QP65" s="115"/>
      <c r="QQ65" s="115"/>
      <c r="QR65" s="115"/>
      <c r="QS65" s="115"/>
      <c r="QT65" s="115"/>
      <c r="QU65" s="115"/>
      <c r="QV65" s="115"/>
      <c r="QW65" s="115"/>
      <c r="QX65" s="115"/>
      <c r="QY65" s="115"/>
      <c r="QZ65" s="115"/>
      <c r="RA65" s="115"/>
      <c r="RB65" s="115"/>
      <c r="RC65" s="115"/>
      <c r="RD65" s="115"/>
      <c r="RE65" s="115"/>
      <c r="RF65" s="115"/>
      <c r="RG65" s="115"/>
      <c r="RH65" s="115"/>
      <c r="RI65" s="115"/>
      <c r="RJ65" s="115"/>
      <c r="RK65" s="115"/>
      <c r="RL65" s="115"/>
      <c r="RM65" s="115"/>
      <c r="RN65" s="115"/>
      <c r="RO65" s="115"/>
      <c r="RP65" s="115"/>
      <c r="RQ65" s="115"/>
      <c r="RR65" s="115"/>
      <c r="RS65" s="115"/>
      <c r="RT65" s="115"/>
      <c r="RU65" s="115"/>
      <c r="RV65" s="115"/>
      <c r="RW65" s="115"/>
      <c r="RX65" s="115"/>
      <c r="RY65" s="115"/>
      <c r="RZ65" s="115"/>
      <c r="SA65" s="115"/>
      <c r="SB65" s="115"/>
      <c r="SC65" s="115"/>
      <c r="SD65" s="115"/>
      <c r="SE65" s="115"/>
      <c r="SF65" s="115"/>
      <c r="SG65" s="115"/>
      <c r="SH65" s="115"/>
      <c r="SI65" s="115"/>
      <c r="SJ65" s="115"/>
      <c r="SK65" s="115"/>
      <c r="SL65" s="115"/>
      <c r="SM65" s="115"/>
      <c r="SN65" s="115"/>
      <c r="SO65" s="115"/>
      <c r="SP65" s="115"/>
      <c r="SQ65" s="115"/>
      <c r="SR65" s="115"/>
      <c r="SS65" s="115"/>
      <c r="ST65" s="115"/>
      <c r="SU65" s="115"/>
      <c r="SV65" s="115"/>
      <c r="SW65" s="115"/>
      <c r="SX65" s="115"/>
      <c r="SY65" s="115"/>
      <c r="SZ65" s="115"/>
      <c r="TA65" s="115"/>
      <c r="TB65" s="115"/>
      <c r="TC65" s="115"/>
      <c r="TD65" s="115"/>
      <c r="TE65" s="115"/>
      <c r="TF65" s="115"/>
      <c r="TG65" s="115"/>
      <c r="TH65" s="115"/>
      <c r="TI65" s="115"/>
      <c r="TJ65" s="115"/>
      <c r="TK65" s="115"/>
      <c r="TL65" s="115"/>
      <c r="TM65" s="115"/>
      <c r="TN65" s="115"/>
      <c r="TO65" s="115"/>
      <c r="TP65" s="115"/>
      <c r="TQ65" s="115"/>
      <c r="TR65" s="115"/>
      <c r="TS65" s="115"/>
      <c r="TT65" s="115"/>
      <c r="TU65" s="115"/>
      <c r="TV65" s="115"/>
      <c r="TW65" s="115"/>
      <c r="TX65" s="115"/>
      <c r="TY65" s="115"/>
      <c r="TZ65" s="115"/>
      <c r="UA65" s="115"/>
      <c r="UB65" s="115"/>
      <c r="UC65" s="115"/>
      <c r="UD65" s="115"/>
      <c r="UE65" s="115"/>
      <c r="UF65" s="115"/>
      <c r="UG65" s="115"/>
      <c r="UH65" s="115"/>
      <c r="UI65" s="115"/>
      <c r="UJ65" s="115"/>
      <c r="UK65" s="115"/>
      <c r="UL65" s="115"/>
      <c r="UM65" s="115"/>
      <c r="UN65" s="115"/>
      <c r="UO65" s="115"/>
      <c r="UP65" s="115"/>
      <c r="UQ65" s="115"/>
      <c r="UR65" s="115"/>
      <c r="US65" s="115"/>
      <c r="UT65" s="115"/>
      <c r="UU65" s="115"/>
      <c r="UV65" s="115"/>
      <c r="UW65" s="115"/>
      <c r="UX65" s="115"/>
      <c r="UY65" s="115"/>
      <c r="UZ65" s="115"/>
      <c r="VA65" s="115"/>
      <c r="VB65" s="115"/>
      <c r="VC65" s="115"/>
      <c r="VD65" s="115"/>
      <c r="VE65" s="115"/>
      <c r="VF65" s="115"/>
      <c r="VG65" s="115"/>
      <c r="VH65" s="115"/>
      <c r="VI65" s="115"/>
      <c r="VJ65" s="115"/>
      <c r="VK65" s="115"/>
      <c r="VL65" s="115"/>
      <c r="VM65" s="115"/>
      <c r="VN65" s="115"/>
      <c r="VO65" s="115"/>
      <c r="VP65" s="115"/>
      <c r="VQ65" s="115"/>
      <c r="VR65" s="115"/>
      <c r="VS65" s="115"/>
      <c r="VT65" s="115"/>
      <c r="VU65" s="115"/>
      <c r="VV65" s="115"/>
      <c r="VW65" s="115"/>
      <c r="VX65" s="115"/>
      <c r="VY65" s="115"/>
      <c r="VZ65" s="115"/>
      <c r="WA65" s="115"/>
      <c r="WB65" s="115"/>
      <c r="WC65" s="115"/>
      <c r="WD65" s="115"/>
      <c r="WE65" s="115"/>
      <c r="WF65" s="115"/>
      <c r="WG65" s="115"/>
      <c r="WH65" s="115"/>
      <c r="WI65" s="115"/>
      <c r="WJ65" s="115"/>
      <c r="WK65" s="115"/>
      <c r="WL65" s="115"/>
      <c r="WM65" s="115"/>
      <c r="WN65" s="115"/>
      <c r="WO65" s="115"/>
      <c r="WP65" s="115"/>
      <c r="WQ65" s="115"/>
      <c r="WR65" s="115"/>
      <c r="WS65" s="115"/>
      <c r="WT65" s="115"/>
      <c r="WU65" s="115"/>
      <c r="WV65" s="115"/>
      <c r="WW65" s="115"/>
      <c r="WX65" s="115"/>
      <c r="WY65" s="115"/>
      <c r="WZ65" s="115"/>
      <c r="XA65" s="115"/>
      <c r="XB65" s="115"/>
      <c r="XC65" s="115"/>
      <c r="XD65" s="115"/>
      <c r="XE65" s="115"/>
      <c r="XF65" s="115"/>
      <c r="XG65" s="115"/>
      <c r="XH65" s="115"/>
      <c r="XI65" s="115"/>
      <c r="XJ65" s="115"/>
      <c r="XK65" s="115"/>
      <c r="XL65" s="115"/>
      <c r="XM65" s="115"/>
      <c r="XN65" s="115"/>
      <c r="XO65" s="115"/>
      <c r="XP65" s="115"/>
      <c r="XQ65" s="115"/>
      <c r="XR65" s="115"/>
      <c r="XS65" s="115"/>
      <c r="XT65" s="115"/>
      <c r="XU65" s="115"/>
      <c r="XV65" s="115"/>
      <c r="XW65" s="115"/>
      <c r="XX65" s="115"/>
      <c r="XY65" s="115"/>
      <c r="XZ65" s="115"/>
      <c r="YA65" s="115"/>
      <c r="YB65" s="115"/>
      <c r="YC65" s="115"/>
      <c r="YD65" s="115"/>
      <c r="YE65" s="115"/>
      <c r="YF65" s="115"/>
      <c r="YG65" s="115"/>
      <c r="YH65" s="115"/>
      <c r="YI65" s="115"/>
      <c r="YJ65" s="115"/>
      <c r="YK65" s="115"/>
      <c r="YL65" s="115"/>
      <c r="YM65" s="115"/>
      <c r="YN65" s="115"/>
      <c r="YO65" s="115"/>
      <c r="YP65" s="115"/>
      <c r="YQ65" s="115"/>
      <c r="YX65" s="22">
        <v>0</v>
      </c>
      <c r="YY65" s="22">
        <f>VLOOKUP(B65,'SCAFFOLDING MATERIAL OVERALL'!B67:S249,18,FALSE)</f>
        <v>46.5</v>
      </c>
      <c r="YZ65" s="22">
        <f t="shared" si="0"/>
        <v>0</v>
      </c>
    </row>
    <row r="66" spans="1:676" s="22" customFormat="1" x14ac:dyDescent="0.25">
      <c r="A66" s="17">
        <v>62</v>
      </c>
      <c r="B66" s="15">
        <v>1000005000</v>
      </c>
      <c r="C66" s="16" t="s">
        <v>74</v>
      </c>
      <c r="D66" s="44" t="s">
        <v>12</v>
      </c>
      <c r="OZ66" s="115"/>
      <c r="PA66" s="115"/>
      <c r="PB66" s="115"/>
      <c r="PC66" s="115"/>
      <c r="PD66" s="115"/>
      <c r="PE66" s="115"/>
      <c r="PF66" s="115"/>
      <c r="PG66" s="115"/>
      <c r="PH66" s="115"/>
      <c r="PI66" s="115"/>
      <c r="PJ66" s="115"/>
      <c r="PK66" s="115"/>
      <c r="PL66" s="115"/>
      <c r="PM66" s="115"/>
      <c r="PN66" s="115"/>
      <c r="PO66" s="115"/>
      <c r="PP66" s="115"/>
      <c r="PQ66" s="115"/>
      <c r="PR66" s="115"/>
      <c r="PS66" s="115"/>
      <c r="PT66" s="115"/>
      <c r="PU66" s="115"/>
      <c r="PV66" s="115"/>
      <c r="PW66" s="115"/>
      <c r="PX66" s="115"/>
      <c r="PY66" s="115"/>
      <c r="PZ66" s="115"/>
      <c r="QA66" s="115"/>
      <c r="QB66" s="115"/>
      <c r="QC66" s="115"/>
      <c r="QD66" s="115"/>
      <c r="QE66" s="115"/>
      <c r="QF66" s="115"/>
      <c r="QG66" s="115"/>
      <c r="QH66" s="115"/>
      <c r="QI66" s="115"/>
      <c r="QJ66" s="115"/>
      <c r="QK66" s="115"/>
      <c r="QL66" s="115"/>
      <c r="QM66" s="115"/>
      <c r="QN66" s="115"/>
      <c r="QO66" s="115"/>
      <c r="QP66" s="115"/>
      <c r="QQ66" s="115"/>
      <c r="QR66" s="115"/>
      <c r="QS66" s="115"/>
      <c r="QT66" s="115"/>
      <c r="QU66" s="115"/>
      <c r="QV66" s="115"/>
      <c r="QW66" s="115"/>
      <c r="QX66" s="115"/>
      <c r="QY66" s="115"/>
      <c r="QZ66" s="115"/>
      <c r="RA66" s="115"/>
      <c r="RB66" s="115"/>
      <c r="RC66" s="115"/>
      <c r="RD66" s="115"/>
      <c r="RE66" s="115"/>
      <c r="RF66" s="115"/>
      <c r="RG66" s="115"/>
      <c r="RH66" s="115"/>
      <c r="RI66" s="115"/>
      <c r="RJ66" s="115"/>
      <c r="RK66" s="115"/>
      <c r="RL66" s="115"/>
      <c r="RM66" s="115"/>
      <c r="RN66" s="115"/>
      <c r="RO66" s="115"/>
      <c r="RP66" s="115"/>
      <c r="RQ66" s="115"/>
      <c r="RR66" s="115"/>
      <c r="RS66" s="115"/>
      <c r="RT66" s="115"/>
      <c r="RU66" s="115"/>
      <c r="RV66" s="115"/>
      <c r="RW66" s="115"/>
      <c r="RX66" s="115"/>
      <c r="RY66" s="115"/>
      <c r="RZ66" s="115"/>
      <c r="SA66" s="115"/>
      <c r="SB66" s="115"/>
      <c r="SC66" s="115"/>
      <c r="SD66" s="115"/>
      <c r="SE66" s="115"/>
      <c r="SF66" s="115"/>
      <c r="SG66" s="115"/>
      <c r="SH66" s="115"/>
      <c r="SI66" s="115"/>
      <c r="SJ66" s="115"/>
      <c r="SK66" s="115"/>
      <c r="SL66" s="115"/>
      <c r="SM66" s="115"/>
      <c r="SN66" s="115"/>
      <c r="SO66" s="115"/>
      <c r="SP66" s="115"/>
      <c r="SQ66" s="115"/>
      <c r="SR66" s="115"/>
      <c r="SS66" s="115"/>
      <c r="ST66" s="115"/>
      <c r="SU66" s="115"/>
      <c r="SV66" s="115"/>
      <c r="SW66" s="115"/>
      <c r="SX66" s="115"/>
      <c r="SY66" s="115"/>
      <c r="SZ66" s="115"/>
      <c r="TA66" s="115"/>
      <c r="TB66" s="115"/>
      <c r="TC66" s="115"/>
      <c r="TD66" s="115"/>
      <c r="TE66" s="115"/>
      <c r="TF66" s="115"/>
      <c r="TG66" s="115"/>
      <c r="TH66" s="115"/>
      <c r="TI66" s="115"/>
      <c r="TJ66" s="115"/>
      <c r="TK66" s="115"/>
      <c r="TL66" s="115"/>
      <c r="TM66" s="115"/>
      <c r="TN66" s="115"/>
      <c r="TO66" s="115"/>
      <c r="TP66" s="115"/>
      <c r="TQ66" s="115"/>
      <c r="TR66" s="115"/>
      <c r="TS66" s="115"/>
      <c r="TT66" s="115"/>
      <c r="TU66" s="115"/>
      <c r="TV66" s="115"/>
      <c r="TW66" s="115"/>
      <c r="TX66" s="115"/>
      <c r="TY66" s="115"/>
      <c r="TZ66" s="115"/>
      <c r="UA66" s="115"/>
      <c r="UB66" s="115"/>
      <c r="UC66" s="115"/>
      <c r="UD66" s="115"/>
      <c r="UE66" s="115"/>
      <c r="UF66" s="115"/>
      <c r="UG66" s="115"/>
      <c r="UH66" s="115"/>
      <c r="UI66" s="115"/>
      <c r="UJ66" s="115"/>
      <c r="UK66" s="115"/>
      <c r="UL66" s="115"/>
      <c r="UM66" s="115"/>
      <c r="UN66" s="115"/>
      <c r="UO66" s="115"/>
      <c r="UP66" s="115"/>
      <c r="UQ66" s="115"/>
      <c r="UR66" s="115"/>
      <c r="US66" s="115"/>
      <c r="UT66" s="115"/>
      <c r="UU66" s="115"/>
      <c r="UV66" s="115"/>
      <c r="UW66" s="115"/>
      <c r="UX66" s="115"/>
      <c r="UY66" s="115"/>
      <c r="UZ66" s="115"/>
      <c r="VA66" s="115"/>
      <c r="VB66" s="115"/>
      <c r="VC66" s="115"/>
      <c r="VD66" s="115"/>
      <c r="VE66" s="115"/>
      <c r="VF66" s="115"/>
      <c r="VG66" s="115"/>
      <c r="VH66" s="115"/>
      <c r="VI66" s="115"/>
      <c r="VJ66" s="115"/>
      <c r="VK66" s="115"/>
      <c r="VL66" s="115"/>
      <c r="VM66" s="115"/>
      <c r="VN66" s="115"/>
      <c r="VO66" s="115"/>
      <c r="VP66" s="115"/>
      <c r="VQ66" s="115"/>
      <c r="VR66" s="115"/>
      <c r="VS66" s="115"/>
      <c r="VT66" s="115"/>
      <c r="VU66" s="115"/>
      <c r="VV66" s="115"/>
      <c r="VW66" s="115"/>
      <c r="VX66" s="115"/>
      <c r="VY66" s="115"/>
      <c r="VZ66" s="115"/>
      <c r="WA66" s="115"/>
      <c r="WB66" s="115"/>
      <c r="WC66" s="115"/>
      <c r="WD66" s="115"/>
      <c r="WE66" s="115"/>
      <c r="WF66" s="115"/>
      <c r="WG66" s="115"/>
      <c r="WH66" s="115"/>
      <c r="WI66" s="115"/>
      <c r="WJ66" s="115"/>
      <c r="WK66" s="115"/>
      <c r="WL66" s="115"/>
      <c r="WM66" s="115"/>
      <c r="WN66" s="115"/>
      <c r="WO66" s="115"/>
      <c r="WP66" s="115"/>
      <c r="WQ66" s="115"/>
      <c r="WR66" s="115"/>
      <c r="WS66" s="115"/>
      <c r="WT66" s="115"/>
      <c r="WU66" s="115"/>
      <c r="WV66" s="115"/>
      <c r="WW66" s="115"/>
      <c r="WX66" s="115"/>
      <c r="WY66" s="115"/>
      <c r="WZ66" s="115"/>
      <c r="XA66" s="115"/>
      <c r="XB66" s="115"/>
      <c r="XC66" s="115"/>
      <c r="XD66" s="115"/>
      <c r="XE66" s="115"/>
      <c r="XF66" s="115"/>
      <c r="XG66" s="115"/>
      <c r="XH66" s="115"/>
      <c r="XI66" s="115"/>
      <c r="XJ66" s="115"/>
      <c r="XK66" s="115"/>
      <c r="XL66" s="115"/>
      <c r="XM66" s="115"/>
      <c r="XN66" s="115"/>
      <c r="XO66" s="115"/>
      <c r="XP66" s="115"/>
      <c r="XQ66" s="115"/>
      <c r="XR66" s="115"/>
      <c r="XS66" s="115"/>
      <c r="XT66" s="115"/>
      <c r="XU66" s="115"/>
      <c r="XV66" s="115"/>
      <c r="XW66" s="115"/>
      <c r="XX66" s="115"/>
      <c r="XY66" s="115"/>
      <c r="XZ66" s="115"/>
      <c r="YA66" s="115"/>
      <c r="YB66" s="115"/>
      <c r="YC66" s="115"/>
      <c r="YD66" s="115"/>
      <c r="YE66" s="115"/>
      <c r="YF66" s="115"/>
      <c r="YG66" s="115"/>
      <c r="YH66" s="115"/>
      <c r="YI66" s="115"/>
      <c r="YJ66" s="115"/>
      <c r="YK66" s="115"/>
      <c r="YL66" s="115"/>
      <c r="YM66" s="115"/>
      <c r="YN66" s="115"/>
      <c r="YO66" s="115"/>
      <c r="YP66" s="115"/>
      <c r="YQ66" s="115"/>
      <c r="YX66" s="22">
        <v>0</v>
      </c>
      <c r="YY66" s="22">
        <f>VLOOKUP(B66,'SCAFFOLDING MATERIAL OVERALL'!B68:S250,18,FALSE)</f>
        <v>86.5</v>
      </c>
      <c r="YZ66" s="22">
        <f t="shared" si="0"/>
        <v>0</v>
      </c>
    </row>
    <row r="67" spans="1:676" s="22" customFormat="1" x14ac:dyDescent="0.25">
      <c r="A67" s="14">
        <v>63</v>
      </c>
      <c r="B67" s="15">
        <v>3000002340</v>
      </c>
      <c r="C67" s="16" t="s">
        <v>75</v>
      </c>
      <c r="D67" s="44" t="s">
        <v>12</v>
      </c>
      <c r="R67" s="22" t="s">
        <v>35</v>
      </c>
      <c r="S67" s="22" t="s">
        <v>35</v>
      </c>
      <c r="T67" s="22" t="s">
        <v>35</v>
      </c>
      <c r="U67" s="22" t="s">
        <v>35</v>
      </c>
      <c r="V67" s="22" t="s">
        <v>35</v>
      </c>
      <c r="W67" s="22" t="s">
        <v>35</v>
      </c>
      <c r="X67" s="22" t="s">
        <v>35</v>
      </c>
      <c r="Y67" s="22" t="s">
        <v>35</v>
      </c>
      <c r="Z67" s="22">
        <v>200</v>
      </c>
      <c r="AA67" s="22" t="s">
        <v>35</v>
      </c>
      <c r="AB67" s="22" t="s">
        <v>35</v>
      </c>
      <c r="AC67" s="22" t="s">
        <v>35</v>
      </c>
      <c r="AD67" s="22" t="s">
        <v>35</v>
      </c>
      <c r="AH67" s="22">
        <v>800</v>
      </c>
      <c r="AI67" s="22">
        <v>200</v>
      </c>
      <c r="AM67" s="22">
        <v>400</v>
      </c>
      <c r="AN67" s="22">
        <v>800</v>
      </c>
      <c r="AT67" s="22">
        <v>200</v>
      </c>
      <c r="AU67" s="22">
        <v>200</v>
      </c>
      <c r="AW67" s="22">
        <v>300</v>
      </c>
      <c r="AY67" s="22">
        <v>800</v>
      </c>
      <c r="AZ67" s="22">
        <v>100</v>
      </c>
      <c r="BM67" s="22">
        <v>600</v>
      </c>
      <c r="CD67" s="22">
        <v>200</v>
      </c>
      <c r="CK67" s="22">
        <v>200</v>
      </c>
      <c r="CU67" s="22">
        <v>200</v>
      </c>
      <c r="DG67" s="22">
        <v>100</v>
      </c>
      <c r="DK67" s="22">
        <v>1200</v>
      </c>
      <c r="DL67" s="22">
        <v>1200</v>
      </c>
      <c r="DY67" s="22">
        <v>800</v>
      </c>
      <c r="DZ67" s="22">
        <v>1000</v>
      </c>
      <c r="EH67" s="22">
        <v>79</v>
      </c>
      <c r="FM67" s="22">
        <v>300</v>
      </c>
      <c r="GS67" s="22">
        <v>51</v>
      </c>
      <c r="IH67" s="22">
        <v>1350</v>
      </c>
      <c r="JE67" s="22">
        <v>150</v>
      </c>
      <c r="JL67" s="22">
        <v>75</v>
      </c>
      <c r="JQ67" s="22">
        <v>150</v>
      </c>
      <c r="JV67" s="22">
        <v>150</v>
      </c>
      <c r="KP67" s="22">
        <v>300</v>
      </c>
      <c r="KR67" s="22">
        <v>300</v>
      </c>
      <c r="LF67" s="22">
        <v>300</v>
      </c>
      <c r="MY67" s="22">
        <v>150</v>
      </c>
      <c r="NK67" s="22">
        <v>243</v>
      </c>
      <c r="NX67" s="22">
        <v>200</v>
      </c>
      <c r="OD67" s="22">
        <v>148</v>
      </c>
      <c r="OE67" s="22">
        <v>150</v>
      </c>
      <c r="OM67" s="22">
        <v>200</v>
      </c>
      <c r="OX67" s="22">
        <v>400</v>
      </c>
      <c r="OZ67" s="115"/>
      <c r="PA67" s="115"/>
      <c r="PB67" s="115"/>
      <c r="PC67" s="115" t="s">
        <v>35</v>
      </c>
      <c r="PD67" s="115" t="s">
        <v>35</v>
      </c>
      <c r="PE67" s="115" t="s">
        <v>35</v>
      </c>
      <c r="PF67" s="115" t="s">
        <v>35</v>
      </c>
      <c r="PG67" s="115" t="s">
        <v>35</v>
      </c>
      <c r="PH67" s="115" t="s">
        <v>35</v>
      </c>
      <c r="PI67" s="115" t="s">
        <v>35</v>
      </c>
      <c r="PJ67" s="115" t="s">
        <v>35</v>
      </c>
      <c r="PK67" s="115"/>
      <c r="PL67" s="115"/>
      <c r="PM67" s="115"/>
      <c r="PN67" s="115"/>
      <c r="PO67" s="115"/>
      <c r="PP67" s="115"/>
      <c r="PQ67" s="115"/>
      <c r="PR67" s="115"/>
      <c r="PS67" s="115"/>
      <c r="PT67" s="115"/>
      <c r="PU67" s="115"/>
      <c r="PV67" s="115"/>
      <c r="PW67" s="115"/>
      <c r="PX67" s="115"/>
      <c r="PY67" s="115"/>
      <c r="PZ67" s="115"/>
      <c r="QA67" s="115"/>
      <c r="QB67" s="115"/>
      <c r="QC67" s="115"/>
      <c r="QD67" s="115"/>
      <c r="QE67" s="115"/>
      <c r="QF67" s="115"/>
      <c r="QG67" s="115"/>
      <c r="QH67" s="115"/>
      <c r="QI67" s="115"/>
      <c r="QJ67" s="115"/>
      <c r="QK67" s="115">
        <v>200</v>
      </c>
      <c r="QL67" s="115"/>
      <c r="QM67" s="115"/>
      <c r="QN67" s="115"/>
      <c r="QO67" s="115"/>
      <c r="QP67" s="115"/>
      <c r="QQ67" s="115"/>
      <c r="QR67" s="115"/>
      <c r="QS67" s="115"/>
      <c r="QT67" s="115"/>
      <c r="QU67" s="115"/>
      <c r="QV67" s="115"/>
      <c r="QW67" s="115"/>
      <c r="QX67" s="115"/>
      <c r="QY67" s="115"/>
      <c r="QZ67" s="115"/>
      <c r="RA67" s="115"/>
      <c r="RB67" s="115"/>
      <c r="RC67" s="115"/>
      <c r="RD67" s="115"/>
      <c r="RE67" s="115"/>
      <c r="RF67" s="115"/>
      <c r="RG67" s="115">
        <v>400</v>
      </c>
      <c r="RH67" s="115"/>
      <c r="RI67" s="115"/>
      <c r="RJ67" s="115"/>
      <c r="RK67" s="115"/>
      <c r="RL67" s="115"/>
      <c r="RM67" s="115"/>
      <c r="RN67" s="115"/>
      <c r="RO67" s="115"/>
      <c r="RP67" s="115">
        <v>600</v>
      </c>
      <c r="RQ67" s="115"/>
      <c r="RR67" s="115"/>
      <c r="RS67" s="115"/>
      <c r="RT67" s="115"/>
      <c r="RU67" s="115"/>
      <c r="RV67" s="115"/>
      <c r="RW67" s="115"/>
      <c r="RX67" s="115"/>
      <c r="RY67" s="115"/>
      <c r="RZ67" s="115"/>
      <c r="SA67" s="115"/>
      <c r="SB67" s="115"/>
      <c r="SC67" s="115"/>
      <c r="SD67" s="115"/>
      <c r="SE67" s="115">
        <v>350</v>
      </c>
      <c r="SF67" s="115">
        <v>400</v>
      </c>
      <c r="SG67" s="115"/>
      <c r="SH67" s="115"/>
      <c r="SI67" s="115"/>
      <c r="SJ67" s="115"/>
      <c r="SK67" s="115"/>
      <c r="SL67" s="115"/>
      <c r="SM67" s="115"/>
      <c r="SN67" s="115">
        <v>125</v>
      </c>
      <c r="SO67" s="115">
        <v>200</v>
      </c>
      <c r="SP67" s="115">
        <v>200</v>
      </c>
      <c r="SQ67" s="115">
        <v>200</v>
      </c>
      <c r="SR67" s="115"/>
      <c r="SS67" s="115">
        <v>200</v>
      </c>
      <c r="ST67" s="115">
        <v>200</v>
      </c>
      <c r="SU67" s="115">
        <v>150</v>
      </c>
      <c r="SV67" s="115"/>
      <c r="SW67" s="115"/>
      <c r="SX67" s="115">
        <v>200</v>
      </c>
      <c r="SY67" s="115">
        <v>150</v>
      </c>
      <c r="SZ67" s="115">
        <v>150</v>
      </c>
      <c r="TA67" s="115"/>
      <c r="TB67" s="115"/>
      <c r="TC67" s="115">
        <v>300</v>
      </c>
      <c r="TD67" s="115">
        <v>300</v>
      </c>
      <c r="TE67" s="115">
        <v>400</v>
      </c>
      <c r="TF67" s="115"/>
      <c r="TG67" s="115"/>
      <c r="TH67" s="115"/>
      <c r="TI67" s="115"/>
      <c r="TJ67" s="115">
        <v>150</v>
      </c>
      <c r="TK67" s="115"/>
      <c r="TL67" s="115"/>
      <c r="TM67" s="115"/>
      <c r="TN67" s="115"/>
      <c r="TO67" s="115"/>
      <c r="TP67" s="115"/>
      <c r="TQ67" s="115"/>
      <c r="TR67" s="115"/>
      <c r="TS67" s="115"/>
      <c r="TT67" s="115"/>
      <c r="TU67" s="115"/>
      <c r="TV67" s="115"/>
      <c r="TW67" s="115"/>
      <c r="TX67" s="115"/>
      <c r="TY67" s="115"/>
      <c r="TZ67" s="115"/>
      <c r="UA67" s="115"/>
      <c r="UB67" s="115"/>
      <c r="UC67" s="115"/>
      <c r="UD67" s="115"/>
      <c r="UE67" s="115"/>
      <c r="UF67" s="115"/>
      <c r="UG67" s="115"/>
      <c r="UH67" s="115"/>
      <c r="UI67" s="115"/>
      <c r="UJ67" s="115"/>
      <c r="UK67" s="115"/>
      <c r="UL67" s="115"/>
      <c r="UM67" s="115"/>
      <c r="UN67" s="115">
        <v>75</v>
      </c>
      <c r="UO67" s="115">
        <v>150</v>
      </c>
      <c r="UP67" s="115">
        <v>150</v>
      </c>
      <c r="UQ67" s="115">
        <v>375</v>
      </c>
      <c r="UR67" s="115">
        <v>750</v>
      </c>
      <c r="US67" s="115"/>
      <c r="UT67" s="115">
        <v>150</v>
      </c>
      <c r="UU67" s="115">
        <v>150</v>
      </c>
      <c r="UV67" s="115"/>
      <c r="UW67" s="115"/>
      <c r="UX67" s="115">
        <v>150</v>
      </c>
      <c r="UY67" s="115">
        <v>150</v>
      </c>
      <c r="UZ67" s="115">
        <v>300</v>
      </c>
      <c r="VA67" s="115"/>
      <c r="VB67" s="115"/>
      <c r="VC67" s="115"/>
      <c r="VD67" s="115"/>
      <c r="VE67" s="115">
        <v>150</v>
      </c>
      <c r="VF67" s="115"/>
      <c r="VG67" s="115">
        <v>150</v>
      </c>
      <c r="VH67" s="115"/>
      <c r="VI67" s="115"/>
      <c r="VJ67" s="115"/>
      <c r="VK67" s="115">
        <v>75</v>
      </c>
      <c r="VL67" s="115"/>
      <c r="VM67" s="115"/>
      <c r="VN67" s="115"/>
      <c r="VO67" s="115">
        <v>150</v>
      </c>
      <c r="VP67" s="115"/>
      <c r="VQ67" s="115"/>
      <c r="VR67" s="115"/>
      <c r="VS67" s="115">
        <v>75</v>
      </c>
      <c r="VT67" s="115">
        <v>75</v>
      </c>
      <c r="VU67" s="115">
        <v>150</v>
      </c>
      <c r="VV67" s="115"/>
      <c r="VW67" s="115">
        <v>225</v>
      </c>
      <c r="VX67" s="115"/>
      <c r="VY67" s="115">
        <v>150</v>
      </c>
      <c r="VZ67" s="115">
        <v>600</v>
      </c>
      <c r="WA67" s="115">
        <v>150</v>
      </c>
      <c r="WB67" s="115"/>
      <c r="WC67" s="115"/>
      <c r="WD67" s="115">
        <v>300</v>
      </c>
      <c r="WE67" s="115">
        <v>450</v>
      </c>
      <c r="WF67" s="115"/>
      <c r="WG67" s="115">
        <v>225</v>
      </c>
      <c r="WH67" s="115"/>
      <c r="WI67" s="115">
        <v>450</v>
      </c>
      <c r="WJ67" s="115">
        <v>600</v>
      </c>
      <c r="WK67" s="115"/>
      <c r="WL67" s="115"/>
      <c r="WM67" s="115"/>
      <c r="WN67" s="115">
        <v>750</v>
      </c>
      <c r="WO67" s="115">
        <v>150</v>
      </c>
      <c r="WP67" s="115"/>
      <c r="WQ67" s="115"/>
      <c r="WR67" s="115"/>
      <c r="WS67" s="115"/>
      <c r="WT67" s="115"/>
      <c r="WU67" s="115"/>
      <c r="WV67" s="115">
        <v>150</v>
      </c>
      <c r="WW67" s="115">
        <v>150</v>
      </c>
      <c r="WX67" s="115">
        <v>150</v>
      </c>
      <c r="WY67" s="115"/>
      <c r="WZ67" s="115">
        <v>150</v>
      </c>
      <c r="XA67" s="115"/>
      <c r="XB67" s="115"/>
      <c r="XC67" s="115"/>
      <c r="XD67" s="115">
        <v>150</v>
      </c>
      <c r="XE67" s="115">
        <v>150</v>
      </c>
      <c r="XF67" s="115"/>
      <c r="XG67" s="115"/>
      <c r="XH67" s="115"/>
      <c r="XI67" s="115"/>
      <c r="XJ67" s="115">
        <v>150</v>
      </c>
      <c r="XK67" s="115">
        <v>150</v>
      </c>
      <c r="XL67" s="115"/>
      <c r="XM67" s="115">
        <v>150</v>
      </c>
      <c r="XN67" s="115">
        <v>150</v>
      </c>
      <c r="XO67" s="115">
        <v>150</v>
      </c>
      <c r="XP67" s="115"/>
      <c r="XQ67" s="115">
        <v>150</v>
      </c>
      <c r="XR67" s="115"/>
      <c r="XS67" s="115">
        <v>150</v>
      </c>
      <c r="XT67" s="115"/>
      <c r="XU67" s="115">
        <v>150</v>
      </c>
      <c r="XV67" s="115">
        <v>150</v>
      </c>
      <c r="XW67" s="115"/>
      <c r="XX67" s="115">
        <v>150</v>
      </c>
      <c r="XY67" s="115"/>
      <c r="XZ67" s="115">
        <v>150</v>
      </c>
      <c r="YA67" s="115">
        <v>150</v>
      </c>
      <c r="YB67" s="115"/>
      <c r="YC67" s="115">
        <v>150</v>
      </c>
      <c r="YD67" s="115">
        <v>150</v>
      </c>
      <c r="YE67" s="115">
        <v>150</v>
      </c>
      <c r="YF67" s="115"/>
      <c r="YG67" s="115">
        <v>150</v>
      </c>
      <c r="YH67" s="115"/>
      <c r="YI67" s="115">
        <v>150</v>
      </c>
      <c r="YJ67" s="115">
        <v>150</v>
      </c>
      <c r="YK67" s="115">
        <v>150</v>
      </c>
      <c r="YL67" s="115">
        <v>150</v>
      </c>
      <c r="YM67" s="115"/>
      <c r="YN67" s="115">
        <v>600</v>
      </c>
      <c r="YO67" s="115">
        <v>400</v>
      </c>
      <c r="YP67" s="115"/>
      <c r="YQ67" s="115"/>
      <c r="YX67" s="22">
        <v>31246</v>
      </c>
      <c r="YY67" s="22">
        <f>VLOOKUP(B67,'SCAFFOLDING MATERIAL OVERALL'!B69:S251,18,FALSE)</f>
        <v>5.36</v>
      </c>
      <c r="YZ67" s="22">
        <f t="shared" si="0"/>
        <v>167478.56</v>
      </c>
    </row>
    <row r="68" spans="1:676" s="22" customFormat="1" x14ac:dyDescent="0.25">
      <c r="A68" s="14">
        <v>64</v>
      </c>
      <c r="B68" s="15">
        <v>3000001211</v>
      </c>
      <c r="C68" s="16" t="s">
        <v>76</v>
      </c>
      <c r="D68" s="44" t="s">
        <v>12</v>
      </c>
      <c r="R68" s="22" t="s">
        <v>35</v>
      </c>
      <c r="S68" s="22" t="s">
        <v>35</v>
      </c>
      <c r="T68" s="22" t="s">
        <v>35</v>
      </c>
      <c r="U68" s="22" t="s">
        <v>35</v>
      </c>
      <c r="V68" s="22" t="s">
        <v>35</v>
      </c>
      <c r="W68" s="22" t="s">
        <v>35</v>
      </c>
      <c r="X68" s="22" t="s">
        <v>35</v>
      </c>
      <c r="Y68" s="22" t="s">
        <v>35</v>
      </c>
      <c r="Z68" s="22" t="s">
        <v>35</v>
      </c>
      <c r="AA68" s="22" t="s">
        <v>35</v>
      </c>
      <c r="AB68" s="22" t="s">
        <v>35</v>
      </c>
      <c r="AC68" s="22" t="s">
        <v>35</v>
      </c>
      <c r="AD68" s="22" t="s">
        <v>35</v>
      </c>
      <c r="EH68" s="22">
        <v>279</v>
      </c>
      <c r="GS68" s="22">
        <v>47</v>
      </c>
      <c r="NK68" s="22">
        <v>288</v>
      </c>
      <c r="NU68" s="22">
        <v>59</v>
      </c>
      <c r="OZ68" s="115"/>
      <c r="PA68" s="115"/>
      <c r="PB68" s="115"/>
      <c r="PC68" s="115" t="s">
        <v>35</v>
      </c>
      <c r="PD68" s="115" t="s">
        <v>35</v>
      </c>
      <c r="PE68" s="115" t="s">
        <v>35</v>
      </c>
      <c r="PF68" s="115" t="s">
        <v>35</v>
      </c>
      <c r="PG68" s="115" t="s">
        <v>35</v>
      </c>
      <c r="PH68" s="115" t="s">
        <v>35</v>
      </c>
      <c r="PI68" s="115" t="s">
        <v>35</v>
      </c>
      <c r="PJ68" s="115" t="s">
        <v>35</v>
      </c>
      <c r="PK68" s="115"/>
      <c r="PL68" s="115"/>
      <c r="PM68" s="115"/>
      <c r="PN68" s="115"/>
      <c r="PO68" s="115"/>
      <c r="PP68" s="115"/>
      <c r="PQ68" s="115"/>
      <c r="PR68" s="115"/>
      <c r="PS68" s="115"/>
      <c r="PT68" s="115"/>
      <c r="PU68" s="115"/>
      <c r="PV68" s="115"/>
      <c r="PW68" s="115"/>
      <c r="PX68" s="115"/>
      <c r="PY68" s="115"/>
      <c r="PZ68" s="115"/>
      <c r="QA68" s="115"/>
      <c r="QB68" s="115"/>
      <c r="QC68" s="115"/>
      <c r="QD68" s="115"/>
      <c r="QE68" s="115"/>
      <c r="QF68" s="115"/>
      <c r="QG68" s="115"/>
      <c r="QH68" s="115"/>
      <c r="QI68" s="115"/>
      <c r="QJ68" s="115"/>
      <c r="QK68" s="115"/>
      <c r="QL68" s="115"/>
      <c r="QM68" s="115"/>
      <c r="QN68" s="115"/>
      <c r="QO68" s="115"/>
      <c r="QP68" s="115"/>
      <c r="QQ68" s="115"/>
      <c r="QR68" s="115"/>
      <c r="QS68" s="115"/>
      <c r="QT68" s="115"/>
      <c r="QU68" s="115"/>
      <c r="QV68" s="115"/>
      <c r="QW68" s="115"/>
      <c r="QX68" s="115"/>
      <c r="QY68" s="115"/>
      <c r="QZ68" s="115"/>
      <c r="RA68" s="115"/>
      <c r="RB68" s="115"/>
      <c r="RC68" s="115"/>
      <c r="RD68" s="115"/>
      <c r="RE68" s="115"/>
      <c r="RF68" s="115"/>
      <c r="RG68" s="115"/>
      <c r="RH68" s="115"/>
      <c r="RI68" s="115"/>
      <c r="RJ68" s="115"/>
      <c r="RK68" s="115"/>
      <c r="RL68" s="115"/>
      <c r="RM68" s="115"/>
      <c r="RN68" s="115"/>
      <c r="RO68" s="115"/>
      <c r="RP68" s="115"/>
      <c r="RQ68" s="115"/>
      <c r="RR68" s="115"/>
      <c r="RS68" s="115"/>
      <c r="RT68" s="115"/>
      <c r="RU68" s="115"/>
      <c r="RV68" s="115"/>
      <c r="RW68" s="115"/>
      <c r="RX68" s="115"/>
      <c r="RY68" s="115"/>
      <c r="RZ68" s="115"/>
      <c r="SA68" s="115"/>
      <c r="SB68" s="115"/>
      <c r="SC68" s="115"/>
      <c r="SD68" s="115"/>
      <c r="SE68" s="115"/>
      <c r="SF68" s="115"/>
      <c r="SG68" s="115"/>
      <c r="SH68" s="115"/>
      <c r="SI68" s="115"/>
      <c r="SJ68" s="115"/>
      <c r="SK68" s="115"/>
      <c r="SL68" s="115"/>
      <c r="SM68" s="115"/>
      <c r="SN68" s="115"/>
      <c r="SO68" s="115"/>
      <c r="SP68" s="115"/>
      <c r="SQ68" s="115"/>
      <c r="SR68" s="115"/>
      <c r="SS68" s="115"/>
      <c r="ST68" s="115"/>
      <c r="SU68" s="115"/>
      <c r="SV68" s="115"/>
      <c r="SW68" s="115"/>
      <c r="SX68" s="115"/>
      <c r="SY68" s="115"/>
      <c r="SZ68" s="115"/>
      <c r="TA68" s="115"/>
      <c r="TB68" s="115"/>
      <c r="TC68" s="115"/>
      <c r="TD68" s="115"/>
      <c r="TE68" s="115"/>
      <c r="TF68" s="115"/>
      <c r="TG68" s="115"/>
      <c r="TH68" s="115"/>
      <c r="TI68" s="115"/>
      <c r="TJ68" s="115"/>
      <c r="TK68" s="115"/>
      <c r="TL68" s="115"/>
      <c r="TM68" s="115"/>
      <c r="TN68" s="115"/>
      <c r="TO68" s="115"/>
      <c r="TP68" s="115"/>
      <c r="TQ68" s="115"/>
      <c r="TR68" s="115"/>
      <c r="TS68" s="115"/>
      <c r="TT68" s="115"/>
      <c r="TU68" s="115"/>
      <c r="TV68" s="115"/>
      <c r="TW68" s="115"/>
      <c r="TX68" s="115"/>
      <c r="TY68" s="115"/>
      <c r="TZ68" s="115"/>
      <c r="UA68" s="115"/>
      <c r="UB68" s="115"/>
      <c r="UC68" s="115"/>
      <c r="UD68" s="115"/>
      <c r="UE68" s="115"/>
      <c r="UF68" s="115"/>
      <c r="UG68" s="115"/>
      <c r="UH68" s="115"/>
      <c r="UI68" s="115"/>
      <c r="UJ68" s="115"/>
      <c r="UK68" s="115"/>
      <c r="UL68" s="115"/>
      <c r="UM68" s="115"/>
      <c r="UN68" s="115"/>
      <c r="UO68" s="115"/>
      <c r="UP68" s="115"/>
      <c r="UQ68" s="115"/>
      <c r="UR68" s="115"/>
      <c r="US68" s="115"/>
      <c r="UT68" s="115"/>
      <c r="UU68" s="115"/>
      <c r="UV68" s="115"/>
      <c r="UW68" s="115"/>
      <c r="UX68" s="115"/>
      <c r="UY68" s="115"/>
      <c r="UZ68" s="115"/>
      <c r="VA68" s="115"/>
      <c r="VB68" s="115"/>
      <c r="VC68" s="115"/>
      <c r="VD68" s="115"/>
      <c r="VE68" s="115"/>
      <c r="VF68" s="115"/>
      <c r="VG68" s="115"/>
      <c r="VH68" s="115"/>
      <c r="VI68" s="115"/>
      <c r="VJ68" s="115"/>
      <c r="VK68" s="115"/>
      <c r="VL68" s="115"/>
      <c r="VM68" s="115"/>
      <c r="VN68" s="115"/>
      <c r="VO68" s="115"/>
      <c r="VP68" s="115"/>
      <c r="VQ68" s="115"/>
      <c r="VR68" s="115"/>
      <c r="VS68" s="115"/>
      <c r="VT68" s="115"/>
      <c r="VU68" s="115"/>
      <c r="VV68" s="115"/>
      <c r="VW68" s="115"/>
      <c r="VX68" s="115"/>
      <c r="VY68" s="115"/>
      <c r="VZ68" s="115"/>
      <c r="WA68" s="115"/>
      <c r="WB68" s="115"/>
      <c r="WC68" s="115"/>
      <c r="WD68" s="115"/>
      <c r="WE68" s="115"/>
      <c r="WF68" s="115"/>
      <c r="WG68" s="115"/>
      <c r="WH68" s="115"/>
      <c r="WI68" s="115"/>
      <c r="WJ68" s="115"/>
      <c r="WK68" s="115"/>
      <c r="WL68" s="115"/>
      <c r="WM68" s="115"/>
      <c r="WN68" s="115"/>
      <c r="WO68" s="115"/>
      <c r="WP68" s="115"/>
      <c r="WQ68" s="115"/>
      <c r="WR68" s="115"/>
      <c r="WS68" s="115"/>
      <c r="WT68" s="115"/>
      <c r="WU68" s="115"/>
      <c r="WV68" s="115"/>
      <c r="WW68" s="115"/>
      <c r="WX68" s="115"/>
      <c r="WY68" s="115"/>
      <c r="WZ68" s="115"/>
      <c r="XA68" s="115"/>
      <c r="XB68" s="115"/>
      <c r="XC68" s="115"/>
      <c r="XD68" s="115"/>
      <c r="XE68" s="115"/>
      <c r="XF68" s="115"/>
      <c r="XG68" s="115"/>
      <c r="XH68" s="115"/>
      <c r="XI68" s="115"/>
      <c r="XJ68" s="115"/>
      <c r="XK68" s="115"/>
      <c r="XL68" s="115"/>
      <c r="XM68" s="115"/>
      <c r="XN68" s="115"/>
      <c r="XO68" s="115"/>
      <c r="XP68" s="115"/>
      <c r="XQ68" s="115"/>
      <c r="XR68" s="115"/>
      <c r="XS68" s="115"/>
      <c r="XT68" s="115"/>
      <c r="XU68" s="115"/>
      <c r="XV68" s="115"/>
      <c r="XW68" s="115"/>
      <c r="XX68" s="115"/>
      <c r="XY68" s="115"/>
      <c r="XZ68" s="115"/>
      <c r="YA68" s="115"/>
      <c r="YB68" s="115"/>
      <c r="YC68" s="115"/>
      <c r="YD68" s="115"/>
      <c r="YE68" s="115"/>
      <c r="YF68" s="115"/>
      <c r="YG68" s="115"/>
      <c r="YH68" s="115"/>
      <c r="YI68" s="115"/>
      <c r="YJ68" s="115"/>
      <c r="YK68" s="115"/>
      <c r="YL68" s="115"/>
      <c r="YM68" s="115"/>
      <c r="YN68" s="115"/>
      <c r="YO68" s="115"/>
      <c r="YP68" s="115"/>
      <c r="YQ68" s="115"/>
      <c r="YX68" s="22">
        <v>673</v>
      </c>
      <c r="YY68" s="22">
        <f>VLOOKUP(B68,'SCAFFOLDING MATERIAL OVERALL'!B70:S252,18,FALSE)</f>
        <v>6.65</v>
      </c>
      <c r="YZ68" s="22">
        <f t="shared" si="0"/>
        <v>4475.45</v>
      </c>
    </row>
    <row r="69" spans="1:676" s="22" customFormat="1" x14ac:dyDescent="0.25">
      <c r="A69" s="17">
        <v>65</v>
      </c>
      <c r="B69" s="15">
        <v>3000001212</v>
      </c>
      <c r="C69" s="16" t="s">
        <v>77</v>
      </c>
      <c r="D69" s="44" t="s">
        <v>12</v>
      </c>
      <c r="R69" s="22" t="s">
        <v>35</v>
      </c>
      <c r="T69" s="22" t="s">
        <v>35</v>
      </c>
      <c r="U69" s="22" t="s">
        <v>35</v>
      </c>
      <c r="V69" s="22" t="s">
        <v>35</v>
      </c>
      <c r="W69" s="22" t="s">
        <v>35</v>
      </c>
      <c r="X69" s="22" t="s">
        <v>35</v>
      </c>
      <c r="Y69" s="22" t="s">
        <v>35</v>
      </c>
      <c r="Z69" s="22">
        <v>400</v>
      </c>
      <c r="AA69" s="22" t="s">
        <v>35</v>
      </c>
      <c r="AB69" s="22" t="s">
        <v>35</v>
      </c>
      <c r="AC69" s="22" t="s">
        <v>35</v>
      </c>
      <c r="AD69" s="22" t="s">
        <v>35</v>
      </c>
      <c r="AF69" s="22">
        <v>100</v>
      </c>
      <c r="AI69" s="22">
        <v>600</v>
      </c>
      <c r="AN69" s="22">
        <v>400</v>
      </c>
      <c r="AQ69" s="22">
        <v>400</v>
      </c>
      <c r="AT69" s="22">
        <v>200</v>
      </c>
      <c r="AW69" s="22">
        <v>100</v>
      </c>
      <c r="AY69" s="22">
        <v>200</v>
      </c>
      <c r="AZ69" s="22">
        <v>100</v>
      </c>
      <c r="BM69" s="22">
        <v>1200</v>
      </c>
      <c r="CG69" s="22">
        <v>800</v>
      </c>
      <c r="CZ69" s="22">
        <v>200</v>
      </c>
      <c r="DG69" s="22">
        <v>200</v>
      </c>
      <c r="EH69" s="22">
        <v>140</v>
      </c>
      <c r="GN69" s="22">
        <v>200</v>
      </c>
      <c r="GS69" s="22">
        <v>39</v>
      </c>
      <c r="IH69" s="22">
        <v>900</v>
      </c>
      <c r="JD69" s="22">
        <v>1800</v>
      </c>
      <c r="JE69" s="22">
        <v>150</v>
      </c>
      <c r="JP69" s="22">
        <v>150</v>
      </c>
      <c r="JQ69" s="22">
        <v>75</v>
      </c>
      <c r="JV69" s="22">
        <v>150</v>
      </c>
      <c r="KT69" s="22">
        <v>300</v>
      </c>
      <c r="KV69" s="22">
        <v>300</v>
      </c>
      <c r="LC69" s="22">
        <v>150</v>
      </c>
      <c r="LU69" s="22">
        <v>150</v>
      </c>
      <c r="MY69" s="22">
        <v>300</v>
      </c>
      <c r="NK69" s="22">
        <v>69</v>
      </c>
      <c r="NX69" s="22">
        <v>50</v>
      </c>
      <c r="OX69" s="22">
        <v>387</v>
      </c>
      <c r="OZ69" s="115"/>
      <c r="PA69" s="115"/>
      <c r="PB69" s="115"/>
      <c r="PC69" s="115" t="s">
        <v>35</v>
      </c>
      <c r="PD69" s="115" t="s">
        <v>35</v>
      </c>
      <c r="PE69" s="115" t="s">
        <v>35</v>
      </c>
      <c r="PF69" s="115" t="s">
        <v>35</v>
      </c>
      <c r="PG69" s="115" t="s">
        <v>35</v>
      </c>
      <c r="PH69" s="115" t="s">
        <v>35</v>
      </c>
      <c r="PI69" s="115" t="s">
        <v>35</v>
      </c>
      <c r="PJ69" s="115" t="s">
        <v>35</v>
      </c>
      <c r="PK69" s="115"/>
      <c r="PL69" s="115"/>
      <c r="PM69" s="115"/>
      <c r="PN69" s="115"/>
      <c r="PO69" s="115"/>
      <c r="PP69" s="115"/>
      <c r="PQ69" s="115"/>
      <c r="PR69" s="115"/>
      <c r="PS69" s="115"/>
      <c r="PT69" s="115"/>
      <c r="PU69" s="115"/>
      <c r="PV69" s="115"/>
      <c r="PW69" s="115"/>
      <c r="PX69" s="115"/>
      <c r="PY69" s="115"/>
      <c r="PZ69" s="115"/>
      <c r="QA69" s="115"/>
      <c r="QB69" s="115"/>
      <c r="QC69" s="115"/>
      <c r="QD69" s="115"/>
      <c r="QE69" s="115"/>
      <c r="QF69" s="115"/>
      <c r="QG69" s="115"/>
      <c r="QH69" s="115"/>
      <c r="QI69" s="115"/>
      <c r="QJ69" s="115"/>
      <c r="QK69" s="115"/>
      <c r="QL69" s="115"/>
      <c r="QM69" s="115"/>
      <c r="QN69" s="115"/>
      <c r="QO69" s="115"/>
      <c r="QP69" s="115"/>
      <c r="QQ69" s="115"/>
      <c r="QR69" s="115"/>
      <c r="QS69" s="115"/>
      <c r="QT69" s="115">
        <v>100</v>
      </c>
      <c r="QU69" s="115"/>
      <c r="QV69" s="115"/>
      <c r="QW69" s="115"/>
      <c r="QX69" s="115">
        <v>200</v>
      </c>
      <c r="QY69" s="115"/>
      <c r="QZ69" s="115"/>
      <c r="RA69" s="115"/>
      <c r="RB69" s="115"/>
      <c r="RC69" s="115"/>
      <c r="RD69" s="115"/>
      <c r="RE69" s="115"/>
      <c r="RF69" s="115">
        <v>1000</v>
      </c>
      <c r="RG69" s="115">
        <v>400</v>
      </c>
      <c r="RH69" s="115"/>
      <c r="RI69" s="115"/>
      <c r="RJ69" s="115"/>
      <c r="RK69" s="115"/>
      <c r="RL69" s="115"/>
      <c r="RM69" s="115"/>
      <c r="RN69" s="115"/>
      <c r="RO69" s="115"/>
      <c r="RP69" s="115"/>
      <c r="RQ69" s="115"/>
      <c r="RR69" s="115"/>
      <c r="RS69" s="115"/>
      <c r="RT69" s="115"/>
      <c r="RU69" s="115"/>
      <c r="RV69" s="115"/>
      <c r="RW69" s="115"/>
      <c r="RX69" s="115"/>
      <c r="RY69" s="115"/>
      <c r="RZ69" s="115"/>
      <c r="SA69" s="115">
        <v>500</v>
      </c>
      <c r="SB69" s="115"/>
      <c r="SC69" s="115"/>
      <c r="SD69" s="115"/>
      <c r="SE69" s="115">
        <v>750</v>
      </c>
      <c r="SF69" s="115"/>
      <c r="SG69" s="115"/>
      <c r="SH69" s="115"/>
      <c r="SI69" s="115"/>
      <c r="SJ69" s="115"/>
      <c r="SK69" s="115"/>
      <c r="SL69" s="115"/>
      <c r="SM69" s="115"/>
      <c r="SN69" s="115">
        <v>125</v>
      </c>
      <c r="SO69" s="115">
        <v>200</v>
      </c>
      <c r="SP69" s="115">
        <v>200</v>
      </c>
      <c r="SQ69" s="115">
        <v>200</v>
      </c>
      <c r="SR69" s="115"/>
      <c r="SS69" s="115">
        <v>200</v>
      </c>
      <c r="ST69" s="115">
        <v>200</v>
      </c>
      <c r="SU69" s="115">
        <v>150</v>
      </c>
      <c r="SV69" s="115"/>
      <c r="SW69" s="115"/>
      <c r="SX69" s="115">
        <v>200</v>
      </c>
      <c r="SY69" s="115">
        <v>150</v>
      </c>
      <c r="SZ69" s="115">
        <v>150</v>
      </c>
      <c r="TA69" s="115"/>
      <c r="TB69" s="115"/>
      <c r="TC69" s="115">
        <v>100</v>
      </c>
      <c r="TD69" s="115">
        <v>300</v>
      </c>
      <c r="TE69" s="115">
        <v>600</v>
      </c>
      <c r="TF69" s="115"/>
      <c r="TG69" s="115"/>
      <c r="TH69" s="115"/>
      <c r="TI69" s="115"/>
      <c r="TJ69" s="115">
        <v>150</v>
      </c>
      <c r="TK69" s="115"/>
      <c r="TL69" s="115"/>
      <c r="TM69" s="115"/>
      <c r="TN69" s="115"/>
      <c r="TO69" s="115"/>
      <c r="TP69" s="115"/>
      <c r="TQ69" s="115"/>
      <c r="TR69" s="115">
        <v>300</v>
      </c>
      <c r="TS69" s="115"/>
      <c r="TT69" s="115"/>
      <c r="TU69" s="115"/>
      <c r="TV69" s="115"/>
      <c r="TW69" s="115"/>
      <c r="TX69" s="115"/>
      <c r="TY69" s="115"/>
      <c r="TZ69" s="115"/>
      <c r="UA69" s="115"/>
      <c r="UB69" s="115"/>
      <c r="UC69" s="115"/>
      <c r="UD69" s="115">
        <v>150</v>
      </c>
      <c r="UE69" s="115"/>
      <c r="UF69" s="115"/>
      <c r="UG69" s="115"/>
      <c r="UH69" s="115"/>
      <c r="UI69" s="115">
        <v>75</v>
      </c>
      <c r="UJ69" s="115"/>
      <c r="UK69" s="115"/>
      <c r="UL69" s="115"/>
      <c r="UM69" s="115"/>
      <c r="UN69" s="115"/>
      <c r="UO69" s="115"/>
      <c r="UP69" s="115"/>
      <c r="UQ69" s="115"/>
      <c r="UR69" s="115"/>
      <c r="US69" s="115"/>
      <c r="UT69" s="115"/>
      <c r="UU69" s="115"/>
      <c r="UV69" s="115"/>
      <c r="UW69" s="115"/>
      <c r="UX69" s="115">
        <v>75</v>
      </c>
      <c r="UY69" s="115"/>
      <c r="UZ69" s="115"/>
      <c r="VA69" s="115"/>
      <c r="VB69" s="115">
        <v>150</v>
      </c>
      <c r="VC69" s="115">
        <v>150</v>
      </c>
      <c r="VD69" s="115"/>
      <c r="VE69" s="115">
        <v>300</v>
      </c>
      <c r="VF69" s="115"/>
      <c r="VG69" s="115">
        <v>150</v>
      </c>
      <c r="VH69" s="115">
        <v>150</v>
      </c>
      <c r="VI69" s="115">
        <v>300</v>
      </c>
      <c r="VJ69" s="115"/>
      <c r="VK69" s="115"/>
      <c r="VL69" s="115">
        <v>375</v>
      </c>
      <c r="VM69" s="115"/>
      <c r="VN69" s="115"/>
      <c r="VO69" s="115">
        <v>600</v>
      </c>
      <c r="VP69" s="115">
        <v>150</v>
      </c>
      <c r="VQ69" s="115"/>
      <c r="VR69" s="115"/>
      <c r="VS69" s="115">
        <v>150</v>
      </c>
      <c r="VT69" s="115">
        <v>150</v>
      </c>
      <c r="VU69" s="115"/>
      <c r="VV69" s="115"/>
      <c r="VW69" s="115">
        <v>225</v>
      </c>
      <c r="VX69" s="115"/>
      <c r="VY69" s="115">
        <v>300</v>
      </c>
      <c r="VZ69" s="115">
        <v>300</v>
      </c>
      <c r="WA69" s="115"/>
      <c r="WB69" s="115"/>
      <c r="WC69" s="115">
        <v>300</v>
      </c>
      <c r="WD69" s="115">
        <v>900</v>
      </c>
      <c r="WE69" s="115">
        <v>600</v>
      </c>
      <c r="WF69" s="115"/>
      <c r="WG69" s="115">
        <v>225</v>
      </c>
      <c r="WH69" s="115"/>
      <c r="WI69" s="115">
        <v>375</v>
      </c>
      <c r="WJ69" s="115">
        <v>150</v>
      </c>
      <c r="WK69" s="115"/>
      <c r="WL69" s="115"/>
      <c r="WM69" s="115"/>
      <c r="WN69" s="115">
        <v>450</v>
      </c>
      <c r="WO69" s="115">
        <v>150</v>
      </c>
      <c r="WP69" s="115"/>
      <c r="WQ69" s="115">
        <v>150</v>
      </c>
      <c r="WR69" s="115"/>
      <c r="WS69" s="115"/>
      <c r="WT69" s="115"/>
      <c r="WU69" s="115"/>
      <c r="WV69" s="115">
        <v>150</v>
      </c>
      <c r="WW69" s="115">
        <v>150</v>
      </c>
      <c r="WX69" s="115">
        <v>150</v>
      </c>
      <c r="WY69" s="115"/>
      <c r="WZ69" s="115">
        <v>150</v>
      </c>
      <c r="XA69" s="115"/>
      <c r="XB69" s="115"/>
      <c r="XC69" s="115"/>
      <c r="XD69" s="115">
        <v>150</v>
      </c>
      <c r="XE69" s="115">
        <v>150</v>
      </c>
      <c r="XF69" s="115"/>
      <c r="XG69" s="115"/>
      <c r="XH69" s="115"/>
      <c r="XI69" s="115"/>
      <c r="XJ69" s="115">
        <v>150</v>
      </c>
      <c r="XK69" s="115">
        <v>150</v>
      </c>
      <c r="XL69" s="115"/>
      <c r="XM69" s="115">
        <v>150</v>
      </c>
      <c r="XN69" s="115">
        <v>150</v>
      </c>
      <c r="XO69" s="115">
        <v>150</v>
      </c>
      <c r="XP69" s="115"/>
      <c r="XQ69" s="115">
        <v>150</v>
      </c>
      <c r="XR69" s="115"/>
      <c r="XS69" s="115">
        <v>150</v>
      </c>
      <c r="XT69" s="115">
        <v>200</v>
      </c>
      <c r="XU69" s="115">
        <v>150</v>
      </c>
      <c r="XV69" s="115">
        <v>150</v>
      </c>
      <c r="XW69" s="115"/>
      <c r="XX69" s="115">
        <v>75</v>
      </c>
      <c r="XY69" s="115"/>
      <c r="XZ69" s="115"/>
      <c r="YA69" s="115">
        <v>150</v>
      </c>
      <c r="YB69" s="115">
        <v>250</v>
      </c>
      <c r="YC69" s="115">
        <v>150</v>
      </c>
      <c r="YD69" s="115">
        <v>150</v>
      </c>
      <c r="YE69" s="115">
        <v>150</v>
      </c>
      <c r="YF69" s="115"/>
      <c r="YG69" s="115">
        <v>150</v>
      </c>
      <c r="YH69" s="115"/>
      <c r="YI69" s="115">
        <v>150</v>
      </c>
      <c r="YJ69" s="115">
        <v>150</v>
      </c>
      <c r="YK69" s="115">
        <v>150</v>
      </c>
      <c r="YL69" s="115">
        <v>150</v>
      </c>
      <c r="YM69" s="115"/>
      <c r="YN69" s="115">
        <v>400</v>
      </c>
      <c r="YO69" s="115">
        <v>400</v>
      </c>
      <c r="YP69" s="115"/>
      <c r="YQ69" s="115"/>
      <c r="YX69" s="22">
        <v>28360</v>
      </c>
      <c r="YY69" s="22">
        <f>VLOOKUP(B69,'SCAFFOLDING MATERIAL OVERALL'!B71:S253,18,FALSE)</f>
        <v>8.2050000000000001</v>
      </c>
      <c r="YZ69" s="22">
        <f t="shared" si="0"/>
        <v>232693.8</v>
      </c>
    </row>
    <row r="70" spans="1:676" s="22" customFormat="1" x14ac:dyDescent="0.25">
      <c r="A70" s="14">
        <v>66</v>
      </c>
      <c r="B70" s="15">
        <v>3000002341</v>
      </c>
      <c r="C70" s="16" t="s">
        <v>78</v>
      </c>
      <c r="D70" s="44" t="s">
        <v>12</v>
      </c>
      <c r="Z70" s="22">
        <v>700</v>
      </c>
      <c r="AC70" s="22">
        <v>1200</v>
      </c>
      <c r="AF70" s="22">
        <v>1000</v>
      </c>
      <c r="AM70" s="22">
        <v>600</v>
      </c>
      <c r="AN70" s="22">
        <v>200</v>
      </c>
      <c r="AQ70" s="22">
        <v>200</v>
      </c>
      <c r="AT70" s="22">
        <v>100</v>
      </c>
      <c r="BC70" s="22">
        <v>100</v>
      </c>
      <c r="BL70" s="22">
        <v>1200</v>
      </c>
      <c r="BX70" s="22">
        <v>200</v>
      </c>
      <c r="CK70" s="22">
        <v>100</v>
      </c>
      <c r="CR70" s="22">
        <v>200</v>
      </c>
      <c r="CT70" s="22">
        <v>200</v>
      </c>
      <c r="CU70" s="22">
        <v>500</v>
      </c>
      <c r="DY70" s="22">
        <v>200</v>
      </c>
      <c r="DZ70" s="22">
        <v>200</v>
      </c>
      <c r="EH70" s="22">
        <v>65</v>
      </c>
      <c r="EM70" s="22">
        <v>400</v>
      </c>
      <c r="EN70" s="22">
        <v>240</v>
      </c>
      <c r="EV70" s="22">
        <v>400</v>
      </c>
      <c r="FU70" s="22">
        <v>416</v>
      </c>
      <c r="GG70" s="22">
        <v>334</v>
      </c>
      <c r="GN70" s="22">
        <v>200</v>
      </c>
      <c r="GS70" s="22">
        <v>78</v>
      </c>
      <c r="IH70" s="22">
        <v>150</v>
      </c>
      <c r="JE70" s="22">
        <v>150</v>
      </c>
      <c r="JQ70" s="22">
        <v>225</v>
      </c>
      <c r="KP70" s="22">
        <v>300</v>
      </c>
      <c r="KT70" s="22">
        <v>300</v>
      </c>
      <c r="KV70" s="22">
        <v>300</v>
      </c>
      <c r="KX70" s="22">
        <v>300</v>
      </c>
      <c r="LF70" s="22">
        <v>150</v>
      </c>
      <c r="NK70" s="22">
        <v>74</v>
      </c>
      <c r="NU70" s="22">
        <v>100</v>
      </c>
      <c r="NX70" s="22">
        <v>200</v>
      </c>
      <c r="OD70" s="22">
        <v>148</v>
      </c>
      <c r="OM70" s="22">
        <v>150</v>
      </c>
      <c r="OY70" s="22">
        <v>80</v>
      </c>
      <c r="OZ70" s="115"/>
      <c r="PA70" s="115"/>
      <c r="PB70" s="115"/>
      <c r="PC70" s="115"/>
      <c r="PD70" s="115"/>
      <c r="PE70" s="115"/>
      <c r="PF70" s="115"/>
      <c r="PG70" s="115"/>
      <c r="PH70" s="115"/>
      <c r="PI70" s="115"/>
      <c r="PJ70" s="115"/>
      <c r="PK70" s="115"/>
      <c r="PL70" s="115"/>
      <c r="PM70" s="115"/>
      <c r="PN70" s="115"/>
      <c r="PO70" s="115"/>
      <c r="PP70" s="115"/>
      <c r="PQ70" s="115"/>
      <c r="PR70" s="115"/>
      <c r="PS70" s="115"/>
      <c r="PT70" s="115"/>
      <c r="PU70" s="115"/>
      <c r="PV70" s="115"/>
      <c r="PW70" s="115"/>
      <c r="PX70" s="115"/>
      <c r="PY70" s="115"/>
      <c r="PZ70" s="115"/>
      <c r="QA70" s="115"/>
      <c r="QB70" s="115"/>
      <c r="QC70" s="115"/>
      <c r="QD70" s="115"/>
      <c r="QE70" s="115"/>
      <c r="QF70" s="115"/>
      <c r="QG70" s="115"/>
      <c r="QH70" s="115"/>
      <c r="QI70" s="115"/>
      <c r="QJ70" s="115"/>
      <c r="QK70" s="115"/>
      <c r="QL70" s="115"/>
      <c r="QM70" s="115"/>
      <c r="QN70" s="115"/>
      <c r="QO70" s="115"/>
      <c r="QP70" s="115"/>
      <c r="QQ70" s="115"/>
      <c r="QR70" s="115"/>
      <c r="QS70" s="115"/>
      <c r="QT70" s="115">
        <v>100</v>
      </c>
      <c r="QU70" s="115"/>
      <c r="QV70" s="115"/>
      <c r="QW70" s="115"/>
      <c r="QX70" s="115"/>
      <c r="QY70" s="115"/>
      <c r="QZ70" s="115"/>
      <c r="RA70" s="115">
        <v>250</v>
      </c>
      <c r="RB70" s="115"/>
      <c r="RC70" s="115"/>
      <c r="RD70" s="115">
        <v>400</v>
      </c>
      <c r="RE70" s="115"/>
      <c r="RF70" s="115"/>
      <c r="RG70" s="115">
        <v>400</v>
      </c>
      <c r="RH70" s="115"/>
      <c r="RI70" s="115"/>
      <c r="RJ70" s="115"/>
      <c r="RK70" s="115"/>
      <c r="RL70" s="115">
        <v>600</v>
      </c>
      <c r="RM70" s="115"/>
      <c r="RN70" s="115">
        <v>200</v>
      </c>
      <c r="RO70" s="115"/>
      <c r="RP70" s="115">
        <v>450</v>
      </c>
      <c r="RQ70" s="115"/>
      <c r="RR70" s="115"/>
      <c r="RS70" s="115"/>
      <c r="RT70" s="115"/>
      <c r="RU70" s="115"/>
      <c r="RV70" s="115"/>
      <c r="RW70" s="115"/>
      <c r="RX70" s="115"/>
      <c r="RY70" s="115"/>
      <c r="RZ70" s="115"/>
      <c r="SA70" s="115"/>
      <c r="SB70" s="115"/>
      <c r="SC70" s="115"/>
      <c r="SD70" s="115">
        <v>400</v>
      </c>
      <c r="SE70" s="115">
        <v>350</v>
      </c>
      <c r="SF70" s="115"/>
      <c r="SG70" s="115"/>
      <c r="SH70" s="115"/>
      <c r="SI70" s="115"/>
      <c r="SJ70" s="115">
        <v>850</v>
      </c>
      <c r="SK70" s="115"/>
      <c r="SL70" s="115"/>
      <c r="SM70" s="115"/>
      <c r="SN70" s="115">
        <v>125</v>
      </c>
      <c r="SO70" s="115">
        <v>100</v>
      </c>
      <c r="SP70" s="115">
        <v>100</v>
      </c>
      <c r="SQ70" s="115">
        <v>100</v>
      </c>
      <c r="SR70" s="115"/>
      <c r="SS70" s="115">
        <v>100</v>
      </c>
      <c r="ST70" s="115">
        <v>100</v>
      </c>
      <c r="SU70" s="115">
        <v>150</v>
      </c>
      <c r="SV70" s="115"/>
      <c r="SW70" s="115"/>
      <c r="SX70" s="115">
        <v>100</v>
      </c>
      <c r="SY70" s="115">
        <v>150</v>
      </c>
      <c r="SZ70" s="115">
        <v>150</v>
      </c>
      <c r="TA70" s="115"/>
      <c r="TB70" s="115"/>
      <c r="TC70" s="115">
        <v>907</v>
      </c>
      <c r="TD70" s="115">
        <v>300</v>
      </c>
      <c r="TE70" s="115">
        <v>293</v>
      </c>
      <c r="TF70" s="115"/>
      <c r="TG70" s="115"/>
      <c r="TH70" s="115"/>
      <c r="TI70" s="115"/>
      <c r="TJ70" s="115"/>
      <c r="TK70" s="115"/>
      <c r="TL70" s="115"/>
      <c r="TM70" s="115"/>
      <c r="TN70" s="115"/>
      <c r="TO70" s="115"/>
      <c r="TP70" s="115"/>
      <c r="TQ70" s="115"/>
      <c r="TR70" s="115"/>
      <c r="TS70" s="115"/>
      <c r="TT70" s="115"/>
      <c r="TU70" s="115"/>
      <c r="TV70" s="115"/>
      <c r="TW70" s="115"/>
      <c r="TX70" s="115"/>
      <c r="TY70" s="115"/>
      <c r="TZ70" s="115"/>
      <c r="UA70" s="115"/>
      <c r="UB70" s="115"/>
      <c r="UC70" s="115"/>
      <c r="UD70" s="115"/>
      <c r="UE70" s="115"/>
      <c r="UF70" s="115"/>
      <c r="UG70" s="115"/>
      <c r="UH70" s="115">
        <v>50</v>
      </c>
      <c r="UI70" s="115">
        <v>225</v>
      </c>
      <c r="UJ70" s="115">
        <v>75</v>
      </c>
      <c r="UK70" s="115"/>
      <c r="UL70" s="115">
        <v>150</v>
      </c>
      <c r="UM70" s="115"/>
      <c r="UN70" s="115"/>
      <c r="UO70" s="115"/>
      <c r="UP70" s="115"/>
      <c r="UQ70" s="115"/>
      <c r="UR70" s="115"/>
      <c r="US70" s="115">
        <v>75</v>
      </c>
      <c r="UT70" s="115"/>
      <c r="UU70" s="115"/>
      <c r="UV70" s="115"/>
      <c r="UW70" s="115"/>
      <c r="UX70" s="115"/>
      <c r="UY70" s="115">
        <v>375</v>
      </c>
      <c r="UZ70" s="115">
        <v>450</v>
      </c>
      <c r="VA70" s="115">
        <v>500</v>
      </c>
      <c r="VB70" s="115"/>
      <c r="VC70" s="115">
        <v>300</v>
      </c>
      <c r="VD70" s="115"/>
      <c r="VE70" s="115">
        <v>150</v>
      </c>
      <c r="VF70" s="115">
        <v>225</v>
      </c>
      <c r="VG70" s="115">
        <v>150</v>
      </c>
      <c r="VH70" s="115"/>
      <c r="VI70" s="115">
        <v>225</v>
      </c>
      <c r="VJ70" s="115">
        <v>150</v>
      </c>
      <c r="VK70" s="115">
        <v>225</v>
      </c>
      <c r="VL70" s="115"/>
      <c r="VM70" s="115">
        <v>75</v>
      </c>
      <c r="VN70" s="115"/>
      <c r="VO70" s="115">
        <v>150</v>
      </c>
      <c r="VP70" s="115">
        <v>150</v>
      </c>
      <c r="VQ70" s="115"/>
      <c r="VR70" s="115"/>
      <c r="VS70" s="115"/>
      <c r="VT70" s="115"/>
      <c r="VU70" s="115"/>
      <c r="VV70" s="115"/>
      <c r="VW70" s="115"/>
      <c r="VX70" s="115"/>
      <c r="VY70" s="115"/>
      <c r="VZ70" s="115"/>
      <c r="WA70" s="115">
        <v>75</v>
      </c>
      <c r="WB70" s="115">
        <v>75</v>
      </c>
      <c r="WC70" s="115">
        <v>150</v>
      </c>
      <c r="WD70" s="115">
        <v>150</v>
      </c>
      <c r="WE70" s="115">
        <v>900</v>
      </c>
      <c r="WF70" s="115"/>
      <c r="WG70" s="115">
        <v>150</v>
      </c>
      <c r="WH70" s="115"/>
      <c r="WI70" s="115">
        <v>1200</v>
      </c>
      <c r="WJ70" s="115">
        <v>450</v>
      </c>
      <c r="WK70" s="115"/>
      <c r="WL70" s="115"/>
      <c r="WM70" s="115"/>
      <c r="WN70" s="115">
        <v>300</v>
      </c>
      <c r="WO70" s="115">
        <v>300</v>
      </c>
      <c r="WP70" s="115">
        <v>150</v>
      </c>
      <c r="WQ70" s="115">
        <v>900</v>
      </c>
      <c r="WR70" s="115"/>
      <c r="WS70" s="115"/>
      <c r="WT70" s="115"/>
      <c r="WU70" s="115">
        <v>150</v>
      </c>
      <c r="WV70" s="115">
        <v>150</v>
      </c>
      <c r="WW70" s="115">
        <v>150</v>
      </c>
      <c r="WX70" s="115">
        <v>150</v>
      </c>
      <c r="WY70" s="115"/>
      <c r="WZ70" s="115">
        <v>150</v>
      </c>
      <c r="XA70" s="115"/>
      <c r="XB70" s="115"/>
      <c r="XC70" s="115"/>
      <c r="XD70" s="115">
        <v>150</v>
      </c>
      <c r="XE70" s="115">
        <v>150</v>
      </c>
      <c r="XF70" s="115"/>
      <c r="XG70" s="115"/>
      <c r="XH70" s="115"/>
      <c r="XI70" s="115"/>
      <c r="XJ70" s="115">
        <v>150</v>
      </c>
      <c r="XK70" s="115">
        <v>150</v>
      </c>
      <c r="XL70" s="115"/>
      <c r="XM70" s="115">
        <v>150</v>
      </c>
      <c r="XN70" s="115">
        <v>150</v>
      </c>
      <c r="XO70" s="115">
        <v>150</v>
      </c>
      <c r="XP70" s="115"/>
      <c r="XQ70" s="115">
        <v>150</v>
      </c>
      <c r="XR70" s="115"/>
      <c r="XS70" s="115">
        <v>150</v>
      </c>
      <c r="XT70" s="115"/>
      <c r="XU70" s="115">
        <v>150</v>
      </c>
      <c r="XV70" s="115">
        <v>150</v>
      </c>
      <c r="XW70" s="115"/>
      <c r="XX70" s="115">
        <v>75</v>
      </c>
      <c r="XY70" s="115"/>
      <c r="XZ70" s="115">
        <v>150</v>
      </c>
      <c r="YA70" s="115">
        <v>150</v>
      </c>
      <c r="YB70" s="115"/>
      <c r="YC70" s="115">
        <v>150</v>
      </c>
      <c r="YD70" s="115">
        <v>150</v>
      </c>
      <c r="YE70" s="115">
        <v>150</v>
      </c>
      <c r="YF70" s="115"/>
      <c r="YG70" s="115">
        <v>150</v>
      </c>
      <c r="YH70" s="115"/>
      <c r="YI70" s="115">
        <v>150</v>
      </c>
      <c r="YJ70" s="115">
        <v>150</v>
      </c>
      <c r="YK70" s="115">
        <v>150</v>
      </c>
      <c r="YL70" s="115">
        <v>150</v>
      </c>
      <c r="YM70" s="115"/>
      <c r="YN70" s="115">
        <v>800</v>
      </c>
      <c r="YO70" s="115">
        <v>400</v>
      </c>
      <c r="YP70" s="115"/>
      <c r="YQ70" s="115"/>
      <c r="YX70" s="22">
        <v>32010</v>
      </c>
      <c r="YY70" s="22">
        <f>VLOOKUP(B70,'SCAFFOLDING MATERIAL OVERALL'!B72:S254,18,FALSE)</f>
        <v>10.75</v>
      </c>
      <c r="YZ70" s="22">
        <f t="shared" si="0"/>
        <v>344107.5</v>
      </c>
    </row>
    <row r="71" spans="1:676" s="22" customFormat="1" x14ac:dyDescent="0.25">
      <c r="A71" s="14">
        <v>67</v>
      </c>
      <c r="B71" s="15">
        <v>3000001214</v>
      </c>
      <c r="C71" s="16" t="s">
        <v>79</v>
      </c>
      <c r="D71" s="44" t="s">
        <v>12</v>
      </c>
      <c r="AF71" s="22">
        <v>100</v>
      </c>
      <c r="AN71" s="22">
        <v>200</v>
      </c>
      <c r="AT71" s="22">
        <v>180</v>
      </c>
      <c r="BF71" s="22">
        <v>400</v>
      </c>
      <c r="BY71" s="22">
        <v>100</v>
      </c>
      <c r="EH71" s="22">
        <v>190</v>
      </c>
      <c r="EU71" s="22">
        <v>10</v>
      </c>
      <c r="GG71" s="22">
        <v>500</v>
      </c>
      <c r="GS71" s="22">
        <v>37</v>
      </c>
      <c r="JE71" s="22">
        <v>150</v>
      </c>
      <c r="JQ71" s="22">
        <v>300</v>
      </c>
      <c r="KP71" s="22">
        <v>300</v>
      </c>
      <c r="KR71" s="22">
        <v>600</v>
      </c>
      <c r="KT71" s="22">
        <v>300</v>
      </c>
      <c r="KX71" s="22">
        <v>300</v>
      </c>
      <c r="LF71" s="22">
        <v>22</v>
      </c>
      <c r="LP71" s="22">
        <v>24</v>
      </c>
      <c r="LU71" s="22">
        <v>300</v>
      </c>
      <c r="LX71" s="22">
        <v>315</v>
      </c>
      <c r="MA71" s="22">
        <v>150</v>
      </c>
      <c r="MI71" s="22">
        <v>75</v>
      </c>
      <c r="OZ71" s="115"/>
      <c r="PA71" s="115"/>
      <c r="PB71" s="115"/>
      <c r="PC71" s="115"/>
      <c r="PD71" s="115"/>
      <c r="PE71" s="115"/>
      <c r="PF71" s="115"/>
      <c r="PG71" s="115"/>
      <c r="PH71" s="115"/>
      <c r="PI71" s="115"/>
      <c r="PJ71" s="115"/>
      <c r="PK71" s="115"/>
      <c r="PL71" s="115"/>
      <c r="PM71" s="115"/>
      <c r="PN71" s="115"/>
      <c r="PO71" s="115"/>
      <c r="PP71" s="115"/>
      <c r="PQ71" s="115"/>
      <c r="PR71" s="115"/>
      <c r="PS71" s="115"/>
      <c r="PT71" s="115"/>
      <c r="PU71" s="115"/>
      <c r="PV71" s="115"/>
      <c r="PW71" s="115"/>
      <c r="PX71" s="115"/>
      <c r="PY71" s="115"/>
      <c r="PZ71" s="115"/>
      <c r="QA71" s="115"/>
      <c r="QB71" s="115"/>
      <c r="QC71" s="115"/>
      <c r="QD71" s="115"/>
      <c r="QE71" s="115"/>
      <c r="QF71" s="115"/>
      <c r="QG71" s="115"/>
      <c r="QH71" s="115"/>
      <c r="QI71" s="115"/>
      <c r="QJ71" s="115">
        <v>20</v>
      </c>
      <c r="QK71" s="115"/>
      <c r="QL71" s="115">
        <v>600</v>
      </c>
      <c r="QM71" s="115"/>
      <c r="QN71" s="115"/>
      <c r="QO71" s="115"/>
      <c r="QP71" s="115"/>
      <c r="QQ71" s="115"/>
      <c r="QR71" s="115"/>
      <c r="QS71" s="115"/>
      <c r="QT71" s="115">
        <v>100</v>
      </c>
      <c r="QU71" s="115"/>
      <c r="QV71" s="115"/>
      <c r="QW71" s="115"/>
      <c r="QX71" s="115">
        <v>200</v>
      </c>
      <c r="QY71" s="115"/>
      <c r="QZ71" s="115"/>
      <c r="RA71" s="115">
        <v>500</v>
      </c>
      <c r="RB71" s="115"/>
      <c r="RC71" s="115"/>
      <c r="RD71" s="115"/>
      <c r="RE71" s="115"/>
      <c r="RF71" s="115"/>
      <c r="RG71" s="115"/>
      <c r="RH71" s="115"/>
      <c r="RI71" s="115"/>
      <c r="RJ71" s="115"/>
      <c r="RK71" s="115"/>
      <c r="RL71" s="115"/>
      <c r="RM71" s="115"/>
      <c r="RN71" s="115"/>
      <c r="RO71" s="115"/>
      <c r="RP71" s="115"/>
      <c r="RQ71" s="115"/>
      <c r="RR71" s="115"/>
      <c r="RS71" s="115"/>
      <c r="RT71" s="115"/>
      <c r="RU71" s="115"/>
      <c r="RV71" s="115"/>
      <c r="RW71" s="115"/>
      <c r="RX71" s="115"/>
      <c r="RY71" s="115"/>
      <c r="RZ71" s="115"/>
      <c r="SA71" s="115"/>
      <c r="SB71" s="115"/>
      <c r="SC71" s="115"/>
      <c r="SD71" s="115"/>
      <c r="SE71" s="115"/>
      <c r="SF71" s="115">
        <v>750</v>
      </c>
      <c r="SG71" s="115"/>
      <c r="SH71" s="115"/>
      <c r="SI71" s="115"/>
      <c r="SJ71" s="115"/>
      <c r="SK71" s="115"/>
      <c r="SL71" s="115"/>
      <c r="SM71" s="115"/>
      <c r="SN71" s="115">
        <v>125</v>
      </c>
      <c r="SO71" s="115">
        <v>100</v>
      </c>
      <c r="SP71" s="115">
        <v>100</v>
      </c>
      <c r="SQ71" s="115">
        <v>100</v>
      </c>
      <c r="SR71" s="115"/>
      <c r="SS71" s="115">
        <v>100</v>
      </c>
      <c r="ST71" s="115">
        <v>100</v>
      </c>
      <c r="SU71" s="115">
        <v>150</v>
      </c>
      <c r="SV71" s="115"/>
      <c r="SW71" s="115"/>
      <c r="SX71" s="115">
        <v>100</v>
      </c>
      <c r="SY71" s="115">
        <v>150</v>
      </c>
      <c r="SZ71" s="115">
        <v>150</v>
      </c>
      <c r="TA71" s="115"/>
      <c r="TB71" s="115"/>
      <c r="TC71" s="115"/>
      <c r="TD71" s="115"/>
      <c r="TE71" s="115"/>
      <c r="TF71" s="115"/>
      <c r="TG71" s="115"/>
      <c r="TH71" s="115"/>
      <c r="TI71" s="115"/>
      <c r="TJ71" s="115"/>
      <c r="TK71" s="115"/>
      <c r="TL71" s="115"/>
      <c r="TM71" s="115"/>
      <c r="TN71" s="115"/>
      <c r="TO71" s="115"/>
      <c r="TP71" s="115">
        <v>20</v>
      </c>
      <c r="TQ71" s="115"/>
      <c r="TR71" s="115"/>
      <c r="TS71" s="115"/>
      <c r="TT71" s="115"/>
      <c r="TU71" s="115"/>
      <c r="TV71" s="115"/>
      <c r="TW71" s="115"/>
      <c r="TX71" s="115"/>
      <c r="TY71" s="115"/>
      <c r="TZ71" s="115"/>
      <c r="UA71" s="115">
        <v>14</v>
      </c>
      <c r="UB71" s="115">
        <v>626</v>
      </c>
      <c r="UC71" s="115">
        <v>42</v>
      </c>
      <c r="UD71" s="115">
        <v>10</v>
      </c>
      <c r="UE71" s="115">
        <v>22</v>
      </c>
      <c r="UF71" s="115">
        <v>20</v>
      </c>
      <c r="UG71" s="115"/>
      <c r="UH71" s="115">
        <v>44</v>
      </c>
      <c r="UI71" s="115">
        <v>24</v>
      </c>
      <c r="UJ71" s="115">
        <v>97</v>
      </c>
      <c r="UK71" s="115">
        <v>14</v>
      </c>
      <c r="UL71" s="115">
        <v>24</v>
      </c>
      <c r="UM71" s="115">
        <v>26</v>
      </c>
      <c r="UN71" s="115">
        <v>24</v>
      </c>
      <c r="UO71" s="115">
        <v>28</v>
      </c>
      <c r="UP71" s="115">
        <v>247</v>
      </c>
      <c r="UQ71" s="115">
        <v>101</v>
      </c>
      <c r="UR71" s="115">
        <v>36</v>
      </c>
      <c r="US71" s="115">
        <v>182</v>
      </c>
      <c r="UT71" s="115">
        <v>14</v>
      </c>
      <c r="UU71" s="115">
        <v>16</v>
      </c>
      <c r="UV71" s="115"/>
      <c r="UW71" s="115"/>
      <c r="UX71" s="115">
        <v>409</v>
      </c>
      <c r="UY71" s="115">
        <v>26</v>
      </c>
      <c r="UZ71" s="115">
        <v>22</v>
      </c>
      <c r="VA71" s="115"/>
      <c r="VB71" s="115">
        <v>28</v>
      </c>
      <c r="VC71" s="115">
        <v>200</v>
      </c>
      <c r="VD71" s="115"/>
      <c r="VE71" s="115">
        <v>28</v>
      </c>
      <c r="VF71" s="115">
        <v>22</v>
      </c>
      <c r="VG71" s="115">
        <v>20</v>
      </c>
      <c r="VH71" s="115">
        <v>26</v>
      </c>
      <c r="VI71" s="115">
        <v>22</v>
      </c>
      <c r="VJ71" s="115">
        <v>20</v>
      </c>
      <c r="VK71" s="115">
        <v>18</v>
      </c>
      <c r="VL71" s="115">
        <v>101</v>
      </c>
      <c r="VM71" s="115">
        <v>172</v>
      </c>
      <c r="VN71" s="115"/>
      <c r="VO71" s="115">
        <v>360</v>
      </c>
      <c r="VP71" s="115">
        <v>14</v>
      </c>
      <c r="VQ71" s="115"/>
      <c r="VR71" s="115"/>
      <c r="VS71" s="115">
        <v>172</v>
      </c>
      <c r="VT71" s="115">
        <v>22</v>
      </c>
      <c r="VU71" s="115">
        <v>174</v>
      </c>
      <c r="VV71" s="115"/>
      <c r="VW71" s="115">
        <v>174</v>
      </c>
      <c r="VX71" s="115">
        <v>20</v>
      </c>
      <c r="VY71" s="115">
        <v>26</v>
      </c>
      <c r="VZ71" s="115">
        <v>28</v>
      </c>
      <c r="WA71" s="115">
        <v>22</v>
      </c>
      <c r="WB71" s="115">
        <v>300</v>
      </c>
      <c r="WC71" s="115">
        <v>20</v>
      </c>
      <c r="WD71" s="115">
        <v>330</v>
      </c>
      <c r="WE71" s="115">
        <v>50</v>
      </c>
      <c r="WF71" s="115"/>
      <c r="WG71" s="115">
        <v>18</v>
      </c>
      <c r="WH71" s="115"/>
      <c r="WI71" s="115">
        <v>48</v>
      </c>
      <c r="WJ71" s="115">
        <v>188</v>
      </c>
      <c r="WK71" s="115"/>
      <c r="WL71" s="115"/>
      <c r="WM71" s="115"/>
      <c r="WN71" s="115">
        <v>490</v>
      </c>
      <c r="WO71" s="115">
        <v>190</v>
      </c>
      <c r="WP71" s="115">
        <v>636</v>
      </c>
      <c r="WQ71" s="115">
        <v>194</v>
      </c>
      <c r="WR71" s="115"/>
      <c r="WS71" s="115"/>
      <c r="WT71" s="115"/>
      <c r="WU71" s="115">
        <v>12</v>
      </c>
      <c r="WV71" s="115">
        <v>178</v>
      </c>
      <c r="WW71" s="115">
        <v>178</v>
      </c>
      <c r="WX71" s="115">
        <v>178</v>
      </c>
      <c r="WY71" s="115"/>
      <c r="WZ71" s="115">
        <v>178</v>
      </c>
      <c r="XA71" s="115"/>
      <c r="XB71" s="115"/>
      <c r="XC71" s="115"/>
      <c r="XD71" s="115">
        <v>178</v>
      </c>
      <c r="XE71" s="115">
        <v>178</v>
      </c>
      <c r="XF71" s="115"/>
      <c r="XG71" s="115"/>
      <c r="XH71" s="115"/>
      <c r="XI71" s="115"/>
      <c r="XJ71" s="115">
        <v>150</v>
      </c>
      <c r="XK71" s="115">
        <v>150</v>
      </c>
      <c r="XL71" s="115"/>
      <c r="XM71" s="115">
        <v>150</v>
      </c>
      <c r="XN71" s="115">
        <v>150</v>
      </c>
      <c r="XO71" s="115">
        <v>150</v>
      </c>
      <c r="XP71" s="115"/>
      <c r="XQ71" s="115">
        <v>150</v>
      </c>
      <c r="XR71" s="115"/>
      <c r="XS71" s="115">
        <v>150</v>
      </c>
      <c r="XT71" s="115"/>
      <c r="XU71" s="115">
        <v>150</v>
      </c>
      <c r="XV71" s="115">
        <v>150</v>
      </c>
      <c r="XW71" s="115"/>
      <c r="XX71" s="115">
        <v>150</v>
      </c>
      <c r="XY71" s="115"/>
      <c r="XZ71" s="115">
        <v>75</v>
      </c>
      <c r="YA71" s="115">
        <v>150</v>
      </c>
      <c r="YB71" s="115">
        <v>75</v>
      </c>
      <c r="YC71" s="115">
        <v>150</v>
      </c>
      <c r="YD71" s="115">
        <v>150</v>
      </c>
      <c r="YE71" s="115">
        <v>150</v>
      </c>
      <c r="YF71" s="115"/>
      <c r="YG71" s="115">
        <v>150</v>
      </c>
      <c r="YH71" s="115"/>
      <c r="YI71" s="115">
        <v>150</v>
      </c>
      <c r="YJ71" s="115">
        <v>150</v>
      </c>
      <c r="YK71" s="115">
        <v>150</v>
      </c>
      <c r="YL71" s="115">
        <v>150</v>
      </c>
      <c r="YM71" s="115"/>
      <c r="YN71" s="115">
        <v>700</v>
      </c>
      <c r="YO71" s="115">
        <v>400</v>
      </c>
      <c r="YP71" s="115"/>
      <c r="YQ71" s="115"/>
      <c r="YX71" s="22">
        <v>19299</v>
      </c>
      <c r="YY71" s="22">
        <f>VLOOKUP(B71,'SCAFFOLDING MATERIAL OVERALL'!B73:S255,18,FALSE)</f>
        <v>13.925000000000001</v>
      </c>
      <c r="YZ71" s="22">
        <f t="shared" si="0"/>
        <v>268738.57500000001</v>
      </c>
    </row>
    <row r="72" spans="1:676" s="22" customFormat="1" x14ac:dyDescent="0.25">
      <c r="A72" s="17">
        <v>68</v>
      </c>
      <c r="B72" s="15">
        <v>3000001215</v>
      </c>
      <c r="C72" s="16" t="s">
        <v>80</v>
      </c>
      <c r="D72" s="44" t="s">
        <v>12</v>
      </c>
      <c r="F72" s="22">
        <v>600</v>
      </c>
      <c r="G72" s="22">
        <v>600</v>
      </c>
      <c r="I72" s="22">
        <v>3300</v>
      </c>
      <c r="J72" s="22">
        <v>700</v>
      </c>
      <c r="K72" s="22">
        <v>800</v>
      </c>
      <c r="L72" s="22">
        <v>400</v>
      </c>
      <c r="N72" s="22">
        <v>112</v>
      </c>
      <c r="R72" s="22" t="s">
        <v>35</v>
      </c>
      <c r="T72" s="22">
        <v>400</v>
      </c>
      <c r="U72" s="22" t="s">
        <v>35</v>
      </c>
      <c r="V72" s="22" t="s">
        <v>35</v>
      </c>
      <c r="W72" s="22" t="s">
        <v>35</v>
      </c>
      <c r="X72" s="22" t="s">
        <v>35</v>
      </c>
      <c r="Y72" s="22" t="s">
        <v>35</v>
      </c>
      <c r="Z72" s="22" t="s">
        <v>35</v>
      </c>
      <c r="AA72" s="22" t="s">
        <v>35</v>
      </c>
      <c r="AB72" s="22" t="s">
        <v>35</v>
      </c>
      <c r="AC72" s="22" t="s">
        <v>35</v>
      </c>
      <c r="AD72" s="22" t="s">
        <v>35</v>
      </c>
      <c r="AV72" s="22">
        <v>800</v>
      </c>
      <c r="AY72" s="22">
        <v>200</v>
      </c>
      <c r="AZ72" s="22">
        <v>100</v>
      </c>
      <c r="BC72" s="22">
        <v>600</v>
      </c>
      <c r="BD72" s="22">
        <v>700</v>
      </c>
      <c r="BG72" s="22">
        <v>800</v>
      </c>
      <c r="BO72" s="22">
        <v>600</v>
      </c>
      <c r="BQ72" s="22">
        <v>1600</v>
      </c>
      <c r="BS72" s="22">
        <v>100</v>
      </c>
      <c r="BU72" s="22">
        <v>800</v>
      </c>
      <c r="BX72" s="22">
        <v>200</v>
      </c>
      <c r="BZ72" s="22">
        <v>800</v>
      </c>
      <c r="CA72" s="22">
        <v>700</v>
      </c>
      <c r="CB72" s="22">
        <v>800</v>
      </c>
      <c r="CC72" s="22">
        <v>200</v>
      </c>
      <c r="CD72" s="22">
        <v>200</v>
      </c>
      <c r="CE72" s="22">
        <v>1600</v>
      </c>
      <c r="CI72" s="22">
        <v>1600</v>
      </c>
      <c r="CN72" s="22">
        <v>250</v>
      </c>
      <c r="CR72" s="22">
        <v>200</v>
      </c>
      <c r="CS72" s="22">
        <v>200</v>
      </c>
      <c r="CT72" s="22">
        <v>200</v>
      </c>
      <c r="CU72" s="22">
        <v>400</v>
      </c>
      <c r="CZ72" s="22">
        <v>200</v>
      </c>
      <c r="DB72" s="22">
        <v>200</v>
      </c>
      <c r="DD72" s="22">
        <v>1200</v>
      </c>
      <c r="DI72" s="22">
        <v>1600</v>
      </c>
      <c r="DK72" s="22">
        <v>1200</v>
      </c>
      <c r="DL72" s="22">
        <v>1200</v>
      </c>
      <c r="DY72" s="22">
        <v>400</v>
      </c>
      <c r="DZ72" s="22">
        <v>300</v>
      </c>
      <c r="EN72" s="22">
        <v>271</v>
      </c>
      <c r="EO72" s="22">
        <v>400</v>
      </c>
      <c r="ET72" s="22">
        <v>236</v>
      </c>
      <c r="EU72" s="22">
        <v>90</v>
      </c>
      <c r="FF72" s="22">
        <v>110</v>
      </c>
      <c r="FN72" s="22">
        <v>800</v>
      </c>
      <c r="FQ72" s="22">
        <v>1600</v>
      </c>
      <c r="FT72" s="22">
        <v>250</v>
      </c>
      <c r="FV72" s="22">
        <v>200</v>
      </c>
      <c r="FW72" s="22">
        <v>200</v>
      </c>
      <c r="FX72" s="22">
        <v>800</v>
      </c>
      <c r="FY72" s="22">
        <v>100</v>
      </c>
      <c r="GN72" s="22">
        <v>200</v>
      </c>
      <c r="GQ72" s="22">
        <v>200</v>
      </c>
      <c r="GS72" s="22">
        <v>207</v>
      </c>
      <c r="GV72" s="22">
        <v>800</v>
      </c>
      <c r="GW72" s="22">
        <v>1440</v>
      </c>
      <c r="GX72" s="22">
        <v>770</v>
      </c>
      <c r="GY72" s="22">
        <v>730</v>
      </c>
      <c r="HD72" s="22">
        <v>760</v>
      </c>
      <c r="HK72" s="22">
        <v>400</v>
      </c>
      <c r="HT72" s="22">
        <v>1500</v>
      </c>
      <c r="HU72" s="22">
        <v>1500</v>
      </c>
      <c r="HZ72" s="22">
        <v>3200</v>
      </c>
      <c r="IA72" s="22">
        <v>1297</v>
      </c>
      <c r="IW72" s="22">
        <v>700</v>
      </c>
      <c r="IY72" s="22">
        <v>300</v>
      </c>
      <c r="JA72" s="22">
        <v>1200</v>
      </c>
      <c r="JD72" s="22">
        <v>300</v>
      </c>
      <c r="JF72" s="22">
        <v>1100</v>
      </c>
      <c r="JQ72" s="22">
        <v>500</v>
      </c>
      <c r="JS72" s="22">
        <v>400</v>
      </c>
      <c r="JT72" s="22">
        <v>400</v>
      </c>
      <c r="JV72" s="22">
        <v>200</v>
      </c>
      <c r="JW72" s="22">
        <v>600</v>
      </c>
      <c r="JX72" s="22">
        <v>400</v>
      </c>
      <c r="KP72" s="22">
        <v>200</v>
      </c>
      <c r="KQ72" s="22">
        <v>200</v>
      </c>
      <c r="KR72" s="22">
        <v>400</v>
      </c>
      <c r="KT72" s="22">
        <v>400</v>
      </c>
      <c r="KV72" s="22">
        <v>300</v>
      </c>
      <c r="KX72" s="22">
        <v>100</v>
      </c>
      <c r="LC72" s="22">
        <v>600</v>
      </c>
      <c r="LF72" s="22">
        <v>300</v>
      </c>
      <c r="LI72" s="22">
        <v>750</v>
      </c>
      <c r="LP72" s="22">
        <v>750</v>
      </c>
      <c r="LX72" s="22">
        <v>75</v>
      </c>
      <c r="MB72" s="22">
        <v>600</v>
      </c>
      <c r="MD72" s="22">
        <v>600</v>
      </c>
      <c r="ME72" s="22">
        <v>200</v>
      </c>
      <c r="MI72" s="22">
        <v>325</v>
      </c>
      <c r="MM72" s="22">
        <v>60</v>
      </c>
      <c r="MN72" s="22">
        <v>450</v>
      </c>
      <c r="MP72" s="22">
        <v>450</v>
      </c>
      <c r="NJ72" s="22">
        <v>600</v>
      </c>
      <c r="OZ72" s="115">
        <v>1000</v>
      </c>
      <c r="PA72" s="115">
        <v>300</v>
      </c>
      <c r="PB72" s="115"/>
      <c r="PC72" s="115" t="s">
        <v>35</v>
      </c>
      <c r="PD72" s="115" t="s">
        <v>35</v>
      </c>
      <c r="PE72" s="115" t="s">
        <v>35</v>
      </c>
      <c r="PF72" s="115">
        <v>400</v>
      </c>
      <c r="PG72" s="115" t="s">
        <v>35</v>
      </c>
      <c r="PH72" s="115" t="s">
        <v>35</v>
      </c>
      <c r="PI72" s="115">
        <v>1200</v>
      </c>
      <c r="PJ72" s="115">
        <v>400</v>
      </c>
      <c r="PK72" s="115"/>
      <c r="PL72" s="115">
        <v>1100</v>
      </c>
      <c r="PM72" s="115"/>
      <c r="PN72" s="115"/>
      <c r="PO72" s="115"/>
      <c r="PP72" s="115"/>
      <c r="PQ72" s="115"/>
      <c r="PR72" s="115"/>
      <c r="PS72" s="115"/>
      <c r="PT72" s="115">
        <v>3200</v>
      </c>
      <c r="PU72" s="115">
        <v>2700</v>
      </c>
      <c r="PV72" s="115"/>
      <c r="PW72" s="115"/>
      <c r="PX72" s="115"/>
      <c r="PY72" s="115">
        <v>2400</v>
      </c>
      <c r="PZ72" s="115">
        <v>2400</v>
      </c>
      <c r="QA72" s="115"/>
      <c r="QB72" s="115"/>
      <c r="QC72" s="115"/>
      <c r="QD72" s="115"/>
      <c r="QE72" s="115">
        <v>2400</v>
      </c>
      <c r="QF72" s="115"/>
      <c r="QG72" s="115"/>
      <c r="QH72" s="115">
        <v>2800</v>
      </c>
      <c r="QI72" s="115">
        <v>1200</v>
      </c>
      <c r="QJ72" s="115"/>
      <c r="QK72" s="115">
        <v>1000</v>
      </c>
      <c r="QL72" s="115"/>
      <c r="QM72" s="115">
        <v>2320</v>
      </c>
      <c r="QN72" s="115"/>
      <c r="QO72" s="115">
        <v>2400</v>
      </c>
      <c r="QP72" s="115">
        <v>2400</v>
      </c>
      <c r="QQ72" s="115">
        <v>2400</v>
      </c>
      <c r="QR72" s="115">
        <v>2400</v>
      </c>
      <c r="QS72" s="115">
        <v>2400</v>
      </c>
      <c r="QT72" s="115">
        <v>2300</v>
      </c>
      <c r="QU72" s="115">
        <v>2400</v>
      </c>
      <c r="QV72" s="115">
        <v>2400</v>
      </c>
      <c r="QW72" s="115">
        <v>1200</v>
      </c>
      <c r="QX72" s="115">
        <v>900</v>
      </c>
      <c r="QY72" s="115"/>
      <c r="QZ72" s="115">
        <v>1200</v>
      </c>
      <c r="RA72" s="115"/>
      <c r="RB72" s="115">
        <v>1100</v>
      </c>
      <c r="RC72" s="115"/>
      <c r="RD72" s="115"/>
      <c r="RE72" s="115">
        <v>1200</v>
      </c>
      <c r="RF72" s="115"/>
      <c r="RG72" s="115"/>
      <c r="RH72" s="115">
        <v>1200</v>
      </c>
      <c r="RI72" s="115">
        <v>1200</v>
      </c>
      <c r="RJ72" s="115">
        <v>400</v>
      </c>
      <c r="RK72" s="115">
        <v>2800</v>
      </c>
      <c r="RL72" s="115">
        <v>300</v>
      </c>
      <c r="RM72" s="115">
        <v>300</v>
      </c>
      <c r="RN72" s="115">
        <v>1250</v>
      </c>
      <c r="RO72" s="115"/>
      <c r="RP72" s="115">
        <v>150</v>
      </c>
      <c r="RQ72" s="115">
        <v>200</v>
      </c>
      <c r="RR72" s="115">
        <v>1200</v>
      </c>
      <c r="RS72" s="115">
        <v>600</v>
      </c>
      <c r="RT72" s="115">
        <v>800</v>
      </c>
      <c r="RU72" s="115">
        <v>300</v>
      </c>
      <c r="RV72" s="115"/>
      <c r="RW72" s="115">
        <v>800</v>
      </c>
      <c r="RX72" s="115">
        <v>800</v>
      </c>
      <c r="RY72" s="115">
        <v>800</v>
      </c>
      <c r="RZ72" s="115">
        <v>700</v>
      </c>
      <c r="SA72" s="115">
        <v>200</v>
      </c>
      <c r="SB72" s="115">
        <v>200</v>
      </c>
      <c r="SC72" s="115">
        <v>300</v>
      </c>
      <c r="SD72" s="115">
        <v>1600</v>
      </c>
      <c r="SE72" s="115">
        <v>800</v>
      </c>
      <c r="SF72" s="115">
        <v>800</v>
      </c>
      <c r="SG72" s="115">
        <v>695</v>
      </c>
      <c r="SH72" s="115"/>
      <c r="SI72" s="115">
        <v>1050</v>
      </c>
      <c r="SJ72" s="115"/>
      <c r="SK72" s="115">
        <v>1000</v>
      </c>
      <c r="SL72" s="115">
        <v>400</v>
      </c>
      <c r="SM72" s="115">
        <v>200</v>
      </c>
      <c r="SN72" s="115">
        <v>400</v>
      </c>
      <c r="SO72" s="115">
        <v>2400</v>
      </c>
      <c r="SP72" s="115">
        <v>400</v>
      </c>
      <c r="SQ72" s="115">
        <v>400</v>
      </c>
      <c r="SR72" s="115">
        <v>200</v>
      </c>
      <c r="SS72" s="115">
        <v>500</v>
      </c>
      <c r="ST72" s="115">
        <v>1500</v>
      </c>
      <c r="SU72" s="115">
        <v>800</v>
      </c>
      <c r="SV72" s="115">
        <v>200</v>
      </c>
      <c r="SW72" s="115"/>
      <c r="SX72" s="115">
        <v>500</v>
      </c>
      <c r="SY72" s="115">
        <v>800</v>
      </c>
      <c r="SZ72" s="115">
        <v>800</v>
      </c>
      <c r="TA72" s="115"/>
      <c r="TB72" s="115"/>
      <c r="TC72" s="115"/>
      <c r="TD72" s="115"/>
      <c r="TE72" s="115"/>
      <c r="TF72" s="115"/>
      <c r="TG72" s="115"/>
      <c r="TH72" s="115"/>
      <c r="TI72" s="115"/>
      <c r="TJ72" s="115"/>
      <c r="TK72" s="115"/>
      <c r="TL72" s="115"/>
      <c r="TM72" s="115"/>
      <c r="TN72" s="115"/>
      <c r="TO72" s="115"/>
      <c r="TP72" s="115">
        <v>300</v>
      </c>
      <c r="TQ72" s="115"/>
      <c r="TR72" s="115"/>
      <c r="TS72" s="115"/>
      <c r="TT72" s="115"/>
      <c r="TU72" s="115"/>
      <c r="TV72" s="115"/>
      <c r="TW72" s="115"/>
      <c r="TX72" s="115"/>
      <c r="TY72" s="115"/>
      <c r="TZ72" s="115"/>
      <c r="UA72" s="115">
        <v>300</v>
      </c>
      <c r="UB72" s="115">
        <v>750</v>
      </c>
      <c r="UC72" s="115">
        <v>1950</v>
      </c>
      <c r="UD72" s="115">
        <v>300</v>
      </c>
      <c r="UE72" s="115">
        <v>450</v>
      </c>
      <c r="UF72" s="115">
        <v>600</v>
      </c>
      <c r="UG72" s="115"/>
      <c r="UH72" s="115">
        <v>2100</v>
      </c>
      <c r="UI72" s="115">
        <v>450</v>
      </c>
      <c r="UJ72" s="115">
        <v>150</v>
      </c>
      <c r="UK72" s="115">
        <v>600</v>
      </c>
      <c r="UL72" s="115">
        <v>300</v>
      </c>
      <c r="UM72" s="115">
        <v>525</v>
      </c>
      <c r="UN72" s="115">
        <v>675</v>
      </c>
      <c r="UO72" s="115">
        <v>450</v>
      </c>
      <c r="UP72" s="115">
        <v>450</v>
      </c>
      <c r="UQ72" s="115">
        <v>375</v>
      </c>
      <c r="UR72" s="115">
        <v>600</v>
      </c>
      <c r="US72" s="115">
        <v>900</v>
      </c>
      <c r="UT72" s="115">
        <v>450</v>
      </c>
      <c r="UU72" s="115">
        <v>450</v>
      </c>
      <c r="UV72" s="115"/>
      <c r="UW72" s="115"/>
      <c r="UX72" s="115">
        <v>450</v>
      </c>
      <c r="UY72" s="115">
        <v>750</v>
      </c>
      <c r="UZ72" s="115">
        <v>300</v>
      </c>
      <c r="VA72" s="115"/>
      <c r="VB72" s="115">
        <v>825</v>
      </c>
      <c r="VC72" s="115">
        <v>900</v>
      </c>
      <c r="VD72" s="115"/>
      <c r="VE72" s="115">
        <v>600</v>
      </c>
      <c r="VF72" s="115">
        <v>900</v>
      </c>
      <c r="VG72" s="115">
        <v>450</v>
      </c>
      <c r="VH72" s="115">
        <v>825</v>
      </c>
      <c r="VI72" s="115">
        <v>450</v>
      </c>
      <c r="VJ72" s="115">
        <v>900</v>
      </c>
      <c r="VK72" s="115">
        <v>675</v>
      </c>
      <c r="VL72" s="115">
        <v>600</v>
      </c>
      <c r="VM72" s="115">
        <v>300</v>
      </c>
      <c r="VN72" s="115">
        <v>600</v>
      </c>
      <c r="VO72" s="115">
        <v>900</v>
      </c>
      <c r="VP72" s="115">
        <v>700</v>
      </c>
      <c r="VQ72" s="115">
        <v>1100</v>
      </c>
      <c r="VR72" s="115">
        <v>600</v>
      </c>
      <c r="VS72" s="115">
        <v>1945</v>
      </c>
      <c r="VT72" s="115">
        <v>1800</v>
      </c>
      <c r="VU72" s="115">
        <v>1800</v>
      </c>
      <c r="VV72" s="115">
        <v>1200</v>
      </c>
      <c r="VW72" s="115">
        <v>1500</v>
      </c>
      <c r="VX72" s="115">
        <v>1050</v>
      </c>
      <c r="VY72" s="115">
        <v>150</v>
      </c>
      <c r="VZ72" s="115">
        <v>600</v>
      </c>
      <c r="WA72" s="115">
        <v>900</v>
      </c>
      <c r="WB72" s="115">
        <v>150</v>
      </c>
      <c r="WC72" s="115">
        <v>600</v>
      </c>
      <c r="WD72" s="115">
        <v>1200</v>
      </c>
      <c r="WE72" s="115"/>
      <c r="WF72" s="115">
        <v>1350</v>
      </c>
      <c r="WG72" s="115">
        <v>75</v>
      </c>
      <c r="WH72" s="115">
        <v>1125</v>
      </c>
      <c r="WI72" s="115"/>
      <c r="WJ72" s="115">
        <v>150</v>
      </c>
      <c r="WK72" s="115">
        <v>1200</v>
      </c>
      <c r="WL72" s="115"/>
      <c r="WM72" s="115"/>
      <c r="WN72" s="115"/>
      <c r="WO72" s="115">
        <v>1000</v>
      </c>
      <c r="WP72" s="115">
        <v>800</v>
      </c>
      <c r="WQ72" s="115">
        <v>300</v>
      </c>
      <c r="WR72" s="115"/>
      <c r="WS72" s="115"/>
      <c r="WT72" s="115"/>
      <c r="WU72" s="115"/>
      <c r="WV72" s="115">
        <v>800</v>
      </c>
      <c r="WW72" s="115">
        <v>2100</v>
      </c>
      <c r="WX72" s="115">
        <v>900</v>
      </c>
      <c r="WY72" s="115">
        <v>1200</v>
      </c>
      <c r="WZ72" s="115">
        <v>900</v>
      </c>
      <c r="XA72" s="115">
        <v>1200</v>
      </c>
      <c r="XB72" s="115">
        <v>2400</v>
      </c>
      <c r="XC72" s="115">
        <v>2400</v>
      </c>
      <c r="XD72" s="115">
        <v>900</v>
      </c>
      <c r="XE72" s="115">
        <v>900</v>
      </c>
      <c r="XF72" s="115">
        <v>2400</v>
      </c>
      <c r="XG72" s="115">
        <v>2400</v>
      </c>
      <c r="XH72" s="115">
        <v>1200</v>
      </c>
      <c r="XI72" s="115">
        <v>1200</v>
      </c>
      <c r="XJ72" s="115">
        <v>750</v>
      </c>
      <c r="XK72" s="115">
        <v>600</v>
      </c>
      <c r="XL72" s="115">
        <v>1200</v>
      </c>
      <c r="XM72" s="115">
        <v>2100</v>
      </c>
      <c r="XN72" s="115">
        <v>2000</v>
      </c>
      <c r="XO72" s="115">
        <v>900</v>
      </c>
      <c r="XP72" s="115">
        <v>2400</v>
      </c>
      <c r="XQ72" s="115">
        <v>900</v>
      </c>
      <c r="XR72" s="115">
        <v>2400</v>
      </c>
      <c r="XS72" s="115">
        <v>2100</v>
      </c>
      <c r="XT72" s="115">
        <v>1050</v>
      </c>
      <c r="XU72" s="115">
        <v>600</v>
      </c>
      <c r="XV72" s="115">
        <v>800</v>
      </c>
      <c r="XW72" s="115">
        <v>2400</v>
      </c>
      <c r="XX72" s="115">
        <v>2000</v>
      </c>
      <c r="XY72" s="115">
        <v>2400</v>
      </c>
      <c r="XZ72" s="115">
        <v>800</v>
      </c>
      <c r="YA72" s="115">
        <v>800</v>
      </c>
      <c r="YB72" s="115">
        <v>480</v>
      </c>
      <c r="YC72" s="115">
        <v>800</v>
      </c>
      <c r="YD72" s="115">
        <v>800</v>
      </c>
      <c r="YE72" s="115">
        <v>800</v>
      </c>
      <c r="YF72" s="115"/>
      <c r="YG72" s="115">
        <v>1800</v>
      </c>
      <c r="YH72" s="115"/>
      <c r="YI72" s="115">
        <v>800</v>
      </c>
      <c r="YJ72" s="115">
        <v>800</v>
      </c>
      <c r="YK72" s="115">
        <v>800</v>
      </c>
      <c r="YL72" s="115">
        <v>800</v>
      </c>
      <c r="YM72" s="115">
        <v>300</v>
      </c>
      <c r="YN72" s="115"/>
      <c r="YO72" s="115"/>
      <c r="YP72" s="115"/>
      <c r="YQ72" s="115"/>
      <c r="YX72" s="22">
        <v>237973</v>
      </c>
      <c r="YY72" s="22">
        <f>VLOOKUP(B72,'SCAFFOLDING MATERIAL OVERALL'!B74:S256,18,FALSE)</f>
        <v>17.664999999999999</v>
      </c>
      <c r="YZ72" s="22">
        <f t="shared" ref="YZ72:YZ135" si="1">YX72*YY72</f>
        <v>4203793.0449999999</v>
      </c>
    </row>
    <row r="73" spans="1:676" s="22" customFormat="1" x14ac:dyDescent="0.25">
      <c r="A73" s="14">
        <v>69</v>
      </c>
      <c r="B73" s="15">
        <v>3000001216</v>
      </c>
      <c r="C73" s="16" t="s">
        <v>81</v>
      </c>
      <c r="D73" s="44" t="s">
        <v>12</v>
      </c>
      <c r="R73" s="22" t="s">
        <v>35</v>
      </c>
      <c r="S73" s="22" t="s">
        <v>35</v>
      </c>
      <c r="T73" s="22" t="s">
        <v>35</v>
      </c>
      <c r="U73" s="22" t="s">
        <v>35</v>
      </c>
      <c r="V73" s="22" t="s">
        <v>35</v>
      </c>
      <c r="W73" s="22" t="s">
        <v>35</v>
      </c>
      <c r="X73" s="22" t="s">
        <v>35</v>
      </c>
      <c r="Y73" s="22" t="s">
        <v>35</v>
      </c>
      <c r="Z73" s="22" t="s">
        <v>35</v>
      </c>
      <c r="AA73" s="22" t="s">
        <v>35</v>
      </c>
      <c r="AB73" s="22" t="s">
        <v>35</v>
      </c>
      <c r="AC73" s="22" t="s">
        <v>35</v>
      </c>
      <c r="AD73" s="22" t="s">
        <v>35</v>
      </c>
      <c r="MM73" s="22">
        <v>60</v>
      </c>
      <c r="OZ73" s="115"/>
      <c r="PA73" s="115"/>
      <c r="PB73" s="115"/>
      <c r="PC73" s="115" t="s">
        <v>35</v>
      </c>
      <c r="PD73" s="115" t="s">
        <v>35</v>
      </c>
      <c r="PE73" s="115" t="s">
        <v>35</v>
      </c>
      <c r="PF73" s="115" t="s">
        <v>35</v>
      </c>
      <c r="PG73" s="115" t="s">
        <v>35</v>
      </c>
      <c r="PH73" s="115" t="s">
        <v>35</v>
      </c>
      <c r="PI73" s="115" t="s">
        <v>35</v>
      </c>
      <c r="PJ73" s="115" t="s">
        <v>35</v>
      </c>
      <c r="PK73" s="115"/>
      <c r="PL73" s="115"/>
      <c r="PM73" s="115"/>
      <c r="PN73" s="115"/>
      <c r="PO73" s="115"/>
      <c r="PP73" s="115"/>
      <c r="PQ73" s="115"/>
      <c r="PR73" s="115"/>
      <c r="PS73" s="115"/>
      <c r="PT73" s="115"/>
      <c r="PU73" s="115"/>
      <c r="PV73" s="115"/>
      <c r="PW73" s="115"/>
      <c r="PX73" s="115"/>
      <c r="PY73" s="115"/>
      <c r="PZ73" s="115"/>
      <c r="QA73" s="115"/>
      <c r="QB73" s="115"/>
      <c r="QC73" s="115"/>
      <c r="QD73" s="115"/>
      <c r="QE73" s="115"/>
      <c r="QF73" s="115"/>
      <c r="QG73" s="115"/>
      <c r="QH73" s="115"/>
      <c r="QI73" s="115"/>
      <c r="QJ73" s="115"/>
      <c r="QK73" s="115"/>
      <c r="QL73" s="115"/>
      <c r="QM73" s="115"/>
      <c r="QN73" s="115"/>
      <c r="QO73" s="115"/>
      <c r="QP73" s="115"/>
      <c r="QQ73" s="115"/>
      <c r="QR73" s="115"/>
      <c r="QS73" s="115"/>
      <c r="QT73" s="115"/>
      <c r="QU73" s="115"/>
      <c r="QV73" s="115"/>
      <c r="QW73" s="115"/>
      <c r="QX73" s="115"/>
      <c r="QY73" s="115"/>
      <c r="QZ73" s="115"/>
      <c r="RA73" s="115"/>
      <c r="RB73" s="115"/>
      <c r="RC73" s="115"/>
      <c r="RD73" s="115"/>
      <c r="RE73" s="115"/>
      <c r="RF73" s="115"/>
      <c r="RG73" s="115"/>
      <c r="RH73" s="115"/>
      <c r="RI73" s="115"/>
      <c r="RJ73" s="115"/>
      <c r="RK73" s="115"/>
      <c r="RL73" s="115"/>
      <c r="RM73" s="115"/>
      <c r="RN73" s="115"/>
      <c r="RO73" s="115"/>
      <c r="RP73" s="115"/>
      <c r="RQ73" s="115"/>
      <c r="RR73" s="115"/>
      <c r="RS73" s="115"/>
      <c r="RT73" s="115"/>
      <c r="RU73" s="115"/>
      <c r="RV73" s="115"/>
      <c r="RW73" s="115"/>
      <c r="RX73" s="115"/>
      <c r="RY73" s="115"/>
      <c r="RZ73" s="115"/>
      <c r="SA73" s="115"/>
      <c r="SB73" s="115"/>
      <c r="SC73" s="115"/>
      <c r="SD73" s="115"/>
      <c r="SE73" s="115"/>
      <c r="SF73" s="115"/>
      <c r="SG73" s="115"/>
      <c r="SH73" s="115"/>
      <c r="SI73" s="115"/>
      <c r="SJ73" s="115"/>
      <c r="SK73" s="115"/>
      <c r="SL73" s="115"/>
      <c r="SM73" s="115"/>
      <c r="SN73" s="115"/>
      <c r="SO73" s="115"/>
      <c r="SP73" s="115"/>
      <c r="SQ73" s="115"/>
      <c r="SR73" s="115"/>
      <c r="SS73" s="115"/>
      <c r="ST73" s="115"/>
      <c r="SU73" s="115"/>
      <c r="SV73" s="115"/>
      <c r="SW73" s="115"/>
      <c r="SX73" s="115"/>
      <c r="SY73" s="115"/>
      <c r="SZ73" s="115"/>
      <c r="TA73" s="115"/>
      <c r="TB73" s="115"/>
      <c r="TC73" s="115"/>
      <c r="TD73" s="115"/>
      <c r="TE73" s="115"/>
      <c r="TF73" s="115"/>
      <c r="TG73" s="115"/>
      <c r="TH73" s="115"/>
      <c r="TI73" s="115"/>
      <c r="TJ73" s="115"/>
      <c r="TK73" s="115"/>
      <c r="TL73" s="115"/>
      <c r="TM73" s="115"/>
      <c r="TN73" s="115"/>
      <c r="TO73" s="115"/>
      <c r="TP73" s="115"/>
      <c r="TQ73" s="115"/>
      <c r="TR73" s="115"/>
      <c r="TS73" s="115"/>
      <c r="TT73" s="115"/>
      <c r="TU73" s="115"/>
      <c r="TV73" s="115"/>
      <c r="TW73" s="115"/>
      <c r="TX73" s="115"/>
      <c r="TY73" s="115"/>
      <c r="TZ73" s="115"/>
      <c r="UA73" s="115"/>
      <c r="UB73" s="115"/>
      <c r="UC73" s="115"/>
      <c r="UD73" s="115"/>
      <c r="UE73" s="115"/>
      <c r="UF73" s="115"/>
      <c r="UG73" s="115"/>
      <c r="UH73" s="115"/>
      <c r="UI73" s="115"/>
      <c r="UJ73" s="115"/>
      <c r="UK73" s="115"/>
      <c r="UL73" s="115"/>
      <c r="UM73" s="115"/>
      <c r="UN73" s="115"/>
      <c r="UO73" s="115"/>
      <c r="UP73" s="115"/>
      <c r="UQ73" s="115"/>
      <c r="UR73" s="115"/>
      <c r="US73" s="115"/>
      <c r="UT73" s="115"/>
      <c r="UU73" s="115"/>
      <c r="UV73" s="115"/>
      <c r="UW73" s="115">
        <v>360</v>
      </c>
      <c r="UX73" s="115"/>
      <c r="UY73" s="115"/>
      <c r="UZ73" s="115"/>
      <c r="VA73" s="115"/>
      <c r="VB73" s="115"/>
      <c r="VC73" s="115"/>
      <c r="VD73" s="115"/>
      <c r="VE73" s="115"/>
      <c r="VF73" s="115"/>
      <c r="VG73" s="115"/>
      <c r="VH73" s="115"/>
      <c r="VI73" s="115"/>
      <c r="VJ73" s="115"/>
      <c r="VK73" s="115"/>
      <c r="VL73" s="115"/>
      <c r="VM73" s="115"/>
      <c r="VN73" s="115"/>
      <c r="VO73" s="115"/>
      <c r="VP73" s="115"/>
      <c r="VQ73" s="115"/>
      <c r="VR73" s="115"/>
      <c r="VS73" s="115"/>
      <c r="VT73" s="115"/>
      <c r="VU73" s="115"/>
      <c r="VV73" s="115"/>
      <c r="VW73" s="115"/>
      <c r="VX73" s="115"/>
      <c r="VY73" s="115"/>
      <c r="VZ73" s="115"/>
      <c r="WA73" s="115"/>
      <c r="WB73" s="115"/>
      <c r="WC73" s="115"/>
      <c r="WD73" s="115"/>
      <c r="WE73" s="115"/>
      <c r="WF73" s="115"/>
      <c r="WG73" s="115"/>
      <c r="WH73" s="115"/>
      <c r="WI73" s="115"/>
      <c r="WJ73" s="115"/>
      <c r="WK73" s="115"/>
      <c r="WL73" s="115"/>
      <c r="WM73" s="115"/>
      <c r="WN73" s="115"/>
      <c r="WO73" s="115"/>
      <c r="WP73" s="115"/>
      <c r="WQ73" s="115"/>
      <c r="WR73" s="115"/>
      <c r="WS73" s="115"/>
      <c r="WT73" s="115"/>
      <c r="WU73" s="115"/>
      <c r="WV73" s="115"/>
      <c r="WW73" s="115"/>
      <c r="WX73" s="115"/>
      <c r="WY73" s="115"/>
      <c r="WZ73" s="115"/>
      <c r="XA73" s="115"/>
      <c r="XB73" s="115"/>
      <c r="XC73" s="115"/>
      <c r="XD73" s="115"/>
      <c r="XE73" s="115"/>
      <c r="XF73" s="115"/>
      <c r="XG73" s="115"/>
      <c r="XH73" s="115"/>
      <c r="XI73" s="115"/>
      <c r="XJ73" s="115"/>
      <c r="XK73" s="115"/>
      <c r="XL73" s="115"/>
      <c r="XM73" s="115"/>
      <c r="XN73" s="115"/>
      <c r="XO73" s="115"/>
      <c r="XP73" s="115"/>
      <c r="XQ73" s="115"/>
      <c r="XR73" s="115"/>
      <c r="XS73" s="115"/>
      <c r="XT73" s="115"/>
      <c r="XU73" s="115"/>
      <c r="XV73" s="115"/>
      <c r="XW73" s="115"/>
      <c r="XX73" s="115"/>
      <c r="XY73" s="115"/>
      <c r="XZ73" s="115"/>
      <c r="YA73" s="115"/>
      <c r="YB73" s="115"/>
      <c r="YC73" s="115"/>
      <c r="YD73" s="115"/>
      <c r="YE73" s="115"/>
      <c r="YF73" s="115"/>
      <c r="YG73" s="115"/>
      <c r="YH73" s="115"/>
      <c r="YI73" s="115"/>
      <c r="YJ73" s="115"/>
      <c r="YK73" s="115"/>
      <c r="YL73" s="115"/>
      <c r="YM73" s="115"/>
      <c r="YN73" s="115"/>
      <c r="YO73" s="115"/>
      <c r="YP73" s="115"/>
      <c r="YQ73" s="115"/>
      <c r="YX73" s="22">
        <v>420</v>
      </c>
      <c r="YY73" s="22">
        <f>VLOOKUP(B73,'SCAFFOLDING MATERIAL OVERALL'!B75:S257,18,FALSE)</f>
        <v>25.187000000000001</v>
      </c>
      <c r="YZ73" s="22">
        <f t="shared" si="1"/>
        <v>10578.54</v>
      </c>
    </row>
    <row r="74" spans="1:676" s="22" customFormat="1" x14ac:dyDescent="0.25">
      <c r="A74" s="14">
        <v>70</v>
      </c>
      <c r="B74" s="15">
        <v>3000001217</v>
      </c>
      <c r="C74" s="16" t="s">
        <v>82</v>
      </c>
      <c r="D74" s="44" t="s">
        <v>12</v>
      </c>
      <c r="EU74" s="22">
        <v>60</v>
      </c>
      <c r="OZ74" s="115"/>
      <c r="PA74" s="115"/>
      <c r="PB74" s="115"/>
      <c r="PC74" s="115"/>
      <c r="PD74" s="115"/>
      <c r="PE74" s="115"/>
      <c r="PF74" s="115"/>
      <c r="PG74" s="115"/>
      <c r="PH74" s="115"/>
      <c r="PI74" s="115"/>
      <c r="PJ74" s="115"/>
      <c r="PK74" s="115"/>
      <c r="PL74" s="115"/>
      <c r="PM74" s="115"/>
      <c r="PN74" s="115"/>
      <c r="PO74" s="115"/>
      <c r="PP74" s="115"/>
      <c r="PQ74" s="115"/>
      <c r="PR74" s="115"/>
      <c r="PS74" s="115"/>
      <c r="PT74" s="115"/>
      <c r="PU74" s="115"/>
      <c r="PV74" s="115"/>
      <c r="PW74" s="115"/>
      <c r="PX74" s="115"/>
      <c r="PY74" s="115"/>
      <c r="PZ74" s="115"/>
      <c r="QA74" s="115"/>
      <c r="QB74" s="115"/>
      <c r="QC74" s="115"/>
      <c r="QD74" s="115"/>
      <c r="QE74" s="115"/>
      <c r="QF74" s="115"/>
      <c r="QG74" s="115"/>
      <c r="QH74" s="115"/>
      <c r="QI74" s="115"/>
      <c r="QJ74" s="115"/>
      <c r="QK74" s="115"/>
      <c r="QL74" s="115"/>
      <c r="QM74" s="115"/>
      <c r="QN74" s="115"/>
      <c r="QO74" s="115"/>
      <c r="QP74" s="115"/>
      <c r="QQ74" s="115"/>
      <c r="QR74" s="115"/>
      <c r="QS74" s="115"/>
      <c r="QT74" s="115"/>
      <c r="QU74" s="115"/>
      <c r="QV74" s="115"/>
      <c r="QW74" s="115"/>
      <c r="QX74" s="115"/>
      <c r="QY74" s="115"/>
      <c r="QZ74" s="115"/>
      <c r="RA74" s="115"/>
      <c r="RB74" s="115"/>
      <c r="RC74" s="115"/>
      <c r="RD74" s="115"/>
      <c r="RE74" s="115"/>
      <c r="RF74" s="115"/>
      <c r="RG74" s="115"/>
      <c r="RH74" s="115"/>
      <c r="RI74" s="115"/>
      <c r="RJ74" s="115"/>
      <c r="RK74" s="115"/>
      <c r="RL74" s="115"/>
      <c r="RM74" s="115"/>
      <c r="RN74" s="115"/>
      <c r="RO74" s="115"/>
      <c r="RP74" s="115"/>
      <c r="RQ74" s="115"/>
      <c r="RR74" s="115"/>
      <c r="RS74" s="115"/>
      <c r="RT74" s="115"/>
      <c r="RU74" s="115"/>
      <c r="RV74" s="115"/>
      <c r="RW74" s="115"/>
      <c r="RX74" s="115"/>
      <c r="RY74" s="115"/>
      <c r="RZ74" s="115"/>
      <c r="SA74" s="115"/>
      <c r="SB74" s="115"/>
      <c r="SC74" s="115"/>
      <c r="SD74" s="115"/>
      <c r="SE74" s="115"/>
      <c r="SF74" s="115"/>
      <c r="SG74" s="115"/>
      <c r="SH74" s="115"/>
      <c r="SI74" s="115"/>
      <c r="SJ74" s="115"/>
      <c r="SK74" s="115"/>
      <c r="SL74" s="115"/>
      <c r="SM74" s="115"/>
      <c r="SN74" s="115"/>
      <c r="SO74" s="115"/>
      <c r="SP74" s="115"/>
      <c r="SQ74" s="115"/>
      <c r="SR74" s="115"/>
      <c r="SS74" s="115"/>
      <c r="ST74" s="115"/>
      <c r="SU74" s="115"/>
      <c r="SV74" s="115"/>
      <c r="SW74" s="115"/>
      <c r="SX74" s="115"/>
      <c r="SY74" s="115"/>
      <c r="SZ74" s="115"/>
      <c r="TA74" s="115"/>
      <c r="TB74" s="115"/>
      <c r="TC74" s="115"/>
      <c r="TD74" s="115"/>
      <c r="TE74" s="115"/>
      <c r="TF74" s="115"/>
      <c r="TG74" s="115"/>
      <c r="TH74" s="115"/>
      <c r="TI74" s="115"/>
      <c r="TJ74" s="115"/>
      <c r="TK74" s="115"/>
      <c r="TL74" s="115"/>
      <c r="TM74" s="115"/>
      <c r="TN74" s="115"/>
      <c r="TO74" s="115"/>
      <c r="TP74" s="115"/>
      <c r="TQ74" s="115"/>
      <c r="TR74" s="115"/>
      <c r="TS74" s="115"/>
      <c r="TT74" s="115"/>
      <c r="TU74" s="115"/>
      <c r="TV74" s="115"/>
      <c r="TW74" s="115"/>
      <c r="TX74" s="115"/>
      <c r="TY74" s="115"/>
      <c r="TZ74" s="115"/>
      <c r="UA74" s="115"/>
      <c r="UB74" s="115"/>
      <c r="UC74" s="115"/>
      <c r="UD74" s="115"/>
      <c r="UE74" s="115"/>
      <c r="UF74" s="115"/>
      <c r="UG74" s="115"/>
      <c r="UH74" s="115"/>
      <c r="UI74" s="115"/>
      <c r="UJ74" s="115"/>
      <c r="UK74" s="115"/>
      <c r="UL74" s="115"/>
      <c r="UM74" s="115"/>
      <c r="UN74" s="115"/>
      <c r="UO74" s="115"/>
      <c r="UP74" s="115"/>
      <c r="UQ74" s="115"/>
      <c r="UR74" s="115"/>
      <c r="US74" s="115"/>
      <c r="UT74" s="115"/>
      <c r="UU74" s="115"/>
      <c r="UV74" s="115"/>
      <c r="UW74" s="115"/>
      <c r="UX74" s="115"/>
      <c r="UY74" s="115"/>
      <c r="UZ74" s="115"/>
      <c r="VA74" s="115"/>
      <c r="VB74" s="115"/>
      <c r="VC74" s="115"/>
      <c r="VD74" s="115"/>
      <c r="VE74" s="115"/>
      <c r="VF74" s="115"/>
      <c r="VG74" s="115"/>
      <c r="VH74" s="115"/>
      <c r="VI74" s="115"/>
      <c r="VJ74" s="115"/>
      <c r="VK74" s="115"/>
      <c r="VL74" s="115"/>
      <c r="VM74" s="115"/>
      <c r="VN74" s="115"/>
      <c r="VO74" s="115"/>
      <c r="VP74" s="115"/>
      <c r="VQ74" s="115"/>
      <c r="VR74" s="115"/>
      <c r="VS74" s="115"/>
      <c r="VT74" s="115"/>
      <c r="VU74" s="115"/>
      <c r="VV74" s="115"/>
      <c r="VW74" s="115"/>
      <c r="VX74" s="115"/>
      <c r="VY74" s="115"/>
      <c r="VZ74" s="115"/>
      <c r="WA74" s="115"/>
      <c r="WB74" s="115"/>
      <c r="WC74" s="115"/>
      <c r="WD74" s="115"/>
      <c r="WE74" s="115"/>
      <c r="WF74" s="115"/>
      <c r="WG74" s="115"/>
      <c r="WH74" s="115"/>
      <c r="WI74" s="115"/>
      <c r="WJ74" s="115"/>
      <c r="WK74" s="115"/>
      <c r="WL74" s="115"/>
      <c r="WM74" s="115"/>
      <c r="WN74" s="115"/>
      <c r="WO74" s="115"/>
      <c r="WP74" s="115"/>
      <c r="WQ74" s="115"/>
      <c r="WR74" s="115"/>
      <c r="WS74" s="115"/>
      <c r="WT74" s="115"/>
      <c r="WU74" s="115"/>
      <c r="WV74" s="115"/>
      <c r="WW74" s="115"/>
      <c r="WX74" s="115"/>
      <c r="WY74" s="115"/>
      <c r="WZ74" s="115"/>
      <c r="XA74" s="115"/>
      <c r="XB74" s="115"/>
      <c r="XC74" s="115"/>
      <c r="XD74" s="115"/>
      <c r="XE74" s="115"/>
      <c r="XF74" s="115"/>
      <c r="XG74" s="115"/>
      <c r="XH74" s="115"/>
      <c r="XI74" s="115"/>
      <c r="XJ74" s="115"/>
      <c r="XK74" s="115"/>
      <c r="XL74" s="115"/>
      <c r="XM74" s="115"/>
      <c r="XN74" s="115"/>
      <c r="XO74" s="115"/>
      <c r="XP74" s="115"/>
      <c r="XQ74" s="115"/>
      <c r="XR74" s="115"/>
      <c r="XS74" s="115"/>
      <c r="XT74" s="115"/>
      <c r="XU74" s="115"/>
      <c r="XV74" s="115"/>
      <c r="XW74" s="115"/>
      <c r="XX74" s="115"/>
      <c r="XY74" s="115"/>
      <c r="XZ74" s="115"/>
      <c r="YA74" s="115"/>
      <c r="YB74" s="115"/>
      <c r="YC74" s="115"/>
      <c r="YD74" s="115"/>
      <c r="YE74" s="115"/>
      <c r="YF74" s="115"/>
      <c r="YG74" s="115"/>
      <c r="YH74" s="115"/>
      <c r="YI74" s="115"/>
      <c r="YJ74" s="115"/>
      <c r="YK74" s="115"/>
      <c r="YL74" s="115"/>
      <c r="YM74" s="115"/>
      <c r="YN74" s="115"/>
      <c r="YO74" s="115"/>
      <c r="YP74" s="115"/>
      <c r="YQ74" s="115"/>
      <c r="YX74" s="22">
        <v>60</v>
      </c>
      <c r="YY74" s="22">
        <f>VLOOKUP(B74,'SCAFFOLDING MATERIAL OVERALL'!B76:S258,18,FALSE)</f>
        <v>18.8</v>
      </c>
      <c r="YZ74" s="22">
        <f t="shared" si="1"/>
        <v>1128</v>
      </c>
    </row>
    <row r="75" spans="1:676" s="22" customFormat="1" x14ac:dyDescent="0.25">
      <c r="A75" s="17">
        <v>71</v>
      </c>
      <c r="B75" s="15">
        <v>3000000009</v>
      </c>
      <c r="C75" s="16" t="s">
        <v>83</v>
      </c>
      <c r="D75" s="44" t="s">
        <v>12</v>
      </c>
      <c r="OZ75" s="115"/>
      <c r="PA75" s="115"/>
      <c r="PB75" s="115"/>
      <c r="PC75" s="115"/>
      <c r="PD75" s="115"/>
      <c r="PE75" s="115"/>
      <c r="PF75" s="115"/>
      <c r="PG75" s="115"/>
      <c r="PH75" s="115"/>
      <c r="PI75" s="115"/>
      <c r="PJ75" s="115"/>
      <c r="PK75" s="115"/>
      <c r="PL75" s="115"/>
      <c r="PM75" s="115"/>
      <c r="PN75" s="115"/>
      <c r="PO75" s="115"/>
      <c r="PP75" s="115"/>
      <c r="PQ75" s="115"/>
      <c r="PR75" s="115"/>
      <c r="PS75" s="115"/>
      <c r="PT75" s="115"/>
      <c r="PU75" s="115"/>
      <c r="PV75" s="115"/>
      <c r="PW75" s="115"/>
      <c r="PX75" s="115"/>
      <c r="PY75" s="115"/>
      <c r="PZ75" s="115"/>
      <c r="QA75" s="115"/>
      <c r="QB75" s="115"/>
      <c r="QC75" s="115"/>
      <c r="QD75" s="115"/>
      <c r="QE75" s="115"/>
      <c r="QF75" s="115"/>
      <c r="QG75" s="115"/>
      <c r="QH75" s="115"/>
      <c r="QI75" s="115"/>
      <c r="QJ75" s="115"/>
      <c r="QK75" s="115"/>
      <c r="QL75" s="115"/>
      <c r="QM75" s="115"/>
      <c r="QN75" s="115"/>
      <c r="QO75" s="115"/>
      <c r="QP75" s="115"/>
      <c r="QQ75" s="115"/>
      <c r="QR75" s="115"/>
      <c r="QS75" s="115"/>
      <c r="QT75" s="115"/>
      <c r="QU75" s="115"/>
      <c r="QV75" s="115"/>
      <c r="QW75" s="115"/>
      <c r="QX75" s="115"/>
      <c r="QY75" s="115"/>
      <c r="QZ75" s="115"/>
      <c r="RA75" s="115"/>
      <c r="RB75" s="115"/>
      <c r="RC75" s="115"/>
      <c r="RD75" s="115"/>
      <c r="RE75" s="115"/>
      <c r="RF75" s="115"/>
      <c r="RG75" s="115"/>
      <c r="RH75" s="115"/>
      <c r="RI75" s="115"/>
      <c r="RJ75" s="115"/>
      <c r="RK75" s="115"/>
      <c r="RL75" s="115"/>
      <c r="RM75" s="115"/>
      <c r="RN75" s="115"/>
      <c r="RO75" s="115"/>
      <c r="RP75" s="115"/>
      <c r="RQ75" s="115"/>
      <c r="RR75" s="115"/>
      <c r="RS75" s="115"/>
      <c r="RT75" s="115"/>
      <c r="RU75" s="115"/>
      <c r="RV75" s="115"/>
      <c r="RW75" s="115"/>
      <c r="RX75" s="115"/>
      <c r="RY75" s="115"/>
      <c r="RZ75" s="115"/>
      <c r="SA75" s="115"/>
      <c r="SB75" s="115"/>
      <c r="SC75" s="115"/>
      <c r="SD75" s="115"/>
      <c r="SE75" s="115"/>
      <c r="SF75" s="115"/>
      <c r="SG75" s="115"/>
      <c r="SH75" s="115"/>
      <c r="SI75" s="115"/>
      <c r="SJ75" s="115"/>
      <c r="SK75" s="115"/>
      <c r="SL75" s="115"/>
      <c r="SM75" s="115"/>
      <c r="SN75" s="115"/>
      <c r="SO75" s="115"/>
      <c r="SP75" s="115"/>
      <c r="SQ75" s="115"/>
      <c r="SR75" s="115"/>
      <c r="SS75" s="115"/>
      <c r="ST75" s="115"/>
      <c r="SU75" s="115"/>
      <c r="SV75" s="115"/>
      <c r="SW75" s="115"/>
      <c r="SX75" s="115"/>
      <c r="SY75" s="115"/>
      <c r="SZ75" s="115"/>
      <c r="TA75" s="115"/>
      <c r="TB75" s="115"/>
      <c r="TC75" s="115"/>
      <c r="TD75" s="115"/>
      <c r="TE75" s="115"/>
      <c r="TF75" s="115"/>
      <c r="TG75" s="115"/>
      <c r="TH75" s="115"/>
      <c r="TI75" s="115"/>
      <c r="TJ75" s="115"/>
      <c r="TK75" s="115"/>
      <c r="TL75" s="115"/>
      <c r="TM75" s="115"/>
      <c r="TN75" s="115"/>
      <c r="TO75" s="115"/>
      <c r="TP75" s="115"/>
      <c r="TQ75" s="115"/>
      <c r="TR75" s="115"/>
      <c r="TS75" s="115"/>
      <c r="TT75" s="115"/>
      <c r="TU75" s="115"/>
      <c r="TV75" s="115"/>
      <c r="TW75" s="115"/>
      <c r="TX75" s="115"/>
      <c r="TY75" s="115"/>
      <c r="TZ75" s="115"/>
      <c r="UA75" s="115"/>
      <c r="UB75" s="115"/>
      <c r="UC75" s="115"/>
      <c r="UD75" s="115"/>
      <c r="UE75" s="115"/>
      <c r="UF75" s="115"/>
      <c r="UG75" s="115"/>
      <c r="UH75" s="115"/>
      <c r="UI75" s="115"/>
      <c r="UJ75" s="115"/>
      <c r="UK75" s="115"/>
      <c r="UL75" s="115"/>
      <c r="UM75" s="115"/>
      <c r="UN75" s="115"/>
      <c r="UO75" s="115"/>
      <c r="UP75" s="115"/>
      <c r="UQ75" s="115"/>
      <c r="UR75" s="115"/>
      <c r="US75" s="115"/>
      <c r="UT75" s="115"/>
      <c r="UU75" s="115"/>
      <c r="UV75" s="115"/>
      <c r="UW75" s="115"/>
      <c r="UX75" s="115"/>
      <c r="UY75" s="115"/>
      <c r="UZ75" s="115"/>
      <c r="VA75" s="115"/>
      <c r="VB75" s="115"/>
      <c r="VC75" s="115"/>
      <c r="VD75" s="115"/>
      <c r="VE75" s="115"/>
      <c r="VF75" s="115"/>
      <c r="VG75" s="115"/>
      <c r="VH75" s="115"/>
      <c r="VI75" s="115"/>
      <c r="VJ75" s="115"/>
      <c r="VK75" s="115"/>
      <c r="VL75" s="115"/>
      <c r="VM75" s="115"/>
      <c r="VN75" s="115"/>
      <c r="VO75" s="115"/>
      <c r="VP75" s="115"/>
      <c r="VQ75" s="115"/>
      <c r="VR75" s="115"/>
      <c r="VS75" s="115"/>
      <c r="VT75" s="115"/>
      <c r="VU75" s="115"/>
      <c r="VV75" s="115"/>
      <c r="VW75" s="115"/>
      <c r="VX75" s="115"/>
      <c r="VY75" s="115"/>
      <c r="VZ75" s="115"/>
      <c r="WA75" s="115"/>
      <c r="WB75" s="115"/>
      <c r="WC75" s="115"/>
      <c r="WD75" s="115"/>
      <c r="WE75" s="115"/>
      <c r="WF75" s="115"/>
      <c r="WG75" s="115"/>
      <c r="WH75" s="115"/>
      <c r="WI75" s="115"/>
      <c r="WJ75" s="115"/>
      <c r="WK75" s="115"/>
      <c r="WL75" s="115"/>
      <c r="WM75" s="115"/>
      <c r="WN75" s="115"/>
      <c r="WO75" s="115"/>
      <c r="WP75" s="115"/>
      <c r="WQ75" s="115"/>
      <c r="WR75" s="115"/>
      <c r="WS75" s="115"/>
      <c r="WT75" s="115"/>
      <c r="WU75" s="115"/>
      <c r="WV75" s="115"/>
      <c r="WW75" s="115"/>
      <c r="WX75" s="115"/>
      <c r="WY75" s="115"/>
      <c r="WZ75" s="115"/>
      <c r="XA75" s="115"/>
      <c r="XB75" s="115"/>
      <c r="XC75" s="115"/>
      <c r="XD75" s="115"/>
      <c r="XE75" s="115"/>
      <c r="XF75" s="115"/>
      <c r="XG75" s="115"/>
      <c r="XH75" s="115"/>
      <c r="XI75" s="115"/>
      <c r="XJ75" s="115"/>
      <c r="XK75" s="115"/>
      <c r="XL75" s="115"/>
      <c r="XM75" s="115"/>
      <c r="XN75" s="115"/>
      <c r="XO75" s="115"/>
      <c r="XP75" s="115"/>
      <c r="XQ75" s="115"/>
      <c r="XR75" s="115"/>
      <c r="XS75" s="115"/>
      <c r="XT75" s="115"/>
      <c r="XU75" s="115"/>
      <c r="XV75" s="115"/>
      <c r="XW75" s="115"/>
      <c r="XX75" s="115"/>
      <c r="XY75" s="115"/>
      <c r="XZ75" s="115"/>
      <c r="YA75" s="115"/>
      <c r="YB75" s="115"/>
      <c r="YC75" s="115"/>
      <c r="YD75" s="115"/>
      <c r="YE75" s="115"/>
      <c r="YF75" s="115"/>
      <c r="YG75" s="115"/>
      <c r="YH75" s="115"/>
      <c r="YI75" s="115"/>
      <c r="YJ75" s="115"/>
      <c r="YK75" s="115"/>
      <c r="YL75" s="115"/>
      <c r="YM75" s="115"/>
      <c r="YN75" s="115"/>
      <c r="YO75" s="115"/>
      <c r="YP75" s="115"/>
      <c r="YQ75" s="115"/>
      <c r="YX75" s="22">
        <v>0</v>
      </c>
      <c r="YY75" s="22">
        <f>VLOOKUP(B75,'SCAFFOLDING MATERIAL OVERALL'!B77:S259,18,FALSE)</f>
        <v>15.94</v>
      </c>
      <c r="YZ75" s="22">
        <f t="shared" si="1"/>
        <v>0</v>
      </c>
    </row>
    <row r="76" spans="1:676" s="22" customFormat="1" x14ac:dyDescent="0.25">
      <c r="A76" s="14">
        <v>72</v>
      </c>
      <c r="B76" s="15">
        <v>3000000011</v>
      </c>
      <c r="C76" s="16" t="s">
        <v>84</v>
      </c>
      <c r="D76" s="44" t="s">
        <v>12</v>
      </c>
      <c r="OZ76" s="115"/>
      <c r="PA76" s="115"/>
      <c r="PB76" s="115"/>
      <c r="PC76" s="115"/>
      <c r="PD76" s="115"/>
      <c r="PE76" s="115"/>
      <c r="PF76" s="115"/>
      <c r="PG76" s="115"/>
      <c r="PH76" s="115"/>
      <c r="PI76" s="115"/>
      <c r="PJ76" s="115"/>
      <c r="PK76" s="115"/>
      <c r="PL76" s="115"/>
      <c r="PM76" s="115"/>
      <c r="PN76" s="115"/>
      <c r="PO76" s="115"/>
      <c r="PP76" s="115"/>
      <c r="PQ76" s="115"/>
      <c r="PR76" s="115"/>
      <c r="PS76" s="115"/>
      <c r="PT76" s="115"/>
      <c r="PU76" s="115"/>
      <c r="PV76" s="115"/>
      <c r="PW76" s="115"/>
      <c r="PX76" s="115"/>
      <c r="PY76" s="115"/>
      <c r="PZ76" s="115"/>
      <c r="QA76" s="115"/>
      <c r="QB76" s="115"/>
      <c r="QC76" s="115"/>
      <c r="QD76" s="115"/>
      <c r="QE76" s="115"/>
      <c r="QF76" s="115"/>
      <c r="QG76" s="115"/>
      <c r="QH76" s="115"/>
      <c r="QI76" s="115"/>
      <c r="QJ76" s="115"/>
      <c r="QK76" s="115"/>
      <c r="QL76" s="115"/>
      <c r="QM76" s="115"/>
      <c r="QN76" s="115"/>
      <c r="QO76" s="115"/>
      <c r="QP76" s="115"/>
      <c r="QQ76" s="115"/>
      <c r="QR76" s="115"/>
      <c r="QS76" s="115"/>
      <c r="QT76" s="115"/>
      <c r="QU76" s="115"/>
      <c r="QV76" s="115"/>
      <c r="QW76" s="115"/>
      <c r="QX76" s="115"/>
      <c r="QY76" s="115"/>
      <c r="QZ76" s="115"/>
      <c r="RA76" s="115"/>
      <c r="RB76" s="115"/>
      <c r="RC76" s="115"/>
      <c r="RD76" s="115"/>
      <c r="RE76" s="115"/>
      <c r="RF76" s="115"/>
      <c r="RG76" s="115"/>
      <c r="RH76" s="115"/>
      <c r="RI76" s="115"/>
      <c r="RJ76" s="115"/>
      <c r="RK76" s="115"/>
      <c r="RL76" s="115"/>
      <c r="RM76" s="115"/>
      <c r="RN76" s="115"/>
      <c r="RO76" s="115"/>
      <c r="RP76" s="115"/>
      <c r="RQ76" s="115"/>
      <c r="RR76" s="115"/>
      <c r="RS76" s="115"/>
      <c r="RT76" s="115"/>
      <c r="RU76" s="115"/>
      <c r="RV76" s="115"/>
      <c r="RW76" s="115"/>
      <c r="RX76" s="115"/>
      <c r="RY76" s="115"/>
      <c r="RZ76" s="115"/>
      <c r="SA76" s="115"/>
      <c r="SB76" s="115"/>
      <c r="SC76" s="115"/>
      <c r="SD76" s="115"/>
      <c r="SE76" s="115"/>
      <c r="SF76" s="115"/>
      <c r="SG76" s="115"/>
      <c r="SH76" s="115"/>
      <c r="SI76" s="115"/>
      <c r="SJ76" s="115"/>
      <c r="SK76" s="115"/>
      <c r="SL76" s="115"/>
      <c r="SM76" s="115"/>
      <c r="SN76" s="115"/>
      <c r="SO76" s="115"/>
      <c r="SP76" s="115"/>
      <c r="SQ76" s="115"/>
      <c r="SR76" s="115"/>
      <c r="SS76" s="115"/>
      <c r="ST76" s="115"/>
      <c r="SU76" s="115"/>
      <c r="SV76" s="115"/>
      <c r="SW76" s="115"/>
      <c r="SX76" s="115"/>
      <c r="SY76" s="115"/>
      <c r="SZ76" s="115"/>
      <c r="TA76" s="115"/>
      <c r="TB76" s="115"/>
      <c r="TC76" s="115"/>
      <c r="TD76" s="115"/>
      <c r="TE76" s="115"/>
      <c r="TF76" s="115"/>
      <c r="TG76" s="115"/>
      <c r="TH76" s="115"/>
      <c r="TI76" s="115"/>
      <c r="TJ76" s="115"/>
      <c r="TK76" s="115"/>
      <c r="TL76" s="115"/>
      <c r="TM76" s="115"/>
      <c r="TN76" s="115"/>
      <c r="TO76" s="115"/>
      <c r="TP76" s="115"/>
      <c r="TQ76" s="115"/>
      <c r="TR76" s="115"/>
      <c r="TS76" s="115"/>
      <c r="TT76" s="115"/>
      <c r="TU76" s="115"/>
      <c r="TV76" s="115"/>
      <c r="TW76" s="115"/>
      <c r="TX76" s="115"/>
      <c r="TY76" s="115"/>
      <c r="TZ76" s="115"/>
      <c r="UA76" s="115"/>
      <c r="UB76" s="115"/>
      <c r="UC76" s="115"/>
      <c r="UD76" s="115"/>
      <c r="UE76" s="115"/>
      <c r="UF76" s="115"/>
      <c r="UG76" s="115"/>
      <c r="UH76" s="115"/>
      <c r="UI76" s="115"/>
      <c r="UJ76" s="115"/>
      <c r="UK76" s="115"/>
      <c r="UL76" s="115"/>
      <c r="UM76" s="115"/>
      <c r="UN76" s="115"/>
      <c r="UO76" s="115"/>
      <c r="UP76" s="115"/>
      <c r="UQ76" s="115"/>
      <c r="UR76" s="115"/>
      <c r="US76" s="115"/>
      <c r="UT76" s="115"/>
      <c r="UU76" s="115"/>
      <c r="UV76" s="115"/>
      <c r="UW76" s="115"/>
      <c r="UX76" s="115"/>
      <c r="UY76" s="115"/>
      <c r="UZ76" s="115"/>
      <c r="VA76" s="115"/>
      <c r="VB76" s="115"/>
      <c r="VC76" s="115"/>
      <c r="VD76" s="115"/>
      <c r="VE76" s="115"/>
      <c r="VF76" s="115"/>
      <c r="VG76" s="115"/>
      <c r="VH76" s="115"/>
      <c r="VI76" s="115"/>
      <c r="VJ76" s="115"/>
      <c r="VK76" s="115"/>
      <c r="VL76" s="115"/>
      <c r="VM76" s="115"/>
      <c r="VN76" s="115"/>
      <c r="VO76" s="115"/>
      <c r="VP76" s="115"/>
      <c r="VQ76" s="115"/>
      <c r="VR76" s="115"/>
      <c r="VS76" s="115"/>
      <c r="VT76" s="115"/>
      <c r="VU76" s="115"/>
      <c r="VV76" s="115"/>
      <c r="VW76" s="115"/>
      <c r="VX76" s="115"/>
      <c r="VY76" s="115"/>
      <c r="VZ76" s="115"/>
      <c r="WA76" s="115"/>
      <c r="WB76" s="115"/>
      <c r="WC76" s="115"/>
      <c r="WD76" s="115"/>
      <c r="WE76" s="115"/>
      <c r="WF76" s="115"/>
      <c r="WG76" s="115"/>
      <c r="WH76" s="115"/>
      <c r="WI76" s="115"/>
      <c r="WJ76" s="115"/>
      <c r="WK76" s="115"/>
      <c r="WL76" s="115"/>
      <c r="WM76" s="115"/>
      <c r="WN76" s="115"/>
      <c r="WO76" s="115"/>
      <c r="WP76" s="115"/>
      <c r="WQ76" s="115"/>
      <c r="WR76" s="115"/>
      <c r="WS76" s="115"/>
      <c r="WT76" s="115"/>
      <c r="WU76" s="115"/>
      <c r="WV76" s="115"/>
      <c r="WW76" s="115"/>
      <c r="WX76" s="115"/>
      <c r="WY76" s="115"/>
      <c r="WZ76" s="115"/>
      <c r="XA76" s="115"/>
      <c r="XB76" s="115"/>
      <c r="XC76" s="115"/>
      <c r="XD76" s="115"/>
      <c r="XE76" s="115"/>
      <c r="XF76" s="115"/>
      <c r="XG76" s="115"/>
      <c r="XH76" s="115"/>
      <c r="XI76" s="115"/>
      <c r="XJ76" s="115"/>
      <c r="XK76" s="115"/>
      <c r="XL76" s="115"/>
      <c r="XM76" s="115"/>
      <c r="XN76" s="115"/>
      <c r="XO76" s="115"/>
      <c r="XP76" s="115"/>
      <c r="XQ76" s="115"/>
      <c r="XR76" s="115"/>
      <c r="XS76" s="115"/>
      <c r="XT76" s="115"/>
      <c r="XU76" s="115"/>
      <c r="XV76" s="115"/>
      <c r="XW76" s="115"/>
      <c r="XX76" s="115"/>
      <c r="XY76" s="115"/>
      <c r="XZ76" s="115"/>
      <c r="YA76" s="115"/>
      <c r="YB76" s="115"/>
      <c r="YC76" s="115"/>
      <c r="YD76" s="115"/>
      <c r="YE76" s="115"/>
      <c r="YF76" s="115"/>
      <c r="YG76" s="115"/>
      <c r="YH76" s="115"/>
      <c r="YI76" s="115"/>
      <c r="YJ76" s="115"/>
      <c r="YK76" s="115"/>
      <c r="YL76" s="115"/>
      <c r="YM76" s="115"/>
      <c r="YN76" s="115"/>
      <c r="YO76" s="115"/>
      <c r="YP76" s="115"/>
      <c r="YQ76" s="115"/>
      <c r="YX76" s="22">
        <v>0</v>
      </c>
      <c r="YY76" s="22">
        <f>VLOOKUP(B76,'SCAFFOLDING MATERIAL OVERALL'!B78:S260,18,FALSE)</f>
        <v>28.85</v>
      </c>
      <c r="YZ76" s="22">
        <f t="shared" si="1"/>
        <v>0</v>
      </c>
    </row>
    <row r="77" spans="1:676" s="22" customFormat="1" x14ac:dyDescent="0.25">
      <c r="A77" s="14">
        <v>73</v>
      </c>
      <c r="B77" s="15">
        <v>3000000707</v>
      </c>
      <c r="C77" s="16" t="s">
        <v>85</v>
      </c>
      <c r="D77" s="44" t="s">
        <v>12</v>
      </c>
      <c r="O77" s="22">
        <v>180</v>
      </c>
      <c r="OZ77" s="115"/>
      <c r="PA77" s="115"/>
      <c r="PB77" s="115"/>
      <c r="PC77" s="115"/>
      <c r="PD77" s="115"/>
      <c r="PE77" s="115"/>
      <c r="PF77" s="115"/>
      <c r="PG77" s="115"/>
      <c r="PH77" s="115"/>
      <c r="PI77" s="115"/>
      <c r="PJ77" s="115"/>
      <c r="PK77" s="115"/>
      <c r="PL77" s="115"/>
      <c r="PM77" s="115"/>
      <c r="PN77" s="115"/>
      <c r="PO77" s="115"/>
      <c r="PP77" s="115"/>
      <c r="PQ77" s="115"/>
      <c r="PR77" s="115"/>
      <c r="PS77" s="115"/>
      <c r="PT77" s="115"/>
      <c r="PU77" s="115"/>
      <c r="PV77" s="115"/>
      <c r="PW77" s="115"/>
      <c r="PX77" s="115"/>
      <c r="PY77" s="115"/>
      <c r="PZ77" s="115"/>
      <c r="QA77" s="115"/>
      <c r="QB77" s="115"/>
      <c r="QC77" s="115"/>
      <c r="QD77" s="115"/>
      <c r="QE77" s="115"/>
      <c r="QF77" s="115"/>
      <c r="QG77" s="115"/>
      <c r="QH77" s="115"/>
      <c r="QI77" s="115"/>
      <c r="QJ77" s="115"/>
      <c r="QK77" s="115"/>
      <c r="QL77" s="115"/>
      <c r="QM77" s="115"/>
      <c r="QN77" s="115"/>
      <c r="QO77" s="115"/>
      <c r="QP77" s="115"/>
      <c r="QQ77" s="115"/>
      <c r="QR77" s="115"/>
      <c r="QS77" s="115"/>
      <c r="QT77" s="115"/>
      <c r="QU77" s="115"/>
      <c r="QV77" s="115"/>
      <c r="QW77" s="115"/>
      <c r="QX77" s="115"/>
      <c r="QY77" s="115"/>
      <c r="QZ77" s="115"/>
      <c r="RA77" s="115"/>
      <c r="RB77" s="115"/>
      <c r="RC77" s="115"/>
      <c r="RD77" s="115"/>
      <c r="RE77" s="115"/>
      <c r="RF77" s="115"/>
      <c r="RG77" s="115"/>
      <c r="RH77" s="115"/>
      <c r="RI77" s="115"/>
      <c r="RJ77" s="115"/>
      <c r="RK77" s="115"/>
      <c r="RL77" s="115"/>
      <c r="RM77" s="115"/>
      <c r="RN77" s="115"/>
      <c r="RO77" s="115"/>
      <c r="RP77" s="115"/>
      <c r="RQ77" s="115"/>
      <c r="RR77" s="115"/>
      <c r="RS77" s="115"/>
      <c r="RT77" s="115"/>
      <c r="RU77" s="115"/>
      <c r="RV77" s="115"/>
      <c r="RW77" s="115"/>
      <c r="RX77" s="115"/>
      <c r="RY77" s="115"/>
      <c r="RZ77" s="115"/>
      <c r="SA77" s="115"/>
      <c r="SB77" s="115"/>
      <c r="SC77" s="115"/>
      <c r="SD77" s="115"/>
      <c r="SE77" s="115"/>
      <c r="SF77" s="115"/>
      <c r="SG77" s="115"/>
      <c r="SH77" s="115"/>
      <c r="SI77" s="115"/>
      <c r="SJ77" s="115"/>
      <c r="SK77" s="115"/>
      <c r="SL77" s="115"/>
      <c r="SM77" s="115"/>
      <c r="SN77" s="115"/>
      <c r="SO77" s="115"/>
      <c r="SP77" s="115"/>
      <c r="SQ77" s="115"/>
      <c r="SR77" s="115"/>
      <c r="SS77" s="115"/>
      <c r="ST77" s="115"/>
      <c r="SU77" s="115"/>
      <c r="SV77" s="115"/>
      <c r="SW77" s="115"/>
      <c r="SX77" s="115"/>
      <c r="SY77" s="115"/>
      <c r="SZ77" s="115"/>
      <c r="TA77" s="115"/>
      <c r="TB77" s="115"/>
      <c r="TC77" s="115"/>
      <c r="TD77" s="115"/>
      <c r="TE77" s="115"/>
      <c r="TF77" s="115"/>
      <c r="TG77" s="115"/>
      <c r="TH77" s="115"/>
      <c r="TI77" s="115"/>
      <c r="TJ77" s="115"/>
      <c r="TK77" s="115"/>
      <c r="TL77" s="115"/>
      <c r="TM77" s="115"/>
      <c r="TN77" s="115"/>
      <c r="TO77" s="115"/>
      <c r="TP77" s="115"/>
      <c r="TQ77" s="115"/>
      <c r="TR77" s="115"/>
      <c r="TS77" s="115"/>
      <c r="TT77" s="115"/>
      <c r="TU77" s="115"/>
      <c r="TV77" s="115"/>
      <c r="TW77" s="115"/>
      <c r="TX77" s="115"/>
      <c r="TY77" s="115"/>
      <c r="TZ77" s="115"/>
      <c r="UA77" s="115"/>
      <c r="UB77" s="115"/>
      <c r="UC77" s="115"/>
      <c r="UD77" s="115"/>
      <c r="UE77" s="115"/>
      <c r="UF77" s="115"/>
      <c r="UG77" s="115"/>
      <c r="UH77" s="115"/>
      <c r="UI77" s="115"/>
      <c r="UJ77" s="115"/>
      <c r="UK77" s="115"/>
      <c r="UL77" s="115"/>
      <c r="UM77" s="115"/>
      <c r="UN77" s="115"/>
      <c r="UO77" s="115"/>
      <c r="UP77" s="115"/>
      <c r="UQ77" s="115"/>
      <c r="UR77" s="115"/>
      <c r="US77" s="115"/>
      <c r="UT77" s="115"/>
      <c r="UU77" s="115"/>
      <c r="UV77" s="115"/>
      <c r="UW77" s="115"/>
      <c r="UX77" s="115"/>
      <c r="UY77" s="115"/>
      <c r="UZ77" s="115"/>
      <c r="VA77" s="115"/>
      <c r="VB77" s="115"/>
      <c r="VC77" s="115"/>
      <c r="VD77" s="115"/>
      <c r="VE77" s="115"/>
      <c r="VF77" s="115"/>
      <c r="VG77" s="115"/>
      <c r="VH77" s="115"/>
      <c r="VI77" s="115"/>
      <c r="VJ77" s="115"/>
      <c r="VK77" s="115"/>
      <c r="VL77" s="115"/>
      <c r="VM77" s="115"/>
      <c r="VN77" s="115"/>
      <c r="VO77" s="115"/>
      <c r="VP77" s="115"/>
      <c r="VQ77" s="115"/>
      <c r="VR77" s="115"/>
      <c r="VS77" s="115"/>
      <c r="VT77" s="115"/>
      <c r="VU77" s="115"/>
      <c r="VV77" s="115"/>
      <c r="VW77" s="115"/>
      <c r="VX77" s="115"/>
      <c r="VY77" s="115"/>
      <c r="VZ77" s="115"/>
      <c r="WA77" s="115"/>
      <c r="WB77" s="115"/>
      <c r="WC77" s="115"/>
      <c r="WD77" s="115"/>
      <c r="WE77" s="115"/>
      <c r="WF77" s="115"/>
      <c r="WG77" s="115"/>
      <c r="WH77" s="115"/>
      <c r="WI77" s="115"/>
      <c r="WJ77" s="115"/>
      <c r="WK77" s="115"/>
      <c r="WL77" s="115"/>
      <c r="WM77" s="115"/>
      <c r="WN77" s="115"/>
      <c r="WO77" s="115"/>
      <c r="WP77" s="115"/>
      <c r="WQ77" s="115"/>
      <c r="WR77" s="115"/>
      <c r="WS77" s="115"/>
      <c r="WT77" s="115"/>
      <c r="WU77" s="115"/>
      <c r="WV77" s="115"/>
      <c r="WW77" s="115"/>
      <c r="WX77" s="115"/>
      <c r="WY77" s="115"/>
      <c r="WZ77" s="115"/>
      <c r="XA77" s="115"/>
      <c r="XB77" s="115"/>
      <c r="XC77" s="115"/>
      <c r="XD77" s="115"/>
      <c r="XE77" s="115"/>
      <c r="XF77" s="115"/>
      <c r="XG77" s="115"/>
      <c r="XH77" s="115"/>
      <c r="XI77" s="115"/>
      <c r="XJ77" s="115"/>
      <c r="XK77" s="115"/>
      <c r="XL77" s="115"/>
      <c r="XM77" s="115"/>
      <c r="XN77" s="115"/>
      <c r="XO77" s="115"/>
      <c r="XP77" s="115"/>
      <c r="XQ77" s="115"/>
      <c r="XR77" s="115"/>
      <c r="XS77" s="115"/>
      <c r="XT77" s="115"/>
      <c r="XU77" s="115"/>
      <c r="XV77" s="115"/>
      <c r="XW77" s="115"/>
      <c r="XX77" s="115"/>
      <c r="XY77" s="115"/>
      <c r="XZ77" s="115"/>
      <c r="YA77" s="115"/>
      <c r="YB77" s="115"/>
      <c r="YC77" s="115"/>
      <c r="YD77" s="115"/>
      <c r="YE77" s="115"/>
      <c r="YF77" s="115"/>
      <c r="YG77" s="115"/>
      <c r="YH77" s="115"/>
      <c r="YI77" s="115"/>
      <c r="YJ77" s="115"/>
      <c r="YK77" s="115"/>
      <c r="YL77" s="115"/>
      <c r="YM77" s="115"/>
      <c r="YN77" s="115"/>
      <c r="YO77" s="115"/>
      <c r="YP77" s="115"/>
      <c r="YQ77" s="115"/>
      <c r="YX77" s="22">
        <v>180</v>
      </c>
      <c r="YY77" s="22">
        <f>VLOOKUP(B77,'SCAFFOLDING MATERIAL OVERALL'!B79:S261,18,FALSE)</f>
        <v>0.45</v>
      </c>
      <c r="YZ77" s="22">
        <f t="shared" si="1"/>
        <v>81</v>
      </c>
    </row>
    <row r="78" spans="1:676" s="22" customFormat="1" x14ac:dyDescent="0.25">
      <c r="A78" s="17">
        <v>74</v>
      </c>
      <c r="B78" s="15">
        <v>3000000301</v>
      </c>
      <c r="C78" s="16" t="s">
        <v>86</v>
      </c>
      <c r="D78" s="44" t="s">
        <v>12</v>
      </c>
      <c r="OZ78" s="115"/>
      <c r="PA78" s="115"/>
      <c r="PB78" s="115"/>
      <c r="PC78" s="115"/>
      <c r="PD78" s="115"/>
      <c r="PE78" s="115"/>
      <c r="PF78" s="115"/>
      <c r="PG78" s="115"/>
      <c r="PH78" s="115"/>
      <c r="PI78" s="115"/>
      <c r="PJ78" s="115"/>
      <c r="PK78" s="115"/>
      <c r="PL78" s="115"/>
      <c r="PM78" s="115"/>
      <c r="PN78" s="115"/>
      <c r="PO78" s="115"/>
      <c r="PP78" s="115"/>
      <c r="PQ78" s="115"/>
      <c r="PR78" s="115"/>
      <c r="PS78" s="115"/>
      <c r="PT78" s="115"/>
      <c r="PU78" s="115"/>
      <c r="PV78" s="115"/>
      <c r="PW78" s="115"/>
      <c r="PX78" s="115"/>
      <c r="PY78" s="115"/>
      <c r="PZ78" s="115"/>
      <c r="QA78" s="115"/>
      <c r="QB78" s="115"/>
      <c r="QC78" s="115"/>
      <c r="QD78" s="115"/>
      <c r="QE78" s="115"/>
      <c r="QF78" s="115"/>
      <c r="QG78" s="115"/>
      <c r="QH78" s="115"/>
      <c r="QI78" s="115"/>
      <c r="QJ78" s="115"/>
      <c r="QK78" s="115"/>
      <c r="QL78" s="115"/>
      <c r="QM78" s="115"/>
      <c r="QN78" s="115"/>
      <c r="QO78" s="115"/>
      <c r="QP78" s="115"/>
      <c r="QQ78" s="115"/>
      <c r="QR78" s="115"/>
      <c r="QS78" s="115"/>
      <c r="QT78" s="115"/>
      <c r="QU78" s="115"/>
      <c r="QV78" s="115"/>
      <c r="QW78" s="115"/>
      <c r="QX78" s="115"/>
      <c r="QY78" s="115"/>
      <c r="QZ78" s="115"/>
      <c r="RA78" s="115"/>
      <c r="RB78" s="115"/>
      <c r="RC78" s="115"/>
      <c r="RD78" s="115"/>
      <c r="RE78" s="115"/>
      <c r="RF78" s="115"/>
      <c r="RG78" s="115"/>
      <c r="RH78" s="115"/>
      <c r="RI78" s="115"/>
      <c r="RJ78" s="115"/>
      <c r="RK78" s="115"/>
      <c r="RL78" s="115"/>
      <c r="RM78" s="115"/>
      <c r="RN78" s="115"/>
      <c r="RO78" s="115"/>
      <c r="RP78" s="115"/>
      <c r="RQ78" s="115"/>
      <c r="RR78" s="115"/>
      <c r="RS78" s="115"/>
      <c r="RT78" s="115"/>
      <c r="RU78" s="115"/>
      <c r="RV78" s="115"/>
      <c r="RW78" s="115"/>
      <c r="RX78" s="115"/>
      <c r="RY78" s="115"/>
      <c r="RZ78" s="115"/>
      <c r="SA78" s="115"/>
      <c r="SB78" s="115"/>
      <c r="SC78" s="115"/>
      <c r="SD78" s="115"/>
      <c r="SE78" s="115"/>
      <c r="SF78" s="115"/>
      <c r="SG78" s="115"/>
      <c r="SH78" s="115"/>
      <c r="SI78" s="115"/>
      <c r="SJ78" s="115"/>
      <c r="SK78" s="115"/>
      <c r="SL78" s="115"/>
      <c r="SM78" s="115"/>
      <c r="SN78" s="115"/>
      <c r="SO78" s="115"/>
      <c r="SP78" s="115"/>
      <c r="SQ78" s="115"/>
      <c r="SR78" s="115"/>
      <c r="SS78" s="115"/>
      <c r="ST78" s="115"/>
      <c r="SU78" s="115"/>
      <c r="SV78" s="115"/>
      <c r="SW78" s="115"/>
      <c r="SX78" s="115"/>
      <c r="SY78" s="115"/>
      <c r="SZ78" s="115"/>
      <c r="TA78" s="115"/>
      <c r="TB78" s="115"/>
      <c r="TC78" s="115"/>
      <c r="TD78" s="115"/>
      <c r="TE78" s="115"/>
      <c r="TF78" s="115"/>
      <c r="TG78" s="115"/>
      <c r="TH78" s="115"/>
      <c r="TI78" s="115"/>
      <c r="TJ78" s="115"/>
      <c r="TK78" s="115"/>
      <c r="TL78" s="115"/>
      <c r="TM78" s="115"/>
      <c r="TN78" s="115"/>
      <c r="TO78" s="115"/>
      <c r="TP78" s="115"/>
      <c r="TQ78" s="115"/>
      <c r="TR78" s="115"/>
      <c r="TS78" s="115"/>
      <c r="TT78" s="115"/>
      <c r="TU78" s="115"/>
      <c r="TV78" s="115"/>
      <c r="TW78" s="115"/>
      <c r="TX78" s="115"/>
      <c r="TY78" s="115"/>
      <c r="TZ78" s="115"/>
      <c r="UA78" s="115"/>
      <c r="UB78" s="115"/>
      <c r="UC78" s="115"/>
      <c r="UD78" s="115"/>
      <c r="UE78" s="115"/>
      <c r="UF78" s="115"/>
      <c r="UG78" s="115"/>
      <c r="UH78" s="115"/>
      <c r="UI78" s="115"/>
      <c r="UJ78" s="115"/>
      <c r="UK78" s="115"/>
      <c r="UL78" s="115"/>
      <c r="UM78" s="115"/>
      <c r="UN78" s="115"/>
      <c r="UO78" s="115"/>
      <c r="UP78" s="115"/>
      <c r="UQ78" s="115"/>
      <c r="UR78" s="115"/>
      <c r="US78" s="115"/>
      <c r="UT78" s="115"/>
      <c r="UU78" s="115"/>
      <c r="UV78" s="115"/>
      <c r="UW78" s="115"/>
      <c r="UX78" s="115"/>
      <c r="UY78" s="115"/>
      <c r="UZ78" s="115"/>
      <c r="VA78" s="115"/>
      <c r="VB78" s="115"/>
      <c r="VC78" s="115"/>
      <c r="VD78" s="115"/>
      <c r="VE78" s="115"/>
      <c r="VF78" s="115"/>
      <c r="VG78" s="115"/>
      <c r="VH78" s="115"/>
      <c r="VI78" s="115"/>
      <c r="VJ78" s="115"/>
      <c r="VK78" s="115"/>
      <c r="VL78" s="115"/>
      <c r="VM78" s="115"/>
      <c r="VN78" s="115"/>
      <c r="VO78" s="115"/>
      <c r="VP78" s="115"/>
      <c r="VQ78" s="115"/>
      <c r="VR78" s="115"/>
      <c r="VS78" s="115"/>
      <c r="VT78" s="115"/>
      <c r="VU78" s="115"/>
      <c r="VV78" s="115"/>
      <c r="VW78" s="115"/>
      <c r="VX78" s="115"/>
      <c r="VY78" s="115"/>
      <c r="VZ78" s="115"/>
      <c r="WA78" s="115"/>
      <c r="WB78" s="115"/>
      <c r="WC78" s="115"/>
      <c r="WD78" s="115"/>
      <c r="WE78" s="115"/>
      <c r="WF78" s="115"/>
      <c r="WG78" s="115"/>
      <c r="WH78" s="115"/>
      <c r="WI78" s="115"/>
      <c r="WJ78" s="115"/>
      <c r="WK78" s="115"/>
      <c r="WL78" s="115"/>
      <c r="WM78" s="115"/>
      <c r="WN78" s="115"/>
      <c r="WO78" s="115"/>
      <c r="WP78" s="115"/>
      <c r="WQ78" s="115"/>
      <c r="WR78" s="115"/>
      <c r="WS78" s="115"/>
      <c r="WT78" s="115"/>
      <c r="WU78" s="115"/>
      <c r="WV78" s="115"/>
      <c r="WW78" s="115"/>
      <c r="WX78" s="115"/>
      <c r="WY78" s="115"/>
      <c r="WZ78" s="115"/>
      <c r="XA78" s="115"/>
      <c r="XB78" s="115"/>
      <c r="XC78" s="115"/>
      <c r="XD78" s="115"/>
      <c r="XE78" s="115"/>
      <c r="XF78" s="115"/>
      <c r="XG78" s="115"/>
      <c r="XH78" s="115"/>
      <c r="XI78" s="115"/>
      <c r="XJ78" s="115"/>
      <c r="XK78" s="115"/>
      <c r="XL78" s="115"/>
      <c r="XM78" s="115"/>
      <c r="XN78" s="115"/>
      <c r="XO78" s="115"/>
      <c r="XP78" s="115"/>
      <c r="XQ78" s="115"/>
      <c r="XR78" s="115"/>
      <c r="XS78" s="115"/>
      <c r="XT78" s="115"/>
      <c r="XU78" s="115"/>
      <c r="XV78" s="115"/>
      <c r="XW78" s="115"/>
      <c r="XX78" s="115"/>
      <c r="XY78" s="115"/>
      <c r="XZ78" s="115"/>
      <c r="YA78" s="115"/>
      <c r="YB78" s="115"/>
      <c r="YC78" s="115"/>
      <c r="YD78" s="115"/>
      <c r="YE78" s="115"/>
      <c r="YF78" s="115"/>
      <c r="YG78" s="115"/>
      <c r="YH78" s="115"/>
      <c r="YI78" s="115"/>
      <c r="YJ78" s="115"/>
      <c r="YK78" s="115"/>
      <c r="YL78" s="115"/>
      <c r="YM78" s="115"/>
      <c r="YN78" s="115"/>
      <c r="YO78" s="115"/>
      <c r="YP78" s="115"/>
      <c r="YQ78" s="115"/>
      <c r="YX78" s="22">
        <v>0</v>
      </c>
      <c r="YY78" s="22">
        <f>VLOOKUP(B78,'SCAFFOLDING MATERIAL OVERALL'!B80:S262,18,FALSE)</f>
        <v>2.2650000000000001</v>
      </c>
      <c r="YZ78" s="22">
        <f t="shared" si="1"/>
        <v>0</v>
      </c>
    </row>
    <row r="79" spans="1:676" s="22" customFormat="1" x14ac:dyDescent="0.25">
      <c r="A79" s="14">
        <v>75</v>
      </c>
      <c r="B79" s="15">
        <v>3000000302</v>
      </c>
      <c r="C79" s="16" t="s">
        <v>87</v>
      </c>
      <c r="D79" s="44" t="s">
        <v>12</v>
      </c>
      <c r="KZ79" s="22">
        <v>61</v>
      </c>
      <c r="MM79" s="22">
        <v>630</v>
      </c>
      <c r="MO79" s="22">
        <v>28</v>
      </c>
      <c r="OZ79" s="115"/>
      <c r="PA79" s="115"/>
      <c r="PB79" s="115"/>
      <c r="PC79" s="115"/>
      <c r="PD79" s="115"/>
      <c r="PE79" s="115"/>
      <c r="PF79" s="115"/>
      <c r="PG79" s="115"/>
      <c r="PH79" s="115"/>
      <c r="PI79" s="115"/>
      <c r="PJ79" s="115"/>
      <c r="PK79" s="115"/>
      <c r="PL79" s="115"/>
      <c r="PM79" s="115"/>
      <c r="PN79" s="115"/>
      <c r="PO79" s="115"/>
      <c r="PP79" s="115"/>
      <c r="PQ79" s="115"/>
      <c r="PR79" s="115"/>
      <c r="PS79" s="115"/>
      <c r="PT79" s="115"/>
      <c r="PU79" s="115"/>
      <c r="PV79" s="115"/>
      <c r="PW79" s="115"/>
      <c r="PX79" s="115"/>
      <c r="PY79" s="115"/>
      <c r="PZ79" s="115"/>
      <c r="QA79" s="115"/>
      <c r="QB79" s="115"/>
      <c r="QC79" s="115"/>
      <c r="QD79" s="115"/>
      <c r="QE79" s="115"/>
      <c r="QF79" s="115"/>
      <c r="QG79" s="115"/>
      <c r="QH79" s="115"/>
      <c r="QI79" s="115"/>
      <c r="QJ79" s="115"/>
      <c r="QK79" s="115"/>
      <c r="QL79" s="115"/>
      <c r="QM79" s="115"/>
      <c r="QN79" s="115"/>
      <c r="QO79" s="115"/>
      <c r="QP79" s="115"/>
      <c r="QQ79" s="115"/>
      <c r="QR79" s="115"/>
      <c r="QS79" s="115"/>
      <c r="QT79" s="115"/>
      <c r="QU79" s="115"/>
      <c r="QV79" s="115"/>
      <c r="QW79" s="115"/>
      <c r="QX79" s="115"/>
      <c r="QY79" s="115"/>
      <c r="QZ79" s="115"/>
      <c r="RA79" s="115"/>
      <c r="RB79" s="115"/>
      <c r="RC79" s="115"/>
      <c r="RD79" s="115"/>
      <c r="RE79" s="115"/>
      <c r="RF79" s="115"/>
      <c r="RG79" s="115"/>
      <c r="RH79" s="115"/>
      <c r="RI79" s="115"/>
      <c r="RJ79" s="115"/>
      <c r="RK79" s="115"/>
      <c r="RL79" s="115"/>
      <c r="RM79" s="115"/>
      <c r="RN79" s="115"/>
      <c r="RO79" s="115"/>
      <c r="RP79" s="115"/>
      <c r="RQ79" s="115"/>
      <c r="RR79" s="115"/>
      <c r="RS79" s="115"/>
      <c r="RT79" s="115"/>
      <c r="RU79" s="115"/>
      <c r="RV79" s="115"/>
      <c r="RW79" s="115"/>
      <c r="RX79" s="115"/>
      <c r="RY79" s="115"/>
      <c r="RZ79" s="115"/>
      <c r="SA79" s="115"/>
      <c r="SB79" s="115"/>
      <c r="SC79" s="115"/>
      <c r="SD79" s="115"/>
      <c r="SE79" s="115"/>
      <c r="SF79" s="115"/>
      <c r="SG79" s="115"/>
      <c r="SH79" s="115"/>
      <c r="SI79" s="115"/>
      <c r="SJ79" s="115"/>
      <c r="SK79" s="115"/>
      <c r="SL79" s="115"/>
      <c r="SM79" s="115"/>
      <c r="SN79" s="115"/>
      <c r="SO79" s="115"/>
      <c r="SP79" s="115"/>
      <c r="SQ79" s="115"/>
      <c r="SR79" s="115"/>
      <c r="SS79" s="115"/>
      <c r="ST79" s="115"/>
      <c r="SU79" s="115"/>
      <c r="SV79" s="115"/>
      <c r="SW79" s="115"/>
      <c r="SX79" s="115"/>
      <c r="SY79" s="115"/>
      <c r="SZ79" s="115"/>
      <c r="TA79" s="115"/>
      <c r="TB79" s="115">
        <v>222</v>
      </c>
      <c r="TC79" s="115"/>
      <c r="TD79" s="115"/>
      <c r="TE79" s="115"/>
      <c r="TF79" s="115"/>
      <c r="TG79" s="115"/>
      <c r="TH79" s="115">
        <v>107</v>
      </c>
      <c r="TI79" s="115"/>
      <c r="TJ79" s="115"/>
      <c r="TK79" s="115"/>
      <c r="TL79" s="115">
        <v>100</v>
      </c>
      <c r="TM79" s="115">
        <v>348</v>
      </c>
      <c r="TN79" s="115"/>
      <c r="TO79" s="115"/>
      <c r="TP79" s="115"/>
      <c r="TQ79" s="115"/>
      <c r="TR79" s="115"/>
      <c r="TS79" s="115"/>
      <c r="TT79" s="115"/>
      <c r="TU79" s="115"/>
      <c r="TV79" s="115"/>
      <c r="TW79" s="115"/>
      <c r="TX79" s="115"/>
      <c r="TY79" s="115"/>
      <c r="TZ79" s="115"/>
      <c r="UA79" s="115"/>
      <c r="UB79" s="115"/>
      <c r="UC79" s="115"/>
      <c r="UD79" s="115"/>
      <c r="UE79" s="115"/>
      <c r="UF79" s="115"/>
      <c r="UG79" s="115"/>
      <c r="UH79" s="115"/>
      <c r="UI79" s="115"/>
      <c r="UJ79" s="115"/>
      <c r="UK79" s="115"/>
      <c r="UL79" s="115"/>
      <c r="UM79" s="115"/>
      <c r="UN79" s="115"/>
      <c r="UO79" s="115"/>
      <c r="UP79" s="115"/>
      <c r="UQ79" s="115"/>
      <c r="UR79" s="115"/>
      <c r="US79" s="115"/>
      <c r="UT79" s="115"/>
      <c r="UU79" s="115"/>
      <c r="UV79" s="115"/>
      <c r="UW79" s="115"/>
      <c r="UX79" s="115"/>
      <c r="UY79" s="115"/>
      <c r="UZ79" s="115"/>
      <c r="VA79" s="115"/>
      <c r="VB79" s="115"/>
      <c r="VC79" s="115"/>
      <c r="VD79" s="115"/>
      <c r="VE79" s="115"/>
      <c r="VF79" s="115"/>
      <c r="VG79" s="115"/>
      <c r="VH79" s="115"/>
      <c r="VI79" s="115"/>
      <c r="VJ79" s="115"/>
      <c r="VK79" s="115"/>
      <c r="VL79" s="115"/>
      <c r="VM79" s="115"/>
      <c r="VN79" s="115"/>
      <c r="VO79" s="115"/>
      <c r="VP79" s="115"/>
      <c r="VQ79" s="115"/>
      <c r="VR79" s="115"/>
      <c r="VS79" s="115"/>
      <c r="VT79" s="115"/>
      <c r="VU79" s="115"/>
      <c r="VV79" s="115"/>
      <c r="VW79" s="115"/>
      <c r="VX79" s="115"/>
      <c r="VY79" s="115"/>
      <c r="VZ79" s="115"/>
      <c r="WA79" s="115"/>
      <c r="WB79" s="115"/>
      <c r="WC79" s="115"/>
      <c r="WD79" s="115"/>
      <c r="WE79" s="115"/>
      <c r="WF79" s="115"/>
      <c r="WG79" s="115"/>
      <c r="WH79" s="115"/>
      <c r="WI79" s="115"/>
      <c r="WJ79" s="115"/>
      <c r="WK79" s="115"/>
      <c r="WL79" s="115"/>
      <c r="WM79" s="115"/>
      <c r="WN79" s="115"/>
      <c r="WO79" s="115"/>
      <c r="WP79" s="115"/>
      <c r="WQ79" s="115"/>
      <c r="WR79" s="115"/>
      <c r="WS79" s="115"/>
      <c r="WT79" s="115"/>
      <c r="WU79" s="115"/>
      <c r="WV79" s="115"/>
      <c r="WW79" s="115"/>
      <c r="WX79" s="115"/>
      <c r="WY79" s="115"/>
      <c r="WZ79" s="115"/>
      <c r="XA79" s="115"/>
      <c r="XB79" s="115"/>
      <c r="XC79" s="115"/>
      <c r="XD79" s="115"/>
      <c r="XE79" s="115"/>
      <c r="XF79" s="115"/>
      <c r="XG79" s="115"/>
      <c r="XH79" s="115"/>
      <c r="XI79" s="115"/>
      <c r="XJ79" s="115"/>
      <c r="XK79" s="115"/>
      <c r="XL79" s="115"/>
      <c r="XM79" s="115"/>
      <c r="XN79" s="115"/>
      <c r="XO79" s="115"/>
      <c r="XP79" s="115"/>
      <c r="XQ79" s="115"/>
      <c r="XR79" s="115"/>
      <c r="XS79" s="115"/>
      <c r="XT79" s="115"/>
      <c r="XU79" s="115"/>
      <c r="XV79" s="115"/>
      <c r="XW79" s="115"/>
      <c r="XX79" s="115"/>
      <c r="XY79" s="115"/>
      <c r="XZ79" s="115"/>
      <c r="YA79" s="115"/>
      <c r="YB79" s="115"/>
      <c r="YC79" s="115"/>
      <c r="YD79" s="115"/>
      <c r="YE79" s="115"/>
      <c r="YF79" s="115"/>
      <c r="YG79" s="115"/>
      <c r="YH79" s="115"/>
      <c r="YI79" s="115"/>
      <c r="YJ79" s="115"/>
      <c r="YK79" s="115"/>
      <c r="YL79" s="115"/>
      <c r="YM79" s="115"/>
      <c r="YN79" s="115"/>
      <c r="YO79" s="115"/>
      <c r="YP79" s="115"/>
      <c r="YQ79" s="115"/>
      <c r="YX79" s="22">
        <v>1496</v>
      </c>
      <c r="YY79" s="22">
        <f>VLOOKUP(B79,'SCAFFOLDING MATERIAL OVERALL'!B81:S263,18,FALSE)</f>
        <v>2.88</v>
      </c>
      <c r="YZ79" s="22">
        <f t="shared" si="1"/>
        <v>4308.4799999999996</v>
      </c>
    </row>
    <row r="80" spans="1:676" s="22" customFormat="1" x14ac:dyDescent="0.25">
      <c r="A80" s="14">
        <v>76</v>
      </c>
      <c r="B80" s="15">
        <v>3000000303</v>
      </c>
      <c r="C80" s="16" t="s">
        <v>88</v>
      </c>
      <c r="D80" s="44" t="s">
        <v>12</v>
      </c>
      <c r="BJ80" s="22">
        <v>8</v>
      </c>
      <c r="CC80" s="22">
        <v>63</v>
      </c>
      <c r="KZ80" s="22">
        <v>95</v>
      </c>
      <c r="MN80" s="22">
        <v>203</v>
      </c>
      <c r="MO80" s="22">
        <v>30</v>
      </c>
      <c r="OZ80" s="115"/>
      <c r="PA80" s="115"/>
      <c r="PB80" s="115"/>
      <c r="PC80" s="115"/>
      <c r="PD80" s="115"/>
      <c r="PE80" s="115"/>
      <c r="PF80" s="115"/>
      <c r="PG80" s="115"/>
      <c r="PH80" s="115"/>
      <c r="PI80" s="115"/>
      <c r="PJ80" s="115"/>
      <c r="PK80" s="115"/>
      <c r="PL80" s="115"/>
      <c r="PM80" s="115"/>
      <c r="PN80" s="115"/>
      <c r="PO80" s="115"/>
      <c r="PP80" s="115"/>
      <c r="PQ80" s="115"/>
      <c r="PR80" s="115"/>
      <c r="PS80" s="115"/>
      <c r="PT80" s="115"/>
      <c r="PU80" s="115"/>
      <c r="PV80" s="115"/>
      <c r="PW80" s="115"/>
      <c r="PX80" s="115"/>
      <c r="PY80" s="115"/>
      <c r="PZ80" s="115"/>
      <c r="QA80" s="115"/>
      <c r="QB80" s="115"/>
      <c r="QC80" s="115"/>
      <c r="QD80" s="115"/>
      <c r="QE80" s="115"/>
      <c r="QF80" s="115"/>
      <c r="QG80" s="115"/>
      <c r="QH80" s="115"/>
      <c r="QI80" s="115"/>
      <c r="QJ80" s="115"/>
      <c r="QK80" s="115"/>
      <c r="QL80" s="115"/>
      <c r="QM80" s="115"/>
      <c r="QN80" s="115"/>
      <c r="QO80" s="115"/>
      <c r="QP80" s="115"/>
      <c r="QQ80" s="115"/>
      <c r="QR80" s="115"/>
      <c r="QS80" s="115"/>
      <c r="QT80" s="115"/>
      <c r="QU80" s="115"/>
      <c r="QV80" s="115"/>
      <c r="QW80" s="115"/>
      <c r="QX80" s="115"/>
      <c r="QY80" s="115"/>
      <c r="QZ80" s="115"/>
      <c r="RA80" s="115"/>
      <c r="RB80" s="115"/>
      <c r="RC80" s="115"/>
      <c r="RD80" s="115"/>
      <c r="RE80" s="115"/>
      <c r="RF80" s="115"/>
      <c r="RG80" s="115"/>
      <c r="RH80" s="115"/>
      <c r="RI80" s="115"/>
      <c r="RJ80" s="115"/>
      <c r="RK80" s="115"/>
      <c r="RL80" s="115"/>
      <c r="RM80" s="115"/>
      <c r="RN80" s="115"/>
      <c r="RO80" s="115"/>
      <c r="RP80" s="115"/>
      <c r="RQ80" s="115"/>
      <c r="RR80" s="115"/>
      <c r="RS80" s="115"/>
      <c r="RT80" s="115"/>
      <c r="RU80" s="115"/>
      <c r="RV80" s="115"/>
      <c r="RW80" s="115"/>
      <c r="RX80" s="115"/>
      <c r="RY80" s="115"/>
      <c r="RZ80" s="115"/>
      <c r="SA80" s="115"/>
      <c r="SB80" s="115"/>
      <c r="SC80" s="115"/>
      <c r="SD80" s="115"/>
      <c r="SE80" s="115"/>
      <c r="SF80" s="115"/>
      <c r="SG80" s="115"/>
      <c r="SH80" s="115"/>
      <c r="SI80" s="115"/>
      <c r="SJ80" s="115"/>
      <c r="SK80" s="115"/>
      <c r="SL80" s="115"/>
      <c r="SM80" s="115"/>
      <c r="SN80" s="115"/>
      <c r="SO80" s="115"/>
      <c r="SP80" s="115"/>
      <c r="SQ80" s="115"/>
      <c r="SR80" s="115"/>
      <c r="SS80" s="115"/>
      <c r="ST80" s="115"/>
      <c r="SU80" s="115"/>
      <c r="SV80" s="115"/>
      <c r="SW80" s="115"/>
      <c r="SX80" s="115"/>
      <c r="SY80" s="115"/>
      <c r="SZ80" s="115"/>
      <c r="TA80" s="115"/>
      <c r="TB80" s="115">
        <v>600</v>
      </c>
      <c r="TC80" s="115">
        <v>714</v>
      </c>
      <c r="TD80" s="115"/>
      <c r="TE80" s="115"/>
      <c r="TF80" s="115"/>
      <c r="TG80" s="115"/>
      <c r="TH80" s="115">
        <v>293</v>
      </c>
      <c r="TI80" s="115"/>
      <c r="TJ80" s="115"/>
      <c r="TK80" s="115">
        <v>250</v>
      </c>
      <c r="TL80" s="115"/>
      <c r="TM80" s="115"/>
      <c r="TN80" s="115"/>
      <c r="TO80" s="115"/>
      <c r="TP80" s="115"/>
      <c r="TQ80" s="115"/>
      <c r="TR80" s="115"/>
      <c r="TS80" s="115"/>
      <c r="TT80" s="115"/>
      <c r="TU80" s="115"/>
      <c r="TV80" s="115"/>
      <c r="TW80" s="115"/>
      <c r="TX80" s="115"/>
      <c r="TY80" s="115"/>
      <c r="TZ80" s="115"/>
      <c r="UA80" s="115"/>
      <c r="UB80" s="115"/>
      <c r="UC80" s="115"/>
      <c r="UD80" s="115"/>
      <c r="UE80" s="115"/>
      <c r="UF80" s="115"/>
      <c r="UG80" s="115"/>
      <c r="UH80" s="115"/>
      <c r="UI80" s="115"/>
      <c r="UJ80" s="115"/>
      <c r="UK80" s="115"/>
      <c r="UL80" s="115"/>
      <c r="UM80" s="115"/>
      <c r="UN80" s="115"/>
      <c r="UO80" s="115"/>
      <c r="UP80" s="115"/>
      <c r="UQ80" s="115"/>
      <c r="UR80" s="115"/>
      <c r="US80" s="115"/>
      <c r="UT80" s="115"/>
      <c r="UU80" s="115"/>
      <c r="UV80" s="115"/>
      <c r="UW80" s="115"/>
      <c r="UX80" s="115"/>
      <c r="UY80" s="115"/>
      <c r="UZ80" s="115"/>
      <c r="VA80" s="115"/>
      <c r="VB80" s="115"/>
      <c r="VC80" s="115"/>
      <c r="VD80" s="115"/>
      <c r="VE80" s="115"/>
      <c r="VF80" s="115"/>
      <c r="VG80" s="115"/>
      <c r="VH80" s="115"/>
      <c r="VI80" s="115"/>
      <c r="VJ80" s="115"/>
      <c r="VK80" s="115"/>
      <c r="VL80" s="115"/>
      <c r="VM80" s="115"/>
      <c r="VN80" s="115"/>
      <c r="VO80" s="115"/>
      <c r="VP80" s="115"/>
      <c r="VQ80" s="115"/>
      <c r="VR80" s="115"/>
      <c r="VS80" s="115"/>
      <c r="VT80" s="115"/>
      <c r="VU80" s="115"/>
      <c r="VV80" s="115"/>
      <c r="VW80" s="115"/>
      <c r="VX80" s="115"/>
      <c r="VY80" s="115"/>
      <c r="VZ80" s="115"/>
      <c r="WA80" s="115"/>
      <c r="WB80" s="115"/>
      <c r="WC80" s="115"/>
      <c r="WD80" s="115"/>
      <c r="WE80" s="115"/>
      <c r="WF80" s="115"/>
      <c r="WG80" s="115"/>
      <c r="WH80" s="115"/>
      <c r="WI80" s="115"/>
      <c r="WJ80" s="115"/>
      <c r="WK80" s="115"/>
      <c r="WL80" s="115"/>
      <c r="WM80" s="115"/>
      <c r="WN80" s="115"/>
      <c r="WO80" s="115"/>
      <c r="WP80" s="115"/>
      <c r="WQ80" s="115"/>
      <c r="WR80" s="115"/>
      <c r="WS80" s="115"/>
      <c r="WT80" s="115"/>
      <c r="WU80" s="115"/>
      <c r="WV80" s="115"/>
      <c r="WW80" s="115"/>
      <c r="WX80" s="115"/>
      <c r="WY80" s="115"/>
      <c r="WZ80" s="115"/>
      <c r="XA80" s="115"/>
      <c r="XB80" s="115"/>
      <c r="XC80" s="115"/>
      <c r="XD80" s="115"/>
      <c r="XE80" s="115"/>
      <c r="XF80" s="115"/>
      <c r="XG80" s="115"/>
      <c r="XH80" s="115"/>
      <c r="XI80" s="115"/>
      <c r="XJ80" s="115"/>
      <c r="XK80" s="115"/>
      <c r="XL80" s="115"/>
      <c r="XM80" s="115"/>
      <c r="XN80" s="115"/>
      <c r="XO80" s="115"/>
      <c r="XP80" s="115"/>
      <c r="XQ80" s="115"/>
      <c r="XR80" s="115"/>
      <c r="XS80" s="115"/>
      <c r="XT80" s="115"/>
      <c r="XU80" s="115"/>
      <c r="XV80" s="115"/>
      <c r="XW80" s="115"/>
      <c r="XX80" s="115"/>
      <c r="XY80" s="115"/>
      <c r="XZ80" s="115"/>
      <c r="YA80" s="115"/>
      <c r="YB80" s="115"/>
      <c r="YC80" s="115"/>
      <c r="YD80" s="115"/>
      <c r="YE80" s="115"/>
      <c r="YF80" s="115"/>
      <c r="YG80" s="115"/>
      <c r="YH80" s="115"/>
      <c r="YI80" s="115"/>
      <c r="YJ80" s="115"/>
      <c r="YK80" s="115"/>
      <c r="YL80" s="115"/>
      <c r="YM80" s="115"/>
      <c r="YN80" s="115"/>
      <c r="YO80" s="115"/>
      <c r="YP80" s="115"/>
      <c r="YQ80" s="115"/>
      <c r="YX80" s="22">
        <v>2256</v>
      </c>
      <c r="YY80" s="22">
        <f>VLOOKUP(B80,'SCAFFOLDING MATERIAL OVERALL'!B82:S264,18,FALSE)</f>
        <v>3.35</v>
      </c>
      <c r="YZ80" s="22">
        <f t="shared" si="1"/>
        <v>7557.6</v>
      </c>
    </row>
    <row r="81" spans="1:676" s="22" customFormat="1" x14ac:dyDescent="0.25">
      <c r="A81" s="17">
        <v>77</v>
      </c>
      <c r="B81" s="15">
        <v>3000000304</v>
      </c>
      <c r="C81" s="16" t="s">
        <v>89</v>
      </c>
      <c r="D81" s="44" t="s">
        <v>12</v>
      </c>
      <c r="CC81" s="22">
        <v>4</v>
      </c>
      <c r="MJ81" s="22">
        <v>174</v>
      </c>
      <c r="MO81" s="22">
        <v>62</v>
      </c>
      <c r="OZ81" s="115"/>
      <c r="PA81" s="115"/>
      <c r="PB81" s="115"/>
      <c r="PC81" s="115"/>
      <c r="PD81" s="115"/>
      <c r="PE81" s="115"/>
      <c r="PF81" s="115"/>
      <c r="PG81" s="115"/>
      <c r="PH81" s="115"/>
      <c r="PI81" s="115"/>
      <c r="PJ81" s="115"/>
      <c r="PK81" s="115"/>
      <c r="PL81" s="115"/>
      <c r="PM81" s="115"/>
      <c r="PN81" s="115"/>
      <c r="PO81" s="115"/>
      <c r="PP81" s="115"/>
      <c r="PQ81" s="115"/>
      <c r="PR81" s="115"/>
      <c r="PS81" s="115"/>
      <c r="PT81" s="115"/>
      <c r="PU81" s="115"/>
      <c r="PV81" s="115"/>
      <c r="PW81" s="115"/>
      <c r="PX81" s="115"/>
      <c r="PY81" s="115"/>
      <c r="PZ81" s="115"/>
      <c r="QA81" s="115"/>
      <c r="QB81" s="115"/>
      <c r="QC81" s="115"/>
      <c r="QD81" s="115"/>
      <c r="QE81" s="115"/>
      <c r="QF81" s="115"/>
      <c r="QG81" s="115"/>
      <c r="QH81" s="115"/>
      <c r="QI81" s="115"/>
      <c r="QJ81" s="115"/>
      <c r="QK81" s="115"/>
      <c r="QL81" s="115"/>
      <c r="QM81" s="115"/>
      <c r="QN81" s="115"/>
      <c r="QO81" s="115"/>
      <c r="QP81" s="115"/>
      <c r="QQ81" s="115"/>
      <c r="QR81" s="115"/>
      <c r="QS81" s="115"/>
      <c r="QT81" s="115"/>
      <c r="QU81" s="115"/>
      <c r="QV81" s="115"/>
      <c r="QW81" s="115"/>
      <c r="QX81" s="115"/>
      <c r="QY81" s="115"/>
      <c r="QZ81" s="115"/>
      <c r="RA81" s="115"/>
      <c r="RB81" s="115"/>
      <c r="RC81" s="115"/>
      <c r="RD81" s="115"/>
      <c r="RE81" s="115"/>
      <c r="RF81" s="115"/>
      <c r="RG81" s="115"/>
      <c r="RH81" s="115"/>
      <c r="RI81" s="115"/>
      <c r="RJ81" s="115"/>
      <c r="RK81" s="115"/>
      <c r="RL81" s="115"/>
      <c r="RM81" s="115"/>
      <c r="RN81" s="115"/>
      <c r="RO81" s="115"/>
      <c r="RP81" s="115"/>
      <c r="RQ81" s="115"/>
      <c r="RR81" s="115"/>
      <c r="RS81" s="115"/>
      <c r="RT81" s="115"/>
      <c r="RU81" s="115"/>
      <c r="RV81" s="115"/>
      <c r="RW81" s="115"/>
      <c r="RX81" s="115"/>
      <c r="RY81" s="115"/>
      <c r="RZ81" s="115"/>
      <c r="SA81" s="115"/>
      <c r="SB81" s="115"/>
      <c r="SC81" s="115"/>
      <c r="SD81" s="115"/>
      <c r="SE81" s="115"/>
      <c r="SF81" s="115"/>
      <c r="SG81" s="115"/>
      <c r="SH81" s="115"/>
      <c r="SI81" s="115"/>
      <c r="SJ81" s="115"/>
      <c r="SK81" s="115"/>
      <c r="SL81" s="115"/>
      <c r="SM81" s="115"/>
      <c r="SN81" s="115"/>
      <c r="SO81" s="115"/>
      <c r="SP81" s="115"/>
      <c r="SQ81" s="115"/>
      <c r="SR81" s="115"/>
      <c r="SS81" s="115"/>
      <c r="ST81" s="115"/>
      <c r="SU81" s="115"/>
      <c r="SV81" s="115"/>
      <c r="SW81" s="115"/>
      <c r="SX81" s="115"/>
      <c r="SY81" s="115"/>
      <c r="SZ81" s="115"/>
      <c r="TA81" s="115"/>
      <c r="TB81" s="115">
        <v>200</v>
      </c>
      <c r="TC81" s="115"/>
      <c r="TD81" s="115"/>
      <c r="TE81" s="115"/>
      <c r="TF81" s="115"/>
      <c r="TG81" s="115"/>
      <c r="TH81" s="115"/>
      <c r="TI81" s="115"/>
      <c r="TJ81" s="115"/>
      <c r="TK81" s="115"/>
      <c r="TL81" s="115"/>
      <c r="TM81" s="115"/>
      <c r="TN81" s="115"/>
      <c r="TO81" s="115"/>
      <c r="TP81" s="115"/>
      <c r="TQ81" s="115"/>
      <c r="TR81" s="115"/>
      <c r="TS81" s="115"/>
      <c r="TT81" s="115"/>
      <c r="TU81" s="115"/>
      <c r="TV81" s="115"/>
      <c r="TW81" s="115"/>
      <c r="TX81" s="115"/>
      <c r="TY81" s="115"/>
      <c r="TZ81" s="115"/>
      <c r="UA81" s="115"/>
      <c r="UB81" s="115"/>
      <c r="UC81" s="115"/>
      <c r="UD81" s="115"/>
      <c r="UE81" s="115"/>
      <c r="UF81" s="115"/>
      <c r="UG81" s="115"/>
      <c r="UH81" s="115"/>
      <c r="UI81" s="115"/>
      <c r="UJ81" s="115"/>
      <c r="UK81" s="115"/>
      <c r="UL81" s="115"/>
      <c r="UM81" s="115"/>
      <c r="UN81" s="115"/>
      <c r="UO81" s="115"/>
      <c r="UP81" s="115"/>
      <c r="UQ81" s="115"/>
      <c r="UR81" s="115"/>
      <c r="US81" s="115"/>
      <c r="UT81" s="115"/>
      <c r="UU81" s="115"/>
      <c r="UV81" s="115"/>
      <c r="UW81" s="115"/>
      <c r="UX81" s="115"/>
      <c r="UY81" s="115"/>
      <c r="UZ81" s="115"/>
      <c r="VA81" s="115"/>
      <c r="VB81" s="115"/>
      <c r="VC81" s="115"/>
      <c r="VD81" s="115"/>
      <c r="VE81" s="115"/>
      <c r="VF81" s="115"/>
      <c r="VG81" s="115"/>
      <c r="VH81" s="115"/>
      <c r="VI81" s="115"/>
      <c r="VJ81" s="115"/>
      <c r="VK81" s="115"/>
      <c r="VL81" s="115"/>
      <c r="VM81" s="115"/>
      <c r="VN81" s="115"/>
      <c r="VO81" s="115"/>
      <c r="VP81" s="115"/>
      <c r="VQ81" s="115"/>
      <c r="VR81" s="115"/>
      <c r="VS81" s="115"/>
      <c r="VT81" s="115"/>
      <c r="VU81" s="115"/>
      <c r="VV81" s="115"/>
      <c r="VW81" s="115"/>
      <c r="VX81" s="115"/>
      <c r="VY81" s="115"/>
      <c r="VZ81" s="115"/>
      <c r="WA81" s="115"/>
      <c r="WB81" s="115"/>
      <c r="WC81" s="115"/>
      <c r="WD81" s="115"/>
      <c r="WE81" s="115"/>
      <c r="WF81" s="115"/>
      <c r="WG81" s="115"/>
      <c r="WH81" s="115"/>
      <c r="WI81" s="115"/>
      <c r="WJ81" s="115"/>
      <c r="WK81" s="115"/>
      <c r="WL81" s="115"/>
      <c r="WM81" s="115"/>
      <c r="WN81" s="115"/>
      <c r="WO81" s="115"/>
      <c r="WP81" s="115"/>
      <c r="WQ81" s="115"/>
      <c r="WR81" s="115"/>
      <c r="WS81" s="115"/>
      <c r="WT81" s="115"/>
      <c r="WU81" s="115"/>
      <c r="WV81" s="115"/>
      <c r="WW81" s="115"/>
      <c r="WX81" s="115"/>
      <c r="WY81" s="115"/>
      <c r="WZ81" s="115"/>
      <c r="XA81" s="115"/>
      <c r="XB81" s="115"/>
      <c r="XC81" s="115"/>
      <c r="XD81" s="115"/>
      <c r="XE81" s="115"/>
      <c r="XF81" s="115"/>
      <c r="XG81" s="115"/>
      <c r="XH81" s="115"/>
      <c r="XI81" s="115"/>
      <c r="XJ81" s="115"/>
      <c r="XK81" s="115"/>
      <c r="XL81" s="115"/>
      <c r="XM81" s="115"/>
      <c r="XN81" s="115"/>
      <c r="XO81" s="115"/>
      <c r="XP81" s="115"/>
      <c r="XQ81" s="115"/>
      <c r="XR81" s="115"/>
      <c r="XS81" s="115"/>
      <c r="XT81" s="115"/>
      <c r="XU81" s="115"/>
      <c r="XV81" s="115"/>
      <c r="XW81" s="115"/>
      <c r="XX81" s="115"/>
      <c r="XY81" s="115"/>
      <c r="XZ81" s="115"/>
      <c r="YA81" s="115"/>
      <c r="YB81" s="115"/>
      <c r="YC81" s="115"/>
      <c r="YD81" s="115"/>
      <c r="YE81" s="115"/>
      <c r="YF81" s="115"/>
      <c r="YG81" s="115"/>
      <c r="YH81" s="115"/>
      <c r="YI81" s="115"/>
      <c r="YJ81" s="115"/>
      <c r="YK81" s="115"/>
      <c r="YL81" s="115"/>
      <c r="YM81" s="115"/>
      <c r="YN81" s="115"/>
      <c r="YO81" s="115"/>
      <c r="YP81" s="115"/>
      <c r="YQ81" s="115"/>
      <c r="YX81" s="22">
        <v>440</v>
      </c>
      <c r="YY81" s="22">
        <f>VLOOKUP(B81,'SCAFFOLDING MATERIAL OVERALL'!B83:S265,18,FALSE)</f>
        <v>4.3849999999999998</v>
      </c>
      <c r="YZ81" s="22">
        <f t="shared" si="1"/>
        <v>1929.3999999999999</v>
      </c>
    </row>
    <row r="82" spans="1:676" s="22" customFormat="1" x14ac:dyDescent="0.25">
      <c r="A82" s="14">
        <v>78</v>
      </c>
      <c r="B82" s="15">
        <v>3000000305</v>
      </c>
      <c r="C82" s="16" t="s">
        <v>90</v>
      </c>
      <c r="D82" s="44" t="s">
        <v>12</v>
      </c>
      <c r="MO82" s="22">
        <v>119</v>
      </c>
      <c r="OZ82" s="115"/>
      <c r="PA82" s="115"/>
      <c r="PB82" s="115"/>
      <c r="PC82" s="115"/>
      <c r="PD82" s="115"/>
      <c r="PE82" s="115"/>
      <c r="PF82" s="115"/>
      <c r="PG82" s="115"/>
      <c r="PH82" s="115"/>
      <c r="PI82" s="115"/>
      <c r="PJ82" s="115"/>
      <c r="PK82" s="115"/>
      <c r="PL82" s="115"/>
      <c r="PM82" s="115"/>
      <c r="PN82" s="115"/>
      <c r="PO82" s="115"/>
      <c r="PP82" s="115"/>
      <c r="PQ82" s="115"/>
      <c r="PR82" s="115"/>
      <c r="PS82" s="115"/>
      <c r="PT82" s="115"/>
      <c r="PU82" s="115"/>
      <c r="PV82" s="115"/>
      <c r="PW82" s="115"/>
      <c r="PX82" s="115"/>
      <c r="PY82" s="115"/>
      <c r="PZ82" s="115"/>
      <c r="QA82" s="115"/>
      <c r="QB82" s="115"/>
      <c r="QC82" s="115"/>
      <c r="QD82" s="115"/>
      <c r="QE82" s="115"/>
      <c r="QF82" s="115"/>
      <c r="QG82" s="115"/>
      <c r="QH82" s="115"/>
      <c r="QI82" s="115"/>
      <c r="QJ82" s="115"/>
      <c r="QK82" s="115"/>
      <c r="QL82" s="115"/>
      <c r="QM82" s="115"/>
      <c r="QN82" s="115"/>
      <c r="QO82" s="115"/>
      <c r="QP82" s="115"/>
      <c r="QQ82" s="115"/>
      <c r="QR82" s="115"/>
      <c r="QS82" s="115"/>
      <c r="QT82" s="115"/>
      <c r="QU82" s="115"/>
      <c r="QV82" s="115"/>
      <c r="QW82" s="115"/>
      <c r="QX82" s="115"/>
      <c r="QY82" s="115"/>
      <c r="QZ82" s="115"/>
      <c r="RA82" s="115"/>
      <c r="RB82" s="115"/>
      <c r="RC82" s="115"/>
      <c r="RD82" s="115"/>
      <c r="RE82" s="115"/>
      <c r="RF82" s="115"/>
      <c r="RG82" s="115"/>
      <c r="RH82" s="115"/>
      <c r="RI82" s="115"/>
      <c r="RJ82" s="115"/>
      <c r="RK82" s="115"/>
      <c r="RL82" s="115"/>
      <c r="RM82" s="115"/>
      <c r="RN82" s="115"/>
      <c r="RO82" s="115"/>
      <c r="RP82" s="115"/>
      <c r="RQ82" s="115"/>
      <c r="RR82" s="115"/>
      <c r="RS82" s="115"/>
      <c r="RT82" s="115"/>
      <c r="RU82" s="115"/>
      <c r="RV82" s="115"/>
      <c r="RW82" s="115"/>
      <c r="RX82" s="115"/>
      <c r="RY82" s="115"/>
      <c r="RZ82" s="115"/>
      <c r="SA82" s="115"/>
      <c r="SB82" s="115"/>
      <c r="SC82" s="115"/>
      <c r="SD82" s="115"/>
      <c r="SE82" s="115"/>
      <c r="SF82" s="115"/>
      <c r="SG82" s="115"/>
      <c r="SH82" s="115"/>
      <c r="SI82" s="115"/>
      <c r="SJ82" s="115"/>
      <c r="SK82" s="115"/>
      <c r="SL82" s="115"/>
      <c r="SM82" s="115"/>
      <c r="SN82" s="115"/>
      <c r="SO82" s="115"/>
      <c r="SP82" s="115"/>
      <c r="SQ82" s="115"/>
      <c r="SR82" s="115"/>
      <c r="SS82" s="115"/>
      <c r="ST82" s="115"/>
      <c r="SU82" s="115"/>
      <c r="SV82" s="115"/>
      <c r="SW82" s="115"/>
      <c r="SX82" s="115"/>
      <c r="SY82" s="115"/>
      <c r="SZ82" s="115"/>
      <c r="TA82" s="115"/>
      <c r="TB82" s="115"/>
      <c r="TC82" s="115"/>
      <c r="TD82" s="115"/>
      <c r="TE82" s="115"/>
      <c r="TF82" s="115"/>
      <c r="TG82" s="115"/>
      <c r="TH82" s="115"/>
      <c r="TI82" s="115"/>
      <c r="TJ82" s="115"/>
      <c r="TK82" s="115"/>
      <c r="TL82" s="115"/>
      <c r="TM82" s="115"/>
      <c r="TN82" s="115"/>
      <c r="TO82" s="115"/>
      <c r="TP82" s="115"/>
      <c r="TQ82" s="115"/>
      <c r="TR82" s="115"/>
      <c r="TS82" s="115"/>
      <c r="TT82" s="115"/>
      <c r="TU82" s="115"/>
      <c r="TV82" s="115"/>
      <c r="TW82" s="115"/>
      <c r="TX82" s="115"/>
      <c r="TY82" s="115"/>
      <c r="TZ82" s="115"/>
      <c r="UA82" s="115"/>
      <c r="UB82" s="115"/>
      <c r="UC82" s="115"/>
      <c r="UD82" s="115"/>
      <c r="UE82" s="115"/>
      <c r="UF82" s="115"/>
      <c r="UG82" s="115"/>
      <c r="UH82" s="115"/>
      <c r="UI82" s="115"/>
      <c r="UJ82" s="115"/>
      <c r="UK82" s="115"/>
      <c r="UL82" s="115"/>
      <c r="UM82" s="115"/>
      <c r="UN82" s="115"/>
      <c r="UO82" s="115"/>
      <c r="UP82" s="115"/>
      <c r="UQ82" s="115"/>
      <c r="UR82" s="115"/>
      <c r="US82" s="115"/>
      <c r="UT82" s="115"/>
      <c r="UU82" s="115"/>
      <c r="UV82" s="115"/>
      <c r="UW82" s="115"/>
      <c r="UX82" s="115"/>
      <c r="UY82" s="115"/>
      <c r="UZ82" s="115"/>
      <c r="VA82" s="115"/>
      <c r="VB82" s="115"/>
      <c r="VC82" s="115"/>
      <c r="VD82" s="115"/>
      <c r="VE82" s="115"/>
      <c r="VF82" s="115"/>
      <c r="VG82" s="115"/>
      <c r="VH82" s="115"/>
      <c r="VI82" s="115"/>
      <c r="VJ82" s="115"/>
      <c r="VK82" s="115"/>
      <c r="VL82" s="115"/>
      <c r="VM82" s="115"/>
      <c r="VN82" s="115"/>
      <c r="VO82" s="115"/>
      <c r="VP82" s="115"/>
      <c r="VQ82" s="115"/>
      <c r="VR82" s="115"/>
      <c r="VS82" s="115"/>
      <c r="VT82" s="115"/>
      <c r="VU82" s="115"/>
      <c r="VV82" s="115"/>
      <c r="VW82" s="115"/>
      <c r="VX82" s="115"/>
      <c r="VY82" s="115"/>
      <c r="VZ82" s="115"/>
      <c r="WA82" s="115"/>
      <c r="WB82" s="115"/>
      <c r="WC82" s="115"/>
      <c r="WD82" s="115"/>
      <c r="WE82" s="115"/>
      <c r="WF82" s="115"/>
      <c r="WG82" s="115"/>
      <c r="WH82" s="115"/>
      <c r="WI82" s="115"/>
      <c r="WJ82" s="115"/>
      <c r="WK82" s="115"/>
      <c r="WL82" s="115"/>
      <c r="WM82" s="115"/>
      <c r="WN82" s="115"/>
      <c r="WO82" s="115"/>
      <c r="WP82" s="115"/>
      <c r="WQ82" s="115"/>
      <c r="WR82" s="115"/>
      <c r="WS82" s="115"/>
      <c r="WT82" s="115"/>
      <c r="WU82" s="115"/>
      <c r="WV82" s="115"/>
      <c r="WW82" s="115"/>
      <c r="WX82" s="115"/>
      <c r="WY82" s="115"/>
      <c r="WZ82" s="115"/>
      <c r="XA82" s="115"/>
      <c r="XB82" s="115"/>
      <c r="XC82" s="115"/>
      <c r="XD82" s="115"/>
      <c r="XE82" s="115"/>
      <c r="XF82" s="115"/>
      <c r="XG82" s="115"/>
      <c r="XH82" s="115"/>
      <c r="XI82" s="115"/>
      <c r="XJ82" s="115"/>
      <c r="XK82" s="115"/>
      <c r="XL82" s="115"/>
      <c r="XM82" s="115"/>
      <c r="XN82" s="115"/>
      <c r="XO82" s="115"/>
      <c r="XP82" s="115"/>
      <c r="XQ82" s="115"/>
      <c r="XR82" s="115"/>
      <c r="XS82" s="115"/>
      <c r="XT82" s="115"/>
      <c r="XU82" s="115"/>
      <c r="XV82" s="115"/>
      <c r="XW82" s="115"/>
      <c r="XX82" s="115"/>
      <c r="XY82" s="115"/>
      <c r="XZ82" s="115"/>
      <c r="YA82" s="115"/>
      <c r="YB82" s="115"/>
      <c r="YC82" s="115"/>
      <c r="YD82" s="115"/>
      <c r="YE82" s="115"/>
      <c r="YF82" s="115"/>
      <c r="YG82" s="115"/>
      <c r="YH82" s="115"/>
      <c r="YI82" s="115"/>
      <c r="YJ82" s="115"/>
      <c r="YK82" s="115"/>
      <c r="YL82" s="115"/>
      <c r="YM82" s="115"/>
      <c r="YN82" s="115"/>
      <c r="YO82" s="115"/>
      <c r="YP82" s="115"/>
      <c r="YQ82" s="115"/>
      <c r="YX82" s="22">
        <v>119</v>
      </c>
      <c r="YY82" s="22">
        <f>VLOOKUP(B82,'SCAFFOLDING MATERIAL OVERALL'!B84:S266,18,FALSE)</f>
        <v>4.3600000000000003</v>
      </c>
      <c r="YZ82" s="22">
        <f t="shared" si="1"/>
        <v>518.84</v>
      </c>
    </row>
    <row r="83" spans="1:676" s="22" customFormat="1" x14ac:dyDescent="0.25">
      <c r="A83" s="14">
        <v>79</v>
      </c>
      <c r="B83" s="15">
        <v>3000000306</v>
      </c>
      <c r="C83" s="16" t="s">
        <v>91</v>
      </c>
      <c r="D83" s="44" t="s">
        <v>12</v>
      </c>
      <c r="H83" s="22">
        <v>100</v>
      </c>
      <c r="MJ83" s="22">
        <v>60</v>
      </c>
      <c r="MP83" s="22">
        <v>1090</v>
      </c>
      <c r="OZ83" s="115"/>
      <c r="PA83" s="115"/>
      <c r="PB83" s="115"/>
      <c r="PC83" s="115"/>
      <c r="PD83" s="115"/>
      <c r="PE83" s="115"/>
      <c r="PF83" s="115"/>
      <c r="PG83" s="115"/>
      <c r="PH83" s="115"/>
      <c r="PI83" s="115"/>
      <c r="PJ83" s="115"/>
      <c r="PK83" s="115"/>
      <c r="PL83" s="115"/>
      <c r="PM83" s="115"/>
      <c r="PN83" s="115"/>
      <c r="PO83" s="115"/>
      <c r="PP83" s="115"/>
      <c r="PQ83" s="115"/>
      <c r="PR83" s="115"/>
      <c r="PS83" s="115"/>
      <c r="PT83" s="115"/>
      <c r="PU83" s="115"/>
      <c r="PV83" s="115"/>
      <c r="PW83" s="115"/>
      <c r="PX83" s="115"/>
      <c r="PY83" s="115"/>
      <c r="PZ83" s="115"/>
      <c r="QA83" s="115"/>
      <c r="QB83" s="115"/>
      <c r="QC83" s="115"/>
      <c r="QD83" s="115"/>
      <c r="QE83" s="115"/>
      <c r="QF83" s="115"/>
      <c r="QG83" s="115"/>
      <c r="QH83" s="115"/>
      <c r="QI83" s="115"/>
      <c r="QJ83" s="115"/>
      <c r="QK83" s="115"/>
      <c r="QL83" s="115"/>
      <c r="QM83" s="115"/>
      <c r="QN83" s="115"/>
      <c r="QO83" s="115"/>
      <c r="QP83" s="115"/>
      <c r="QQ83" s="115"/>
      <c r="QR83" s="115"/>
      <c r="QS83" s="115"/>
      <c r="QT83" s="115"/>
      <c r="QU83" s="115"/>
      <c r="QV83" s="115"/>
      <c r="QW83" s="115"/>
      <c r="QX83" s="115"/>
      <c r="QY83" s="115"/>
      <c r="QZ83" s="115"/>
      <c r="RA83" s="115"/>
      <c r="RB83" s="115"/>
      <c r="RC83" s="115"/>
      <c r="RD83" s="115"/>
      <c r="RE83" s="115"/>
      <c r="RF83" s="115"/>
      <c r="RG83" s="115"/>
      <c r="RH83" s="115"/>
      <c r="RI83" s="115"/>
      <c r="RJ83" s="115"/>
      <c r="RK83" s="115"/>
      <c r="RL83" s="115"/>
      <c r="RM83" s="115"/>
      <c r="RN83" s="115"/>
      <c r="RO83" s="115"/>
      <c r="RP83" s="115"/>
      <c r="RQ83" s="115"/>
      <c r="RR83" s="115"/>
      <c r="RS83" s="115"/>
      <c r="RT83" s="115"/>
      <c r="RU83" s="115"/>
      <c r="RV83" s="115"/>
      <c r="RW83" s="115"/>
      <c r="RX83" s="115"/>
      <c r="RY83" s="115"/>
      <c r="RZ83" s="115"/>
      <c r="SA83" s="115"/>
      <c r="SB83" s="115"/>
      <c r="SC83" s="115"/>
      <c r="SD83" s="115"/>
      <c r="SE83" s="115"/>
      <c r="SF83" s="115"/>
      <c r="SG83" s="115"/>
      <c r="SH83" s="115"/>
      <c r="SI83" s="115"/>
      <c r="SJ83" s="115"/>
      <c r="SK83" s="115"/>
      <c r="SL83" s="115"/>
      <c r="SM83" s="115"/>
      <c r="SN83" s="115"/>
      <c r="SO83" s="115"/>
      <c r="SP83" s="115"/>
      <c r="SQ83" s="115"/>
      <c r="SR83" s="115"/>
      <c r="SS83" s="115"/>
      <c r="ST83" s="115"/>
      <c r="SU83" s="115"/>
      <c r="SV83" s="115"/>
      <c r="SW83" s="115"/>
      <c r="SX83" s="115"/>
      <c r="SY83" s="115"/>
      <c r="SZ83" s="115"/>
      <c r="TA83" s="115"/>
      <c r="TB83" s="115"/>
      <c r="TC83" s="115"/>
      <c r="TD83" s="115"/>
      <c r="TE83" s="115"/>
      <c r="TF83" s="115"/>
      <c r="TG83" s="115">
        <v>11</v>
      </c>
      <c r="TH83" s="115"/>
      <c r="TI83" s="115"/>
      <c r="TJ83" s="115"/>
      <c r="TK83" s="115">
        <v>200</v>
      </c>
      <c r="TL83" s="115"/>
      <c r="TM83" s="115"/>
      <c r="TN83" s="115"/>
      <c r="TO83" s="115"/>
      <c r="TP83" s="115"/>
      <c r="TQ83" s="115"/>
      <c r="TR83" s="115"/>
      <c r="TS83" s="115"/>
      <c r="TT83" s="115"/>
      <c r="TU83" s="115"/>
      <c r="TV83" s="115"/>
      <c r="TW83" s="115"/>
      <c r="TX83" s="115"/>
      <c r="TY83" s="115"/>
      <c r="TZ83" s="115"/>
      <c r="UA83" s="115"/>
      <c r="UB83" s="115"/>
      <c r="UC83" s="115"/>
      <c r="UD83" s="115"/>
      <c r="UE83" s="115"/>
      <c r="UF83" s="115"/>
      <c r="UG83" s="115"/>
      <c r="UH83" s="115"/>
      <c r="UI83" s="115"/>
      <c r="UJ83" s="115"/>
      <c r="UK83" s="115"/>
      <c r="UL83" s="115"/>
      <c r="UM83" s="115"/>
      <c r="UN83" s="115"/>
      <c r="UO83" s="115"/>
      <c r="UP83" s="115"/>
      <c r="UQ83" s="115"/>
      <c r="UR83" s="115"/>
      <c r="US83" s="115"/>
      <c r="UT83" s="115"/>
      <c r="UU83" s="115"/>
      <c r="UV83" s="115"/>
      <c r="UW83" s="115"/>
      <c r="UX83" s="115"/>
      <c r="UY83" s="115"/>
      <c r="UZ83" s="115"/>
      <c r="VA83" s="115"/>
      <c r="VB83" s="115"/>
      <c r="VC83" s="115"/>
      <c r="VD83" s="115"/>
      <c r="VE83" s="115"/>
      <c r="VF83" s="115"/>
      <c r="VG83" s="115"/>
      <c r="VH83" s="115"/>
      <c r="VI83" s="115"/>
      <c r="VJ83" s="115"/>
      <c r="VK83" s="115"/>
      <c r="VL83" s="115"/>
      <c r="VM83" s="115"/>
      <c r="VN83" s="115"/>
      <c r="VO83" s="115"/>
      <c r="VP83" s="115"/>
      <c r="VQ83" s="115"/>
      <c r="VR83" s="115"/>
      <c r="VS83" s="115"/>
      <c r="VT83" s="115"/>
      <c r="VU83" s="115"/>
      <c r="VV83" s="115"/>
      <c r="VW83" s="115"/>
      <c r="VX83" s="115"/>
      <c r="VY83" s="115"/>
      <c r="VZ83" s="115"/>
      <c r="WA83" s="115"/>
      <c r="WB83" s="115"/>
      <c r="WC83" s="115"/>
      <c r="WD83" s="115"/>
      <c r="WE83" s="115"/>
      <c r="WF83" s="115"/>
      <c r="WG83" s="115"/>
      <c r="WH83" s="115"/>
      <c r="WI83" s="115"/>
      <c r="WJ83" s="115"/>
      <c r="WK83" s="115"/>
      <c r="WL83" s="115"/>
      <c r="WM83" s="115"/>
      <c r="WN83" s="115"/>
      <c r="WO83" s="115"/>
      <c r="WP83" s="115"/>
      <c r="WQ83" s="115"/>
      <c r="WR83" s="115"/>
      <c r="WS83" s="115"/>
      <c r="WT83" s="115"/>
      <c r="WU83" s="115"/>
      <c r="WV83" s="115"/>
      <c r="WW83" s="115"/>
      <c r="WX83" s="115"/>
      <c r="WY83" s="115"/>
      <c r="WZ83" s="115"/>
      <c r="XA83" s="115"/>
      <c r="XB83" s="115"/>
      <c r="XC83" s="115"/>
      <c r="XD83" s="115"/>
      <c r="XE83" s="115"/>
      <c r="XF83" s="115"/>
      <c r="XG83" s="115"/>
      <c r="XH83" s="115"/>
      <c r="XI83" s="115"/>
      <c r="XJ83" s="115"/>
      <c r="XK83" s="115"/>
      <c r="XL83" s="115"/>
      <c r="XM83" s="115"/>
      <c r="XN83" s="115"/>
      <c r="XO83" s="115"/>
      <c r="XP83" s="115"/>
      <c r="XQ83" s="115"/>
      <c r="XR83" s="115"/>
      <c r="XS83" s="115"/>
      <c r="XT83" s="115"/>
      <c r="XU83" s="115"/>
      <c r="XV83" s="115"/>
      <c r="XW83" s="115"/>
      <c r="XX83" s="115"/>
      <c r="XY83" s="115"/>
      <c r="XZ83" s="115"/>
      <c r="YA83" s="115"/>
      <c r="YB83" s="115"/>
      <c r="YC83" s="115"/>
      <c r="YD83" s="115"/>
      <c r="YE83" s="115"/>
      <c r="YF83" s="115"/>
      <c r="YG83" s="115"/>
      <c r="YH83" s="115"/>
      <c r="YI83" s="115"/>
      <c r="YJ83" s="115"/>
      <c r="YK83" s="115"/>
      <c r="YL83" s="115"/>
      <c r="YM83" s="115"/>
      <c r="YN83" s="115"/>
      <c r="YO83" s="115"/>
      <c r="YP83" s="115"/>
      <c r="YQ83" s="115"/>
      <c r="YX83" s="22">
        <v>1461</v>
      </c>
      <c r="YY83" s="22">
        <f>VLOOKUP(B83,'SCAFFOLDING MATERIAL OVERALL'!B85:S267,18,FALSE)</f>
        <v>5.1449999999999996</v>
      </c>
      <c r="YZ83" s="22">
        <f t="shared" si="1"/>
        <v>7516.8449999999993</v>
      </c>
    </row>
    <row r="84" spans="1:676" s="22" customFormat="1" x14ac:dyDescent="0.25">
      <c r="A84" s="17">
        <v>80</v>
      </c>
      <c r="B84" s="15" t="s">
        <v>1430</v>
      </c>
      <c r="C84" s="16" t="s">
        <v>92</v>
      </c>
      <c r="D84" s="44" t="s">
        <v>12</v>
      </c>
      <c r="F84" s="22">
        <v>171</v>
      </c>
      <c r="BJ84" s="22">
        <v>100</v>
      </c>
      <c r="MJ84" s="22">
        <v>400</v>
      </c>
      <c r="MO84" s="22">
        <v>170</v>
      </c>
      <c r="OZ84" s="115"/>
      <c r="PA84" s="115"/>
      <c r="PB84" s="115"/>
      <c r="PC84" s="115"/>
      <c r="PD84" s="115"/>
      <c r="PE84" s="115"/>
      <c r="PF84" s="115"/>
      <c r="PG84" s="115"/>
      <c r="PH84" s="115"/>
      <c r="PI84" s="115"/>
      <c r="PJ84" s="115"/>
      <c r="PK84" s="115"/>
      <c r="PL84" s="115"/>
      <c r="PM84" s="115"/>
      <c r="PN84" s="115"/>
      <c r="PO84" s="115"/>
      <c r="PP84" s="115"/>
      <c r="PQ84" s="115"/>
      <c r="PR84" s="115"/>
      <c r="PS84" s="115"/>
      <c r="PT84" s="115"/>
      <c r="PU84" s="115"/>
      <c r="PV84" s="115"/>
      <c r="PW84" s="115"/>
      <c r="PX84" s="115"/>
      <c r="PY84" s="115"/>
      <c r="PZ84" s="115"/>
      <c r="QA84" s="115"/>
      <c r="QB84" s="115"/>
      <c r="QC84" s="115"/>
      <c r="QD84" s="115"/>
      <c r="QE84" s="115"/>
      <c r="QF84" s="115"/>
      <c r="QG84" s="115"/>
      <c r="QH84" s="115"/>
      <c r="QI84" s="115"/>
      <c r="QJ84" s="115"/>
      <c r="QK84" s="115"/>
      <c r="QL84" s="115"/>
      <c r="QM84" s="115"/>
      <c r="QN84" s="115"/>
      <c r="QO84" s="115"/>
      <c r="QP84" s="115"/>
      <c r="QQ84" s="115"/>
      <c r="QR84" s="115"/>
      <c r="QS84" s="115"/>
      <c r="QT84" s="115"/>
      <c r="QU84" s="115"/>
      <c r="QV84" s="115"/>
      <c r="QW84" s="115"/>
      <c r="QX84" s="115"/>
      <c r="QY84" s="115"/>
      <c r="QZ84" s="115"/>
      <c r="RA84" s="115"/>
      <c r="RB84" s="115"/>
      <c r="RC84" s="115"/>
      <c r="RD84" s="115"/>
      <c r="RE84" s="115"/>
      <c r="RF84" s="115"/>
      <c r="RG84" s="115"/>
      <c r="RH84" s="115"/>
      <c r="RI84" s="115"/>
      <c r="RJ84" s="115"/>
      <c r="RK84" s="115"/>
      <c r="RL84" s="115"/>
      <c r="RM84" s="115"/>
      <c r="RN84" s="115"/>
      <c r="RO84" s="115"/>
      <c r="RP84" s="115"/>
      <c r="RQ84" s="115"/>
      <c r="RR84" s="115"/>
      <c r="RS84" s="115"/>
      <c r="RT84" s="115"/>
      <c r="RU84" s="115"/>
      <c r="RV84" s="115"/>
      <c r="RW84" s="115"/>
      <c r="RX84" s="115"/>
      <c r="RY84" s="115"/>
      <c r="RZ84" s="115"/>
      <c r="SA84" s="115"/>
      <c r="SB84" s="115"/>
      <c r="SC84" s="115"/>
      <c r="SD84" s="115"/>
      <c r="SE84" s="115"/>
      <c r="SF84" s="115"/>
      <c r="SG84" s="115"/>
      <c r="SH84" s="115"/>
      <c r="SI84" s="115"/>
      <c r="SJ84" s="115"/>
      <c r="SK84" s="115"/>
      <c r="SL84" s="115"/>
      <c r="SM84" s="115"/>
      <c r="SN84" s="115"/>
      <c r="SO84" s="115"/>
      <c r="SP84" s="115"/>
      <c r="SQ84" s="115"/>
      <c r="SR84" s="115"/>
      <c r="SS84" s="115"/>
      <c r="ST84" s="115"/>
      <c r="SU84" s="115"/>
      <c r="SV84" s="115"/>
      <c r="SW84" s="115"/>
      <c r="SX84" s="115"/>
      <c r="SY84" s="115"/>
      <c r="SZ84" s="115"/>
      <c r="TA84" s="115"/>
      <c r="TB84" s="115"/>
      <c r="TC84" s="115"/>
      <c r="TD84" s="115"/>
      <c r="TE84" s="115"/>
      <c r="TF84" s="115"/>
      <c r="TG84" s="115">
        <v>16</v>
      </c>
      <c r="TH84" s="115"/>
      <c r="TI84" s="115"/>
      <c r="TJ84" s="115"/>
      <c r="TK84" s="115"/>
      <c r="TL84" s="115"/>
      <c r="TM84" s="115"/>
      <c r="TN84" s="115"/>
      <c r="TO84" s="115"/>
      <c r="TP84" s="115"/>
      <c r="TQ84" s="115"/>
      <c r="TR84" s="115"/>
      <c r="TS84" s="115"/>
      <c r="TT84" s="115"/>
      <c r="TU84" s="115"/>
      <c r="TV84" s="115"/>
      <c r="TW84" s="115"/>
      <c r="TX84" s="115"/>
      <c r="TY84" s="115"/>
      <c r="TZ84" s="115"/>
      <c r="UA84" s="115"/>
      <c r="UB84" s="115"/>
      <c r="UC84" s="115"/>
      <c r="UD84" s="115"/>
      <c r="UE84" s="115"/>
      <c r="UF84" s="115"/>
      <c r="UG84" s="115"/>
      <c r="UH84" s="115"/>
      <c r="UI84" s="115"/>
      <c r="UJ84" s="115"/>
      <c r="UK84" s="115"/>
      <c r="UL84" s="115"/>
      <c r="UM84" s="115"/>
      <c r="UN84" s="115"/>
      <c r="UO84" s="115"/>
      <c r="UP84" s="115"/>
      <c r="UQ84" s="115"/>
      <c r="UR84" s="115"/>
      <c r="US84" s="115"/>
      <c r="UT84" s="115"/>
      <c r="UU84" s="115"/>
      <c r="UV84" s="115"/>
      <c r="UW84" s="115"/>
      <c r="UX84" s="115"/>
      <c r="UY84" s="115"/>
      <c r="UZ84" s="115"/>
      <c r="VA84" s="115"/>
      <c r="VB84" s="115"/>
      <c r="VC84" s="115"/>
      <c r="VD84" s="115"/>
      <c r="VE84" s="115"/>
      <c r="VF84" s="115"/>
      <c r="VG84" s="115"/>
      <c r="VH84" s="115"/>
      <c r="VI84" s="115"/>
      <c r="VJ84" s="115"/>
      <c r="VK84" s="115"/>
      <c r="VL84" s="115"/>
      <c r="VM84" s="115"/>
      <c r="VN84" s="115"/>
      <c r="VO84" s="115"/>
      <c r="VP84" s="115"/>
      <c r="VQ84" s="115"/>
      <c r="VR84" s="115"/>
      <c r="VS84" s="115"/>
      <c r="VT84" s="115"/>
      <c r="VU84" s="115"/>
      <c r="VV84" s="115"/>
      <c r="VW84" s="115"/>
      <c r="VX84" s="115"/>
      <c r="VY84" s="115"/>
      <c r="VZ84" s="115"/>
      <c r="WA84" s="115"/>
      <c r="WB84" s="115"/>
      <c r="WC84" s="115"/>
      <c r="WD84" s="115"/>
      <c r="WE84" s="115"/>
      <c r="WF84" s="115"/>
      <c r="WG84" s="115"/>
      <c r="WH84" s="115"/>
      <c r="WI84" s="115"/>
      <c r="WJ84" s="115"/>
      <c r="WK84" s="115"/>
      <c r="WL84" s="115"/>
      <c r="WM84" s="115"/>
      <c r="WN84" s="115"/>
      <c r="WO84" s="115"/>
      <c r="WP84" s="115"/>
      <c r="WQ84" s="115"/>
      <c r="WR84" s="115"/>
      <c r="WS84" s="115"/>
      <c r="WT84" s="115"/>
      <c r="WU84" s="115"/>
      <c r="WV84" s="115"/>
      <c r="WW84" s="115"/>
      <c r="WX84" s="115"/>
      <c r="WY84" s="115"/>
      <c r="WZ84" s="115"/>
      <c r="XA84" s="115"/>
      <c r="XB84" s="115"/>
      <c r="XC84" s="115"/>
      <c r="XD84" s="115"/>
      <c r="XE84" s="115"/>
      <c r="XF84" s="115"/>
      <c r="XG84" s="115"/>
      <c r="XH84" s="115"/>
      <c r="XI84" s="115"/>
      <c r="XJ84" s="115"/>
      <c r="XK84" s="115"/>
      <c r="XL84" s="115"/>
      <c r="XM84" s="115"/>
      <c r="XN84" s="115"/>
      <c r="XO84" s="115"/>
      <c r="XP84" s="115"/>
      <c r="XQ84" s="115"/>
      <c r="XR84" s="115"/>
      <c r="XS84" s="115"/>
      <c r="XT84" s="115"/>
      <c r="XU84" s="115"/>
      <c r="XV84" s="115"/>
      <c r="XW84" s="115"/>
      <c r="XX84" s="115"/>
      <c r="XY84" s="115"/>
      <c r="XZ84" s="115"/>
      <c r="YA84" s="115"/>
      <c r="YB84" s="115"/>
      <c r="YC84" s="115"/>
      <c r="YD84" s="115"/>
      <c r="YE84" s="115"/>
      <c r="YF84" s="115"/>
      <c r="YG84" s="115"/>
      <c r="YH84" s="115"/>
      <c r="YI84" s="115"/>
      <c r="YJ84" s="115"/>
      <c r="YK84" s="115"/>
      <c r="YL84" s="115"/>
      <c r="YM84" s="115"/>
      <c r="YN84" s="115"/>
      <c r="YO84" s="115"/>
      <c r="YP84" s="115"/>
      <c r="YQ84" s="115"/>
      <c r="YX84" s="22">
        <v>857</v>
      </c>
      <c r="YY84" s="22">
        <v>0</v>
      </c>
      <c r="YZ84" s="22">
        <f t="shared" si="1"/>
        <v>0</v>
      </c>
    </row>
    <row r="85" spans="1:676" s="22" customFormat="1" x14ac:dyDescent="0.25">
      <c r="A85" s="14">
        <v>81</v>
      </c>
      <c r="B85" s="15">
        <v>3000000308</v>
      </c>
      <c r="C85" s="16" t="s">
        <v>93</v>
      </c>
      <c r="D85" s="44" t="s">
        <v>12</v>
      </c>
      <c r="BJ85" s="22">
        <v>104</v>
      </c>
      <c r="FB85" s="22">
        <v>200</v>
      </c>
      <c r="LA85" s="22">
        <v>150</v>
      </c>
      <c r="MJ85" s="22">
        <v>105</v>
      </c>
      <c r="MO85" s="22">
        <v>321</v>
      </c>
      <c r="MY85" s="22">
        <v>100</v>
      </c>
      <c r="OZ85" s="115"/>
      <c r="PA85" s="115"/>
      <c r="PB85" s="115"/>
      <c r="PC85" s="115"/>
      <c r="PD85" s="115"/>
      <c r="PE85" s="115"/>
      <c r="PF85" s="115"/>
      <c r="PG85" s="115"/>
      <c r="PH85" s="115"/>
      <c r="PI85" s="115"/>
      <c r="PJ85" s="115"/>
      <c r="PK85" s="115"/>
      <c r="PL85" s="115"/>
      <c r="PM85" s="115"/>
      <c r="PN85" s="115"/>
      <c r="PO85" s="115"/>
      <c r="PP85" s="115"/>
      <c r="PQ85" s="115"/>
      <c r="PR85" s="115"/>
      <c r="PS85" s="115"/>
      <c r="PT85" s="115"/>
      <c r="PU85" s="115"/>
      <c r="PV85" s="115"/>
      <c r="PW85" s="115"/>
      <c r="PX85" s="115"/>
      <c r="PY85" s="115"/>
      <c r="PZ85" s="115"/>
      <c r="QA85" s="115"/>
      <c r="QB85" s="115"/>
      <c r="QC85" s="115"/>
      <c r="QD85" s="115"/>
      <c r="QE85" s="115"/>
      <c r="QF85" s="115"/>
      <c r="QG85" s="115"/>
      <c r="QH85" s="115"/>
      <c r="QI85" s="115"/>
      <c r="QJ85" s="115"/>
      <c r="QK85" s="115"/>
      <c r="QL85" s="115"/>
      <c r="QM85" s="115"/>
      <c r="QN85" s="115"/>
      <c r="QO85" s="115"/>
      <c r="QP85" s="115"/>
      <c r="QQ85" s="115"/>
      <c r="QR85" s="115"/>
      <c r="QS85" s="115"/>
      <c r="QT85" s="115"/>
      <c r="QU85" s="115"/>
      <c r="QV85" s="115"/>
      <c r="QW85" s="115"/>
      <c r="QX85" s="115"/>
      <c r="QY85" s="115"/>
      <c r="QZ85" s="115"/>
      <c r="RA85" s="115"/>
      <c r="RB85" s="115"/>
      <c r="RC85" s="115"/>
      <c r="RD85" s="115"/>
      <c r="RE85" s="115"/>
      <c r="RF85" s="115"/>
      <c r="RG85" s="115"/>
      <c r="RH85" s="115"/>
      <c r="RI85" s="115"/>
      <c r="RJ85" s="115"/>
      <c r="RK85" s="115"/>
      <c r="RL85" s="115"/>
      <c r="RM85" s="115"/>
      <c r="RN85" s="115"/>
      <c r="RO85" s="115"/>
      <c r="RP85" s="115"/>
      <c r="RQ85" s="115"/>
      <c r="RR85" s="115"/>
      <c r="RS85" s="115"/>
      <c r="RT85" s="115"/>
      <c r="RU85" s="115"/>
      <c r="RV85" s="115"/>
      <c r="RW85" s="115"/>
      <c r="RX85" s="115"/>
      <c r="RY85" s="115"/>
      <c r="RZ85" s="115"/>
      <c r="SA85" s="115"/>
      <c r="SB85" s="115"/>
      <c r="SC85" s="115"/>
      <c r="SD85" s="115"/>
      <c r="SE85" s="115"/>
      <c r="SF85" s="115"/>
      <c r="SG85" s="115"/>
      <c r="SH85" s="115"/>
      <c r="SI85" s="115"/>
      <c r="SJ85" s="115"/>
      <c r="SK85" s="115"/>
      <c r="SL85" s="115"/>
      <c r="SM85" s="115"/>
      <c r="SN85" s="115"/>
      <c r="SO85" s="115"/>
      <c r="SP85" s="115"/>
      <c r="SQ85" s="115"/>
      <c r="SR85" s="115"/>
      <c r="SS85" s="115"/>
      <c r="ST85" s="115"/>
      <c r="SU85" s="115"/>
      <c r="SV85" s="115"/>
      <c r="SW85" s="115"/>
      <c r="SX85" s="115"/>
      <c r="SY85" s="115"/>
      <c r="SZ85" s="115"/>
      <c r="TA85" s="115"/>
      <c r="TB85" s="115"/>
      <c r="TC85" s="115"/>
      <c r="TD85" s="115"/>
      <c r="TE85" s="115">
        <v>200</v>
      </c>
      <c r="TF85" s="115">
        <v>100</v>
      </c>
      <c r="TG85" s="115">
        <v>25</v>
      </c>
      <c r="TH85" s="115">
        <v>100</v>
      </c>
      <c r="TI85" s="115">
        <v>50</v>
      </c>
      <c r="TJ85" s="115">
        <v>200</v>
      </c>
      <c r="TK85" s="115">
        <v>165</v>
      </c>
      <c r="TL85" s="115"/>
      <c r="TM85" s="115">
        <v>74</v>
      </c>
      <c r="TN85" s="115"/>
      <c r="TO85" s="115"/>
      <c r="TP85" s="115"/>
      <c r="TQ85" s="115"/>
      <c r="TR85" s="115"/>
      <c r="TS85" s="115"/>
      <c r="TT85" s="115"/>
      <c r="TU85" s="115"/>
      <c r="TV85" s="115"/>
      <c r="TW85" s="115"/>
      <c r="TX85" s="115"/>
      <c r="TY85" s="115"/>
      <c r="TZ85" s="115"/>
      <c r="UA85" s="115"/>
      <c r="UB85" s="115"/>
      <c r="UC85" s="115"/>
      <c r="UD85" s="115"/>
      <c r="UE85" s="115"/>
      <c r="UF85" s="115"/>
      <c r="UG85" s="115"/>
      <c r="UH85" s="115"/>
      <c r="UI85" s="115"/>
      <c r="UJ85" s="115"/>
      <c r="UK85" s="115"/>
      <c r="UL85" s="115"/>
      <c r="UM85" s="115"/>
      <c r="UN85" s="115"/>
      <c r="UO85" s="115"/>
      <c r="UP85" s="115"/>
      <c r="UQ85" s="115"/>
      <c r="UR85" s="115"/>
      <c r="US85" s="115"/>
      <c r="UT85" s="115"/>
      <c r="UU85" s="115"/>
      <c r="UV85" s="115"/>
      <c r="UW85" s="115"/>
      <c r="UX85" s="115"/>
      <c r="UY85" s="115"/>
      <c r="UZ85" s="115"/>
      <c r="VA85" s="115"/>
      <c r="VB85" s="115"/>
      <c r="VC85" s="115"/>
      <c r="VD85" s="115"/>
      <c r="VE85" s="115"/>
      <c r="VF85" s="115"/>
      <c r="VG85" s="115"/>
      <c r="VH85" s="115"/>
      <c r="VI85" s="115"/>
      <c r="VJ85" s="115"/>
      <c r="VK85" s="115"/>
      <c r="VL85" s="115"/>
      <c r="VM85" s="115"/>
      <c r="VN85" s="115"/>
      <c r="VO85" s="115"/>
      <c r="VP85" s="115"/>
      <c r="VQ85" s="115"/>
      <c r="VR85" s="115"/>
      <c r="VS85" s="115"/>
      <c r="VT85" s="115"/>
      <c r="VU85" s="115"/>
      <c r="VV85" s="115"/>
      <c r="VW85" s="115"/>
      <c r="VX85" s="115"/>
      <c r="VY85" s="115"/>
      <c r="VZ85" s="115"/>
      <c r="WA85" s="115"/>
      <c r="WB85" s="115"/>
      <c r="WC85" s="115"/>
      <c r="WD85" s="115"/>
      <c r="WE85" s="115"/>
      <c r="WF85" s="115"/>
      <c r="WG85" s="115"/>
      <c r="WH85" s="115"/>
      <c r="WI85" s="115"/>
      <c r="WJ85" s="115"/>
      <c r="WK85" s="115"/>
      <c r="WL85" s="115"/>
      <c r="WM85" s="115"/>
      <c r="WN85" s="115"/>
      <c r="WO85" s="115"/>
      <c r="WP85" s="115"/>
      <c r="WQ85" s="115"/>
      <c r="WR85" s="115"/>
      <c r="WS85" s="115"/>
      <c r="WT85" s="115"/>
      <c r="WU85" s="115"/>
      <c r="WV85" s="115"/>
      <c r="WW85" s="115"/>
      <c r="WX85" s="115"/>
      <c r="WY85" s="115"/>
      <c r="WZ85" s="115"/>
      <c r="XA85" s="115"/>
      <c r="XB85" s="115"/>
      <c r="XC85" s="115"/>
      <c r="XD85" s="115"/>
      <c r="XE85" s="115"/>
      <c r="XF85" s="115"/>
      <c r="XG85" s="115"/>
      <c r="XH85" s="115"/>
      <c r="XI85" s="115"/>
      <c r="XJ85" s="115"/>
      <c r="XK85" s="115"/>
      <c r="XL85" s="115"/>
      <c r="XM85" s="115"/>
      <c r="XN85" s="115"/>
      <c r="XO85" s="115"/>
      <c r="XP85" s="115"/>
      <c r="XQ85" s="115"/>
      <c r="XR85" s="115"/>
      <c r="XS85" s="115"/>
      <c r="XT85" s="115"/>
      <c r="XU85" s="115"/>
      <c r="XV85" s="115"/>
      <c r="XW85" s="115"/>
      <c r="XX85" s="115"/>
      <c r="XY85" s="115"/>
      <c r="XZ85" s="115"/>
      <c r="YA85" s="115"/>
      <c r="YB85" s="115"/>
      <c r="YC85" s="115"/>
      <c r="YD85" s="115"/>
      <c r="YE85" s="115"/>
      <c r="YF85" s="115"/>
      <c r="YG85" s="115"/>
      <c r="YH85" s="115"/>
      <c r="YI85" s="115"/>
      <c r="YJ85" s="115"/>
      <c r="YK85" s="115"/>
      <c r="YL85" s="115"/>
      <c r="YM85" s="115"/>
      <c r="YN85" s="115"/>
      <c r="YO85" s="115"/>
      <c r="YP85" s="115"/>
      <c r="YQ85" s="115"/>
      <c r="YX85" s="22">
        <v>1894</v>
      </c>
      <c r="YY85" s="22">
        <f>VLOOKUP(B85,'SCAFFOLDING MATERIAL OVERALL'!B87:S269,18,FALSE)</f>
        <v>6.33</v>
      </c>
      <c r="YZ85" s="22">
        <f t="shared" si="1"/>
        <v>11989.02</v>
      </c>
    </row>
    <row r="86" spans="1:676" s="22" customFormat="1" x14ac:dyDescent="0.25">
      <c r="A86" s="14">
        <v>82</v>
      </c>
      <c r="B86" s="15">
        <v>3000003396</v>
      </c>
      <c r="C86" s="16" t="s">
        <v>94</v>
      </c>
      <c r="D86" s="44" t="s">
        <v>12</v>
      </c>
      <c r="OZ86" s="115"/>
      <c r="PA86" s="115"/>
      <c r="PB86" s="115"/>
      <c r="PC86" s="115"/>
      <c r="PD86" s="115"/>
      <c r="PE86" s="115"/>
      <c r="PF86" s="115"/>
      <c r="PG86" s="115"/>
      <c r="PH86" s="115"/>
      <c r="PI86" s="115"/>
      <c r="PJ86" s="115"/>
      <c r="PK86" s="115"/>
      <c r="PL86" s="115"/>
      <c r="PM86" s="115"/>
      <c r="PN86" s="115"/>
      <c r="PO86" s="115"/>
      <c r="PP86" s="115"/>
      <c r="PQ86" s="115"/>
      <c r="PR86" s="115"/>
      <c r="PS86" s="115"/>
      <c r="PT86" s="115"/>
      <c r="PU86" s="115"/>
      <c r="PV86" s="115"/>
      <c r="PW86" s="115"/>
      <c r="PX86" s="115"/>
      <c r="PY86" s="115"/>
      <c r="PZ86" s="115"/>
      <c r="QA86" s="115"/>
      <c r="QB86" s="115"/>
      <c r="QC86" s="115"/>
      <c r="QD86" s="115"/>
      <c r="QE86" s="115"/>
      <c r="QF86" s="115"/>
      <c r="QG86" s="115"/>
      <c r="QH86" s="115"/>
      <c r="QI86" s="115"/>
      <c r="QJ86" s="115"/>
      <c r="QK86" s="115"/>
      <c r="QL86" s="115"/>
      <c r="QM86" s="115"/>
      <c r="QN86" s="115"/>
      <c r="QO86" s="115"/>
      <c r="QP86" s="115"/>
      <c r="QQ86" s="115"/>
      <c r="QR86" s="115"/>
      <c r="QS86" s="115"/>
      <c r="QT86" s="115"/>
      <c r="QU86" s="115"/>
      <c r="QV86" s="115"/>
      <c r="QW86" s="115"/>
      <c r="QX86" s="115"/>
      <c r="QY86" s="115"/>
      <c r="QZ86" s="115"/>
      <c r="RA86" s="115"/>
      <c r="RB86" s="115"/>
      <c r="RC86" s="115"/>
      <c r="RD86" s="115"/>
      <c r="RE86" s="115"/>
      <c r="RF86" s="115"/>
      <c r="RG86" s="115"/>
      <c r="RH86" s="115"/>
      <c r="RI86" s="115"/>
      <c r="RJ86" s="115"/>
      <c r="RK86" s="115"/>
      <c r="RL86" s="115"/>
      <c r="RM86" s="115"/>
      <c r="RN86" s="115"/>
      <c r="RO86" s="115"/>
      <c r="RP86" s="115"/>
      <c r="RQ86" s="115"/>
      <c r="RR86" s="115"/>
      <c r="RS86" s="115"/>
      <c r="RT86" s="115"/>
      <c r="RU86" s="115"/>
      <c r="RV86" s="115"/>
      <c r="RW86" s="115"/>
      <c r="RX86" s="115"/>
      <c r="RY86" s="115"/>
      <c r="RZ86" s="115"/>
      <c r="SA86" s="115"/>
      <c r="SB86" s="115"/>
      <c r="SC86" s="115"/>
      <c r="SD86" s="115"/>
      <c r="SE86" s="115"/>
      <c r="SF86" s="115"/>
      <c r="SG86" s="115"/>
      <c r="SH86" s="115"/>
      <c r="SI86" s="115"/>
      <c r="SJ86" s="115"/>
      <c r="SK86" s="115"/>
      <c r="SL86" s="115"/>
      <c r="SM86" s="115"/>
      <c r="SN86" s="115"/>
      <c r="SO86" s="115"/>
      <c r="SP86" s="115"/>
      <c r="SQ86" s="115"/>
      <c r="SR86" s="115"/>
      <c r="SS86" s="115"/>
      <c r="ST86" s="115"/>
      <c r="SU86" s="115"/>
      <c r="SV86" s="115"/>
      <c r="SW86" s="115"/>
      <c r="SX86" s="115"/>
      <c r="SY86" s="115"/>
      <c r="SZ86" s="115"/>
      <c r="TA86" s="115"/>
      <c r="TB86" s="115">
        <v>300</v>
      </c>
      <c r="TC86" s="115"/>
      <c r="TD86" s="115"/>
      <c r="TE86" s="115"/>
      <c r="TF86" s="115"/>
      <c r="TG86" s="115">
        <v>13</v>
      </c>
      <c r="TH86" s="115">
        <v>100</v>
      </c>
      <c r="TI86" s="115">
        <v>100</v>
      </c>
      <c r="TJ86" s="115">
        <v>400</v>
      </c>
      <c r="TK86" s="115"/>
      <c r="TL86" s="115"/>
      <c r="TM86" s="115"/>
      <c r="TN86" s="115"/>
      <c r="TO86" s="115"/>
      <c r="TP86" s="115"/>
      <c r="TQ86" s="115"/>
      <c r="TR86" s="115"/>
      <c r="TS86" s="115"/>
      <c r="TT86" s="115"/>
      <c r="TU86" s="115"/>
      <c r="TV86" s="115"/>
      <c r="TW86" s="115"/>
      <c r="TX86" s="115"/>
      <c r="TY86" s="115"/>
      <c r="TZ86" s="115"/>
      <c r="UA86" s="115"/>
      <c r="UB86" s="115"/>
      <c r="UC86" s="115"/>
      <c r="UD86" s="115"/>
      <c r="UE86" s="115"/>
      <c r="UF86" s="115"/>
      <c r="UG86" s="115"/>
      <c r="UH86" s="115"/>
      <c r="UI86" s="115"/>
      <c r="UJ86" s="115"/>
      <c r="UK86" s="115"/>
      <c r="UL86" s="115"/>
      <c r="UM86" s="115"/>
      <c r="UN86" s="115"/>
      <c r="UO86" s="115"/>
      <c r="UP86" s="115"/>
      <c r="UQ86" s="115"/>
      <c r="UR86" s="115"/>
      <c r="US86" s="115"/>
      <c r="UT86" s="115"/>
      <c r="UU86" s="115"/>
      <c r="UV86" s="115"/>
      <c r="UW86" s="115"/>
      <c r="UX86" s="115"/>
      <c r="UY86" s="115"/>
      <c r="UZ86" s="115"/>
      <c r="VA86" s="115"/>
      <c r="VB86" s="115"/>
      <c r="VC86" s="115"/>
      <c r="VD86" s="115"/>
      <c r="VE86" s="115"/>
      <c r="VF86" s="115"/>
      <c r="VG86" s="115"/>
      <c r="VH86" s="115"/>
      <c r="VI86" s="115"/>
      <c r="VJ86" s="115"/>
      <c r="VK86" s="115"/>
      <c r="VL86" s="115"/>
      <c r="VM86" s="115"/>
      <c r="VN86" s="115"/>
      <c r="VO86" s="115"/>
      <c r="VP86" s="115"/>
      <c r="VQ86" s="115"/>
      <c r="VR86" s="115"/>
      <c r="VS86" s="115"/>
      <c r="VT86" s="115"/>
      <c r="VU86" s="115"/>
      <c r="VV86" s="115"/>
      <c r="VW86" s="115"/>
      <c r="VX86" s="115"/>
      <c r="VY86" s="115"/>
      <c r="VZ86" s="115"/>
      <c r="WA86" s="115"/>
      <c r="WB86" s="115"/>
      <c r="WC86" s="115"/>
      <c r="WD86" s="115"/>
      <c r="WE86" s="115"/>
      <c r="WF86" s="115"/>
      <c r="WG86" s="115"/>
      <c r="WH86" s="115"/>
      <c r="WI86" s="115"/>
      <c r="WJ86" s="115"/>
      <c r="WK86" s="115"/>
      <c r="WL86" s="115"/>
      <c r="WM86" s="115"/>
      <c r="WN86" s="115"/>
      <c r="WO86" s="115"/>
      <c r="WP86" s="115"/>
      <c r="WQ86" s="115"/>
      <c r="WR86" s="115"/>
      <c r="WS86" s="115"/>
      <c r="WT86" s="115"/>
      <c r="WU86" s="115"/>
      <c r="WV86" s="115"/>
      <c r="WW86" s="115"/>
      <c r="WX86" s="115"/>
      <c r="WY86" s="115"/>
      <c r="WZ86" s="115"/>
      <c r="XA86" s="115"/>
      <c r="XB86" s="115"/>
      <c r="XC86" s="115"/>
      <c r="XD86" s="115"/>
      <c r="XE86" s="115"/>
      <c r="XF86" s="115"/>
      <c r="XG86" s="115"/>
      <c r="XH86" s="115"/>
      <c r="XI86" s="115"/>
      <c r="XJ86" s="115"/>
      <c r="XK86" s="115"/>
      <c r="XL86" s="115"/>
      <c r="XM86" s="115"/>
      <c r="XN86" s="115"/>
      <c r="XO86" s="115"/>
      <c r="XP86" s="115"/>
      <c r="XQ86" s="115"/>
      <c r="XR86" s="115"/>
      <c r="XS86" s="115"/>
      <c r="XT86" s="115"/>
      <c r="XU86" s="115"/>
      <c r="XV86" s="115"/>
      <c r="XW86" s="115"/>
      <c r="XX86" s="115"/>
      <c r="XY86" s="115"/>
      <c r="XZ86" s="115"/>
      <c r="YA86" s="115"/>
      <c r="YB86" s="115"/>
      <c r="YC86" s="115"/>
      <c r="YD86" s="115"/>
      <c r="YE86" s="115"/>
      <c r="YF86" s="115"/>
      <c r="YG86" s="115"/>
      <c r="YH86" s="115"/>
      <c r="YI86" s="115"/>
      <c r="YJ86" s="115"/>
      <c r="YK86" s="115"/>
      <c r="YL86" s="115"/>
      <c r="YM86" s="115"/>
      <c r="YN86" s="115"/>
      <c r="YO86" s="115"/>
      <c r="YP86" s="115"/>
      <c r="YQ86" s="115"/>
      <c r="YX86" s="22">
        <v>913</v>
      </c>
      <c r="YY86" s="22">
        <f>VLOOKUP(B86,'SCAFFOLDING MATERIAL OVERALL'!B88:S270,18,FALSE)</f>
        <v>6.9249999999999998</v>
      </c>
      <c r="YZ86" s="22">
        <f t="shared" si="1"/>
        <v>6322.5249999999996</v>
      </c>
    </row>
    <row r="87" spans="1:676" s="22" customFormat="1" x14ac:dyDescent="0.25">
      <c r="A87" s="17">
        <v>83</v>
      </c>
      <c r="B87" s="15">
        <v>3000000309</v>
      </c>
      <c r="C87" s="16" t="s">
        <v>95</v>
      </c>
      <c r="D87" s="44" t="s">
        <v>12</v>
      </c>
      <c r="BJ87" s="22">
        <v>104</v>
      </c>
      <c r="CC87" s="22">
        <v>205</v>
      </c>
      <c r="EG87" s="22">
        <v>178</v>
      </c>
      <c r="FB87" s="22">
        <v>300</v>
      </c>
      <c r="KZ87" s="22">
        <v>180</v>
      </c>
      <c r="LA87" s="22">
        <v>105</v>
      </c>
      <c r="MJ87" s="22">
        <v>85</v>
      </c>
      <c r="MO87" s="22">
        <v>226</v>
      </c>
      <c r="OZ87" s="115"/>
      <c r="PA87" s="115"/>
      <c r="PB87" s="115"/>
      <c r="PC87" s="115"/>
      <c r="PD87" s="115"/>
      <c r="PE87" s="115"/>
      <c r="PF87" s="115"/>
      <c r="PG87" s="115"/>
      <c r="PH87" s="115"/>
      <c r="PI87" s="115"/>
      <c r="PJ87" s="115"/>
      <c r="PK87" s="115"/>
      <c r="PL87" s="115"/>
      <c r="PM87" s="115"/>
      <c r="PN87" s="115"/>
      <c r="PO87" s="115"/>
      <c r="PP87" s="115"/>
      <c r="PQ87" s="115"/>
      <c r="PR87" s="115"/>
      <c r="PS87" s="115"/>
      <c r="PT87" s="115"/>
      <c r="PU87" s="115"/>
      <c r="PV87" s="115"/>
      <c r="PW87" s="115"/>
      <c r="PX87" s="115"/>
      <c r="PY87" s="115"/>
      <c r="PZ87" s="115"/>
      <c r="QA87" s="115"/>
      <c r="QB87" s="115"/>
      <c r="QC87" s="115"/>
      <c r="QD87" s="115"/>
      <c r="QE87" s="115"/>
      <c r="QF87" s="115"/>
      <c r="QG87" s="115"/>
      <c r="QH87" s="115"/>
      <c r="QI87" s="115"/>
      <c r="QJ87" s="115"/>
      <c r="QK87" s="115"/>
      <c r="QL87" s="115"/>
      <c r="QM87" s="115"/>
      <c r="QN87" s="115"/>
      <c r="QO87" s="115"/>
      <c r="QP87" s="115"/>
      <c r="QQ87" s="115"/>
      <c r="QR87" s="115"/>
      <c r="QS87" s="115"/>
      <c r="QT87" s="115"/>
      <c r="QU87" s="115"/>
      <c r="QV87" s="115"/>
      <c r="QW87" s="115"/>
      <c r="QX87" s="115"/>
      <c r="QY87" s="115"/>
      <c r="QZ87" s="115"/>
      <c r="RA87" s="115"/>
      <c r="RB87" s="115"/>
      <c r="RC87" s="115"/>
      <c r="RD87" s="115"/>
      <c r="RE87" s="115"/>
      <c r="RF87" s="115"/>
      <c r="RG87" s="115"/>
      <c r="RH87" s="115"/>
      <c r="RI87" s="115"/>
      <c r="RJ87" s="115"/>
      <c r="RK87" s="115"/>
      <c r="RL87" s="115"/>
      <c r="RM87" s="115"/>
      <c r="RN87" s="115"/>
      <c r="RO87" s="115"/>
      <c r="RP87" s="115"/>
      <c r="RQ87" s="115"/>
      <c r="RR87" s="115"/>
      <c r="RS87" s="115"/>
      <c r="RT87" s="115"/>
      <c r="RU87" s="115"/>
      <c r="RV87" s="115"/>
      <c r="RW87" s="115"/>
      <c r="RX87" s="115"/>
      <c r="RY87" s="115"/>
      <c r="RZ87" s="115"/>
      <c r="SA87" s="115"/>
      <c r="SB87" s="115"/>
      <c r="SC87" s="115"/>
      <c r="SD87" s="115"/>
      <c r="SE87" s="115"/>
      <c r="SF87" s="115"/>
      <c r="SG87" s="115"/>
      <c r="SH87" s="115"/>
      <c r="SI87" s="115"/>
      <c r="SJ87" s="115"/>
      <c r="SK87" s="115"/>
      <c r="SL87" s="115"/>
      <c r="SM87" s="115"/>
      <c r="SN87" s="115"/>
      <c r="SO87" s="115"/>
      <c r="SP87" s="115"/>
      <c r="SQ87" s="115"/>
      <c r="SR87" s="115"/>
      <c r="SS87" s="115"/>
      <c r="ST87" s="115"/>
      <c r="SU87" s="115"/>
      <c r="SV87" s="115"/>
      <c r="SW87" s="115"/>
      <c r="SX87" s="115"/>
      <c r="SY87" s="115"/>
      <c r="SZ87" s="115"/>
      <c r="TA87" s="115"/>
      <c r="TB87" s="115">
        <v>400</v>
      </c>
      <c r="TC87" s="115"/>
      <c r="TD87" s="115"/>
      <c r="TE87" s="115">
        <v>200</v>
      </c>
      <c r="TF87" s="115">
        <v>100</v>
      </c>
      <c r="TG87" s="115">
        <v>260</v>
      </c>
      <c r="TH87" s="115">
        <v>200</v>
      </c>
      <c r="TI87" s="115"/>
      <c r="TJ87" s="115">
        <v>530</v>
      </c>
      <c r="TK87" s="115">
        <v>200</v>
      </c>
      <c r="TL87" s="115"/>
      <c r="TM87" s="115"/>
      <c r="TN87" s="115">
        <v>394</v>
      </c>
      <c r="TO87" s="115">
        <v>400</v>
      </c>
      <c r="TP87" s="115"/>
      <c r="TQ87" s="115">
        <v>300</v>
      </c>
      <c r="TR87" s="115"/>
      <c r="TS87" s="115"/>
      <c r="TT87" s="115"/>
      <c r="TU87" s="115"/>
      <c r="TV87" s="115"/>
      <c r="TW87" s="115"/>
      <c r="TX87" s="115"/>
      <c r="TY87" s="115"/>
      <c r="TZ87" s="115"/>
      <c r="UA87" s="115"/>
      <c r="UB87" s="115"/>
      <c r="UC87" s="115"/>
      <c r="UD87" s="115"/>
      <c r="UE87" s="115"/>
      <c r="UF87" s="115"/>
      <c r="UG87" s="115"/>
      <c r="UH87" s="115"/>
      <c r="UI87" s="115"/>
      <c r="UJ87" s="115"/>
      <c r="UK87" s="115"/>
      <c r="UL87" s="115"/>
      <c r="UM87" s="115"/>
      <c r="UN87" s="115"/>
      <c r="UO87" s="115"/>
      <c r="UP87" s="115"/>
      <c r="UQ87" s="115"/>
      <c r="UR87" s="115"/>
      <c r="US87" s="115"/>
      <c r="UT87" s="115"/>
      <c r="UU87" s="115"/>
      <c r="UV87" s="115"/>
      <c r="UW87" s="115"/>
      <c r="UX87" s="115"/>
      <c r="UY87" s="115"/>
      <c r="UZ87" s="115"/>
      <c r="VA87" s="115"/>
      <c r="VB87" s="115"/>
      <c r="VC87" s="115"/>
      <c r="VD87" s="115"/>
      <c r="VE87" s="115"/>
      <c r="VF87" s="115"/>
      <c r="VG87" s="115"/>
      <c r="VH87" s="115"/>
      <c r="VI87" s="115"/>
      <c r="VJ87" s="115"/>
      <c r="VK87" s="115"/>
      <c r="VL87" s="115"/>
      <c r="VM87" s="115"/>
      <c r="VN87" s="115"/>
      <c r="VO87" s="115"/>
      <c r="VP87" s="115"/>
      <c r="VQ87" s="115"/>
      <c r="VR87" s="115"/>
      <c r="VS87" s="115"/>
      <c r="VT87" s="115"/>
      <c r="VU87" s="115"/>
      <c r="VV87" s="115"/>
      <c r="VW87" s="115"/>
      <c r="VX87" s="115"/>
      <c r="VY87" s="115"/>
      <c r="VZ87" s="115"/>
      <c r="WA87" s="115"/>
      <c r="WB87" s="115"/>
      <c r="WC87" s="115"/>
      <c r="WD87" s="115"/>
      <c r="WE87" s="115"/>
      <c r="WF87" s="115"/>
      <c r="WG87" s="115"/>
      <c r="WH87" s="115"/>
      <c r="WI87" s="115"/>
      <c r="WJ87" s="115"/>
      <c r="WK87" s="115"/>
      <c r="WL87" s="115"/>
      <c r="WM87" s="115"/>
      <c r="WN87" s="115"/>
      <c r="WO87" s="115"/>
      <c r="WP87" s="115"/>
      <c r="WQ87" s="115"/>
      <c r="WR87" s="115"/>
      <c r="WS87" s="115"/>
      <c r="WT87" s="115"/>
      <c r="WU87" s="115"/>
      <c r="WV87" s="115"/>
      <c r="WW87" s="115"/>
      <c r="WX87" s="115"/>
      <c r="WY87" s="115"/>
      <c r="WZ87" s="115"/>
      <c r="XA87" s="115"/>
      <c r="XB87" s="115"/>
      <c r="XC87" s="115"/>
      <c r="XD87" s="115"/>
      <c r="XE87" s="115"/>
      <c r="XF87" s="115"/>
      <c r="XG87" s="115"/>
      <c r="XH87" s="115"/>
      <c r="XI87" s="115"/>
      <c r="XJ87" s="115"/>
      <c r="XK87" s="115"/>
      <c r="XL87" s="115"/>
      <c r="XM87" s="115"/>
      <c r="XN87" s="115"/>
      <c r="XO87" s="115"/>
      <c r="XP87" s="115"/>
      <c r="XQ87" s="115"/>
      <c r="XR87" s="115"/>
      <c r="XS87" s="115"/>
      <c r="XT87" s="115"/>
      <c r="XU87" s="115"/>
      <c r="XV87" s="115"/>
      <c r="XW87" s="115"/>
      <c r="XX87" s="115"/>
      <c r="XY87" s="115"/>
      <c r="XZ87" s="115"/>
      <c r="YA87" s="115"/>
      <c r="YB87" s="115"/>
      <c r="YC87" s="115"/>
      <c r="YD87" s="115"/>
      <c r="YE87" s="115"/>
      <c r="YF87" s="115"/>
      <c r="YG87" s="115"/>
      <c r="YH87" s="115"/>
      <c r="YI87" s="115"/>
      <c r="YJ87" s="115"/>
      <c r="YK87" s="115"/>
      <c r="YL87" s="115"/>
      <c r="YM87" s="115"/>
      <c r="YN87" s="115"/>
      <c r="YO87" s="115"/>
      <c r="YP87" s="115"/>
      <c r="YQ87" s="115"/>
      <c r="YX87" s="22">
        <v>4367</v>
      </c>
      <c r="YY87" s="22">
        <f>VLOOKUP(B87,'SCAFFOLDING MATERIAL OVERALL'!B89:S271,18,FALSE)</f>
        <v>9.09</v>
      </c>
      <c r="YZ87" s="22">
        <f t="shared" si="1"/>
        <v>39696.03</v>
      </c>
    </row>
    <row r="88" spans="1:676" s="22" customFormat="1" x14ac:dyDescent="0.25">
      <c r="A88" s="14">
        <v>84</v>
      </c>
      <c r="B88" s="15">
        <v>3000000310</v>
      </c>
      <c r="C88" s="16" t="s">
        <v>96</v>
      </c>
      <c r="D88" s="44" t="s">
        <v>12</v>
      </c>
      <c r="MM88" s="22">
        <v>200</v>
      </c>
      <c r="MO88" s="22">
        <v>49</v>
      </c>
      <c r="OZ88" s="115"/>
      <c r="PA88" s="115"/>
      <c r="PB88" s="115"/>
      <c r="PC88" s="115"/>
      <c r="PD88" s="115"/>
      <c r="PE88" s="115"/>
      <c r="PF88" s="115"/>
      <c r="PG88" s="115"/>
      <c r="PH88" s="115"/>
      <c r="PI88" s="115"/>
      <c r="PJ88" s="115"/>
      <c r="PK88" s="115"/>
      <c r="PL88" s="115"/>
      <c r="PM88" s="115"/>
      <c r="PN88" s="115"/>
      <c r="PO88" s="115"/>
      <c r="PP88" s="115"/>
      <c r="PQ88" s="115"/>
      <c r="PR88" s="115"/>
      <c r="PS88" s="115"/>
      <c r="PT88" s="115"/>
      <c r="PU88" s="115"/>
      <c r="PV88" s="115"/>
      <c r="PW88" s="115"/>
      <c r="PX88" s="115"/>
      <c r="PY88" s="115"/>
      <c r="PZ88" s="115"/>
      <c r="QA88" s="115"/>
      <c r="QB88" s="115"/>
      <c r="QC88" s="115"/>
      <c r="QD88" s="115"/>
      <c r="QE88" s="115"/>
      <c r="QF88" s="115"/>
      <c r="QG88" s="115"/>
      <c r="QH88" s="115"/>
      <c r="QI88" s="115"/>
      <c r="QJ88" s="115"/>
      <c r="QK88" s="115"/>
      <c r="QL88" s="115"/>
      <c r="QM88" s="115"/>
      <c r="QN88" s="115"/>
      <c r="QO88" s="115"/>
      <c r="QP88" s="115"/>
      <c r="QQ88" s="115"/>
      <c r="QR88" s="115"/>
      <c r="QS88" s="115"/>
      <c r="QT88" s="115"/>
      <c r="QU88" s="115"/>
      <c r="QV88" s="115"/>
      <c r="QW88" s="115"/>
      <c r="QX88" s="115"/>
      <c r="QY88" s="115"/>
      <c r="QZ88" s="115"/>
      <c r="RA88" s="115"/>
      <c r="RB88" s="115"/>
      <c r="RC88" s="115"/>
      <c r="RD88" s="115"/>
      <c r="RE88" s="115"/>
      <c r="RF88" s="115"/>
      <c r="RG88" s="115"/>
      <c r="RH88" s="115"/>
      <c r="RI88" s="115"/>
      <c r="RJ88" s="115"/>
      <c r="RK88" s="115"/>
      <c r="RL88" s="115"/>
      <c r="RM88" s="115"/>
      <c r="RN88" s="115"/>
      <c r="RO88" s="115"/>
      <c r="RP88" s="115"/>
      <c r="RQ88" s="115"/>
      <c r="RR88" s="115"/>
      <c r="RS88" s="115"/>
      <c r="RT88" s="115"/>
      <c r="RU88" s="115"/>
      <c r="RV88" s="115"/>
      <c r="RW88" s="115"/>
      <c r="RX88" s="115"/>
      <c r="RY88" s="115"/>
      <c r="RZ88" s="115"/>
      <c r="SA88" s="115"/>
      <c r="SB88" s="115"/>
      <c r="SC88" s="115"/>
      <c r="SD88" s="115"/>
      <c r="SE88" s="115"/>
      <c r="SF88" s="115"/>
      <c r="SG88" s="115"/>
      <c r="SH88" s="115"/>
      <c r="SI88" s="115"/>
      <c r="SJ88" s="115"/>
      <c r="SK88" s="115"/>
      <c r="SL88" s="115"/>
      <c r="SM88" s="115"/>
      <c r="SN88" s="115"/>
      <c r="SO88" s="115"/>
      <c r="SP88" s="115"/>
      <c r="SQ88" s="115"/>
      <c r="SR88" s="115"/>
      <c r="SS88" s="115"/>
      <c r="ST88" s="115"/>
      <c r="SU88" s="115"/>
      <c r="SV88" s="115"/>
      <c r="SW88" s="115"/>
      <c r="SX88" s="115"/>
      <c r="SY88" s="115"/>
      <c r="SZ88" s="115"/>
      <c r="TA88" s="115"/>
      <c r="TB88" s="115"/>
      <c r="TC88" s="115"/>
      <c r="TD88" s="115"/>
      <c r="TE88" s="115"/>
      <c r="TF88" s="115"/>
      <c r="TG88" s="115"/>
      <c r="TH88" s="115"/>
      <c r="TI88" s="115"/>
      <c r="TJ88" s="115"/>
      <c r="TK88" s="115"/>
      <c r="TL88" s="115"/>
      <c r="TM88" s="115"/>
      <c r="TN88" s="115"/>
      <c r="TO88" s="115"/>
      <c r="TP88" s="115"/>
      <c r="TQ88" s="115"/>
      <c r="TR88" s="115"/>
      <c r="TS88" s="115"/>
      <c r="TT88" s="115"/>
      <c r="TU88" s="115"/>
      <c r="TV88" s="115"/>
      <c r="TW88" s="115"/>
      <c r="TX88" s="115"/>
      <c r="TY88" s="115"/>
      <c r="TZ88" s="115"/>
      <c r="UA88" s="115"/>
      <c r="UB88" s="115"/>
      <c r="UC88" s="115"/>
      <c r="UD88" s="115"/>
      <c r="UE88" s="115"/>
      <c r="UF88" s="115"/>
      <c r="UG88" s="115"/>
      <c r="UH88" s="115"/>
      <c r="UI88" s="115"/>
      <c r="UJ88" s="115"/>
      <c r="UK88" s="115"/>
      <c r="UL88" s="115"/>
      <c r="UM88" s="115"/>
      <c r="UN88" s="115"/>
      <c r="UO88" s="115"/>
      <c r="UP88" s="115"/>
      <c r="UQ88" s="115"/>
      <c r="UR88" s="115"/>
      <c r="US88" s="115"/>
      <c r="UT88" s="115"/>
      <c r="UU88" s="115"/>
      <c r="UV88" s="115"/>
      <c r="UW88" s="115">
        <v>200</v>
      </c>
      <c r="UX88" s="115"/>
      <c r="UY88" s="115"/>
      <c r="UZ88" s="115"/>
      <c r="VA88" s="115"/>
      <c r="VB88" s="115"/>
      <c r="VC88" s="115"/>
      <c r="VD88" s="115"/>
      <c r="VE88" s="115"/>
      <c r="VF88" s="115"/>
      <c r="VG88" s="115"/>
      <c r="VH88" s="115"/>
      <c r="VI88" s="115"/>
      <c r="VJ88" s="115"/>
      <c r="VK88" s="115"/>
      <c r="VL88" s="115"/>
      <c r="VM88" s="115"/>
      <c r="VN88" s="115"/>
      <c r="VO88" s="115"/>
      <c r="VP88" s="115"/>
      <c r="VQ88" s="115"/>
      <c r="VR88" s="115"/>
      <c r="VS88" s="115"/>
      <c r="VT88" s="115"/>
      <c r="VU88" s="115"/>
      <c r="VV88" s="115"/>
      <c r="VW88" s="115"/>
      <c r="VX88" s="115"/>
      <c r="VY88" s="115"/>
      <c r="VZ88" s="115"/>
      <c r="WA88" s="115"/>
      <c r="WB88" s="115"/>
      <c r="WC88" s="115"/>
      <c r="WD88" s="115"/>
      <c r="WE88" s="115"/>
      <c r="WF88" s="115"/>
      <c r="WG88" s="115"/>
      <c r="WH88" s="115"/>
      <c r="WI88" s="115"/>
      <c r="WJ88" s="115"/>
      <c r="WK88" s="115"/>
      <c r="WL88" s="115"/>
      <c r="WM88" s="115"/>
      <c r="WN88" s="115"/>
      <c r="WO88" s="115"/>
      <c r="WP88" s="115"/>
      <c r="WQ88" s="115"/>
      <c r="WR88" s="115"/>
      <c r="WS88" s="115"/>
      <c r="WT88" s="115"/>
      <c r="WU88" s="115"/>
      <c r="WV88" s="115"/>
      <c r="WW88" s="115"/>
      <c r="WX88" s="115"/>
      <c r="WY88" s="115"/>
      <c r="WZ88" s="115"/>
      <c r="XA88" s="115"/>
      <c r="XB88" s="115"/>
      <c r="XC88" s="115"/>
      <c r="XD88" s="115"/>
      <c r="XE88" s="115"/>
      <c r="XF88" s="115"/>
      <c r="XG88" s="115"/>
      <c r="XH88" s="115"/>
      <c r="XI88" s="115"/>
      <c r="XJ88" s="115"/>
      <c r="XK88" s="115"/>
      <c r="XL88" s="115"/>
      <c r="XM88" s="115"/>
      <c r="XN88" s="115"/>
      <c r="XO88" s="115"/>
      <c r="XP88" s="115"/>
      <c r="XQ88" s="115"/>
      <c r="XR88" s="115"/>
      <c r="XS88" s="115"/>
      <c r="XT88" s="115"/>
      <c r="XU88" s="115"/>
      <c r="XV88" s="115"/>
      <c r="XW88" s="115"/>
      <c r="XX88" s="115"/>
      <c r="XY88" s="115"/>
      <c r="XZ88" s="115"/>
      <c r="YA88" s="115"/>
      <c r="YB88" s="115"/>
      <c r="YC88" s="115"/>
      <c r="YD88" s="115"/>
      <c r="YE88" s="115"/>
      <c r="YF88" s="115"/>
      <c r="YG88" s="115"/>
      <c r="YH88" s="115"/>
      <c r="YI88" s="115"/>
      <c r="YJ88" s="115"/>
      <c r="YK88" s="115"/>
      <c r="YL88" s="115"/>
      <c r="YM88" s="115"/>
      <c r="YN88" s="115"/>
      <c r="YO88" s="115"/>
      <c r="YP88" s="115"/>
      <c r="YQ88" s="115"/>
      <c r="YX88" s="22">
        <v>449</v>
      </c>
      <c r="YY88" s="22">
        <f>VLOOKUP(B88,'SCAFFOLDING MATERIAL OVERALL'!B90:S272,18,FALSE)</f>
        <v>10.31</v>
      </c>
      <c r="YZ88" s="22">
        <f t="shared" si="1"/>
        <v>4629.1900000000005</v>
      </c>
    </row>
    <row r="89" spans="1:676" s="22" customFormat="1" x14ac:dyDescent="0.25">
      <c r="A89" s="14">
        <v>85</v>
      </c>
      <c r="B89" s="15">
        <v>3000008517</v>
      </c>
      <c r="C89" s="16" t="s">
        <v>97</v>
      </c>
      <c r="D89" s="44" t="s">
        <v>12</v>
      </c>
      <c r="OZ89" s="115"/>
      <c r="PA89" s="115"/>
      <c r="PB89" s="115"/>
      <c r="PC89" s="115"/>
      <c r="PD89" s="115"/>
      <c r="PE89" s="115"/>
      <c r="PF89" s="115"/>
      <c r="PG89" s="115"/>
      <c r="PH89" s="115"/>
      <c r="PI89" s="115"/>
      <c r="PJ89" s="115"/>
      <c r="PK89" s="115"/>
      <c r="PL89" s="115"/>
      <c r="PM89" s="115"/>
      <c r="PN89" s="115"/>
      <c r="PO89" s="115"/>
      <c r="PP89" s="115"/>
      <c r="PQ89" s="115"/>
      <c r="PR89" s="115"/>
      <c r="PS89" s="115"/>
      <c r="PT89" s="115"/>
      <c r="PU89" s="115"/>
      <c r="PV89" s="115"/>
      <c r="PW89" s="115"/>
      <c r="PX89" s="115"/>
      <c r="PY89" s="115"/>
      <c r="PZ89" s="115"/>
      <c r="QA89" s="115"/>
      <c r="QB89" s="115"/>
      <c r="QC89" s="115"/>
      <c r="QD89" s="115"/>
      <c r="QE89" s="115"/>
      <c r="QF89" s="115"/>
      <c r="QG89" s="115"/>
      <c r="QH89" s="115"/>
      <c r="QI89" s="115"/>
      <c r="QJ89" s="115"/>
      <c r="QK89" s="115"/>
      <c r="QL89" s="115"/>
      <c r="QM89" s="115"/>
      <c r="QN89" s="115"/>
      <c r="QO89" s="115"/>
      <c r="QP89" s="115"/>
      <c r="QQ89" s="115"/>
      <c r="QR89" s="115"/>
      <c r="QS89" s="115"/>
      <c r="QT89" s="115"/>
      <c r="QU89" s="115"/>
      <c r="QV89" s="115"/>
      <c r="QW89" s="115"/>
      <c r="QX89" s="115"/>
      <c r="QY89" s="115"/>
      <c r="QZ89" s="115"/>
      <c r="RA89" s="115"/>
      <c r="RB89" s="115"/>
      <c r="RC89" s="115"/>
      <c r="RD89" s="115"/>
      <c r="RE89" s="115"/>
      <c r="RF89" s="115"/>
      <c r="RG89" s="115"/>
      <c r="RH89" s="115"/>
      <c r="RI89" s="115"/>
      <c r="RJ89" s="115"/>
      <c r="RK89" s="115"/>
      <c r="RL89" s="115"/>
      <c r="RM89" s="115"/>
      <c r="RN89" s="115"/>
      <c r="RO89" s="115"/>
      <c r="RP89" s="115"/>
      <c r="RQ89" s="115"/>
      <c r="RR89" s="115"/>
      <c r="RS89" s="115"/>
      <c r="RT89" s="115"/>
      <c r="RU89" s="115"/>
      <c r="RV89" s="115"/>
      <c r="RW89" s="115"/>
      <c r="RX89" s="115"/>
      <c r="RY89" s="115"/>
      <c r="RZ89" s="115"/>
      <c r="SA89" s="115"/>
      <c r="SB89" s="115"/>
      <c r="SC89" s="115"/>
      <c r="SD89" s="115"/>
      <c r="SE89" s="115"/>
      <c r="SF89" s="115"/>
      <c r="SG89" s="115"/>
      <c r="SH89" s="115"/>
      <c r="SI89" s="115"/>
      <c r="SJ89" s="115"/>
      <c r="SK89" s="115"/>
      <c r="SL89" s="115"/>
      <c r="SM89" s="115"/>
      <c r="SN89" s="115"/>
      <c r="SO89" s="115"/>
      <c r="SP89" s="115"/>
      <c r="SQ89" s="115"/>
      <c r="SR89" s="115"/>
      <c r="SS89" s="115"/>
      <c r="ST89" s="115"/>
      <c r="SU89" s="115"/>
      <c r="SV89" s="115"/>
      <c r="SW89" s="115"/>
      <c r="SX89" s="115"/>
      <c r="SY89" s="115"/>
      <c r="SZ89" s="115"/>
      <c r="TA89" s="115"/>
      <c r="TB89" s="115"/>
      <c r="TC89" s="115"/>
      <c r="TD89" s="115"/>
      <c r="TE89" s="115"/>
      <c r="TF89" s="115"/>
      <c r="TG89" s="115"/>
      <c r="TH89" s="115"/>
      <c r="TI89" s="115"/>
      <c r="TJ89" s="115"/>
      <c r="TK89" s="115"/>
      <c r="TL89" s="115"/>
      <c r="TM89" s="115"/>
      <c r="TN89" s="115"/>
      <c r="TO89" s="115"/>
      <c r="TP89" s="115"/>
      <c r="TQ89" s="115"/>
      <c r="TR89" s="115"/>
      <c r="TS89" s="115"/>
      <c r="TT89" s="115"/>
      <c r="TU89" s="115"/>
      <c r="TV89" s="115"/>
      <c r="TW89" s="115"/>
      <c r="TX89" s="115"/>
      <c r="TY89" s="115"/>
      <c r="TZ89" s="115"/>
      <c r="UA89" s="115"/>
      <c r="UB89" s="115"/>
      <c r="UC89" s="115"/>
      <c r="UD89" s="115"/>
      <c r="UE89" s="115"/>
      <c r="UF89" s="115"/>
      <c r="UG89" s="115"/>
      <c r="UH89" s="115"/>
      <c r="UI89" s="115"/>
      <c r="UJ89" s="115"/>
      <c r="UK89" s="115"/>
      <c r="UL89" s="115"/>
      <c r="UM89" s="115"/>
      <c r="UN89" s="115"/>
      <c r="UO89" s="115"/>
      <c r="UP89" s="115"/>
      <c r="UQ89" s="115"/>
      <c r="UR89" s="115"/>
      <c r="US89" s="115"/>
      <c r="UT89" s="115"/>
      <c r="UU89" s="115"/>
      <c r="UV89" s="115"/>
      <c r="UW89" s="115"/>
      <c r="UX89" s="115"/>
      <c r="UY89" s="115"/>
      <c r="UZ89" s="115"/>
      <c r="VA89" s="115"/>
      <c r="VB89" s="115"/>
      <c r="VC89" s="115"/>
      <c r="VD89" s="115"/>
      <c r="VE89" s="115"/>
      <c r="VF89" s="115"/>
      <c r="VG89" s="115"/>
      <c r="VH89" s="115"/>
      <c r="VI89" s="115"/>
      <c r="VJ89" s="115"/>
      <c r="VK89" s="115"/>
      <c r="VL89" s="115"/>
      <c r="VM89" s="115"/>
      <c r="VN89" s="115"/>
      <c r="VO89" s="115"/>
      <c r="VP89" s="115"/>
      <c r="VQ89" s="115"/>
      <c r="VR89" s="115"/>
      <c r="VS89" s="115"/>
      <c r="VT89" s="115"/>
      <c r="VU89" s="115"/>
      <c r="VV89" s="115"/>
      <c r="VW89" s="115"/>
      <c r="VX89" s="115"/>
      <c r="VY89" s="115"/>
      <c r="VZ89" s="115"/>
      <c r="WA89" s="115"/>
      <c r="WB89" s="115"/>
      <c r="WC89" s="115"/>
      <c r="WD89" s="115"/>
      <c r="WE89" s="115"/>
      <c r="WF89" s="115"/>
      <c r="WG89" s="115"/>
      <c r="WH89" s="115"/>
      <c r="WI89" s="115"/>
      <c r="WJ89" s="115"/>
      <c r="WK89" s="115"/>
      <c r="WL89" s="115"/>
      <c r="WM89" s="115"/>
      <c r="WN89" s="115"/>
      <c r="WO89" s="115"/>
      <c r="WP89" s="115"/>
      <c r="WQ89" s="115"/>
      <c r="WR89" s="115"/>
      <c r="WS89" s="115"/>
      <c r="WT89" s="115"/>
      <c r="WU89" s="115"/>
      <c r="WV89" s="115"/>
      <c r="WW89" s="115"/>
      <c r="WX89" s="115"/>
      <c r="WY89" s="115"/>
      <c r="WZ89" s="115"/>
      <c r="XA89" s="115"/>
      <c r="XB89" s="115"/>
      <c r="XC89" s="115"/>
      <c r="XD89" s="115"/>
      <c r="XE89" s="115"/>
      <c r="XF89" s="115"/>
      <c r="XG89" s="115"/>
      <c r="XH89" s="115"/>
      <c r="XI89" s="115"/>
      <c r="XJ89" s="115"/>
      <c r="XK89" s="115"/>
      <c r="XL89" s="115"/>
      <c r="XM89" s="115"/>
      <c r="XN89" s="115"/>
      <c r="XO89" s="115"/>
      <c r="XP89" s="115"/>
      <c r="XQ89" s="115"/>
      <c r="XR89" s="115"/>
      <c r="XS89" s="115"/>
      <c r="XT89" s="115"/>
      <c r="XU89" s="115"/>
      <c r="XV89" s="115"/>
      <c r="XW89" s="115"/>
      <c r="XX89" s="115"/>
      <c r="XY89" s="115"/>
      <c r="XZ89" s="115"/>
      <c r="YA89" s="115"/>
      <c r="YB89" s="115"/>
      <c r="YC89" s="115"/>
      <c r="YD89" s="115"/>
      <c r="YE89" s="115"/>
      <c r="YF89" s="115"/>
      <c r="YG89" s="115"/>
      <c r="YH89" s="115"/>
      <c r="YI89" s="115"/>
      <c r="YJ89" s="115"/>
      <c r="YK89" s="115"/>
      <c r="YL89" s="115"/>
      <c r="YM89" s="115"/>
      <c r="YN89" s="115"/>
      <c r="YO89" s="115"/>
      <c r="YP89" s="115"/>
      <c r="YQ89" s="115"/>
      <c r="YX89" s="22">
        <v>0</v>
      </c>
      <c r="YY89" s="22">
        <f>VLOOKUP(B89,'SCAFFOLDING MATERIAL OVERALL'!B91:S273,18,FALSE)</f>
        <v>0.97</v>
      </c>
      <c r="YZ89" s="22">
        <f t="shared" si="1"/>
        <v>0</v>
      </c>
    </row>
    <row r="90" spans="1:676" s="22" customFormat="1" x14ac:dyDescent="0.25">
      <c r="A90" s="17">
        <v>86</v>
      </c>
      <c r="B90" s="15">
        <v>3000008518</v>
      </c>
      <c r="C90" s="16" t="s">
        <v>98</v>
      </c>
      <c r="D90" s="44" t="s">
        <v>12</v>
      </c>
      <c r="OZ90" s="115"/>
      <c r="PA90" s="115"/>
      <c r="PB90" s="115"/>
      <c r="PC90" s="115"/>
      <c r="PD90" s="115"/>
      <c r="PE90" s="115"/>
      <c r="PF90" s="115"/>
      <c r="PG90" s="115"/>
      <c r="PH90" s="115"/>
      <c r="PI90" s="115"/>
      <c r="PJ90" s="115"/>
      <c r="PK90" s="115"/>
      <c r="PL90" s="115"/>
      <c r="PM90" s="115"/>
      <c r="PN90" s="115"/>
      <c r="PO90" s="115"/>
      <c r="PP90" s="115"/>
      <c r="PQ90" s="115"/>
      <c r="PR90" s="115"/>
      <c r="PS90" s="115"/>
      <c r="PT90" s="115"/>
      <c r="PU90" s="115"/>
      <c r="PV90" s="115"/>
      <c r="PW90" s="115"/>
      <c r="PX90" s="115"/>
      <c r="PY90" s="115"/>
      <c r="PZ90" s="115"/>
      <c r="QA90" s="115"/>
      <c r="QB90" s="115"/>
      <c r="QC90" s="115"/>
      <c r="QD90" s="115"/>
      <c r="QE90" s="115"/>
      <c r="QF90" s="115"/>
      <c r="QG90" s="115"/>
      <c r="QH90" s="115"/>
      <c r="QI90" s="115"/>
      <c r="QJ90" s="115"/>
      <c r="QK90" s="115"/>
      <c r="QL90" s="115"/>
      <c r="QM90" s="115"/>
      <c r="QN90" s="115"/>
      <c r="QO90" s="115"/>
      <c r="QP90" s="115"/>
      <c r="QQ90" s="115"/>
      <c r="QR90" s="115"/>
      <c r="QS90" s="115"/>
      <c r="QT90" s="115"/>
      <c r="QU90" s="115"/>
      <c r="QV90" s="115"/>
      <c r="QW90" s="115"/>
      <c r="QX90" s="115"/>
      <c r="QY90" s="115"/>
      <c r="QZ90" s="115"/>
      <c r="RA90" s="115"/>
      <c r="RB90" s="115"/>
      <c r="RC90" s="115"/>
      <c r="RD90" s="115"/>
      <c r="RE90" s="115"/>
      <c r="RF90" s="115"/>
      <c r="RG90" s="115"/>
      <c r="RH90" s="115"/>
      <c r="RI90" s="115"/>
      <c r="RJ90" s="115"/>
      <c r="RK90" s="115"/>
      <c r="RL90" s="115"/>
      <c r="RM90" s="115"/>
      <c r="RN90" s="115"/>
      <c r="RO90" s="115"/>
      <c r="RP90" s="115"/>
      <c r="RQ90" s="115"/>
      <c r="RR90" s="115"/>
      <c r="RS90" s="115"/>
      <c r="RT90" s="115"/>
      <c r="RU90" s="115"/>
      <c r="RV90" s="115"/>
      <c r="RW90" s="115"/>
      <c r="RX90" s="115"/>
      <c r="RY90" s="115"/>
      <c r="RZ90" s="115"/>
      <c r="SA90" s="115"/>
      <c r="SB90" s="115"/>
      <c r="SC90" s="115"/>
      <c r="SD90" s="115"/>
      <c r="SE90" s="115"/>
      <c r="SF90" s="115"/>
      <c r="SG90" s="115"/>
      <c r="SH90" s="115"/>
      <c r="SI90" s="115"/>
      <c r="SJ90" s="115"/>
      <c r="SK90" s="115"/>
      <c r="SL90" s="115"/>
      <c r="SM90" s="115"/>
      <c r="SN90" s="115"/>
      <c r="SO90" s="115"/>
      <c r="SP90" s="115"/>
      <c r="SQ90" s="115"/>
      <c r="SR90" s="115"/>
      <c r="SS90" s="115"/>
      <c r="ST90" s="115"/>
      <c r="SU90" s="115"/>
      <c r="SV90" s="115"/>
      <c r="SW90" s="115"/>
      <c r="SX90" s="115"/>
      <c r="SY90" s="115"/>
      <c r="SZ90" s="115"/>
      <c r="TA90" s="115"/>
      <c r="TB90" s="115"/>
      <c r="TC90" s="115"/>
      <c r="TD90" s="115"/>
      <c r="TE90" s="115"/>
      <c r="TF90" s="115"/>
      <c r="TG90" s="115"/>
      <c r="TH90" s="115"/>
      <c r="TI90" s="115"/>
      <c r="TJ90" s="115"/>
      <c r="TK90" s="115"/>
      <c r="TL90" s="115"/>
      <c r="TM90" s="115"/>
      <c r="TN90" s="115"/>
      <c r="TO90" s="115"/>
      <c r="TP90" s="115"/>
      <c r="TQ90" s="115"/>
      <c r="TR90" s="115"/>
      <c r="TS90" s="115"/>
      <c r="TT90" s="115"/>
      <c r="TU90" s="115"/>
      <c r="TV90" s="115"/>
      <c r="TW90" s="115"/>
      <c r="TX90" s="115"/>
      <c r="TY90" s="115"/>
      <c r="TZ90" s="115"/>
      <c r="UA90" s="115"/>
      <c r="UB90" s="115"/>
      <c r="UC90" s="115"/>
      <c r="UD90" s="115"/>
      <c r="UE90" s="115"/>
      <c r="UF90" s="115"/>
      <c r="UG90" s="115"/>
      <c r="UH90" s="115"/>
      <c r="UI90" s="115"/>
      <c r="UJ90" s="115"/>
      <c r="UK90" s="115"/>
      <c r="UL90" s="115"/>
      <c r="UM90" s="115"/>
      <c r="UN90" s="115"/>
      <c r="UO90" s="115"/>
      <c r="UP90" s="115"/>
      <c r="UQ90" s="115"/>
      <c r="UR90" s="115"/>
      <c r="US90" s="115"/>
      <c r="UT90" s="115"/>
      <c r="UU90" s="115"/>
      <c r="UV90" s="115"/>
      <c r="UW90" s="115"/>
      <c r="UX90" s="115"/>
      <c r="UY90" s="115"/>
      <c r="UZ90" s="115"/>
      <c r="VA90" s="115"/>
      <c r="VB90" s="115"/>
      <c r="VC90" s="115"/>
      <c r="VD90" s="115"/>
      <c r="VE90" s="115"/>
      <c r="VF90" s="115"/>
      <c r="VG90" s="115"/>
      <c r="VH90" s="115"/>
      <c r="VI90" s="115"/>
      <c r="VJ90" s="115"/>
      <c r="VK90" s="115"/>
      <c r="VL90" s="115"/>
      <c r="VM90" s="115"/>
      <c r="VN90" s="115"/>
      <c r="VO90" s="115"/>
      <c r="VP90" s="115"/>
      <c r="VQ90" s="115"/>
      <c r="VR90" s="115"/>
      <c r="VS90" s="115"/>
      <c r="VT90" s="115"/>
      <c r="VU90" s="115"/>
      <c r="VV90" s="115"/>
      <c r="VW90" s="115"/>
      <c r="VX90" s="115"/>
      <c r="VY90" s="115"/>
      <c r="VZ90" s="115"/>
      <c r="WA90" s="115"/>
      <c r="WB90" s="115"/>
      <c r="WC90" s="115"/>
      <c r="WD90" s="115"/>
      <c r="WE90" s="115"/>
      <c r="WF90" s="115"/>
      <c r="WG90" s="115"/>
      <c r="WH90" s="115"/>
      <c r="WI90" s="115"/>
      <c r="WJ90" s="115"/>
      <c r="WK90" s="115"/>
      <c r="WL90" s="115"/>
      <c r="WM90" s="115"/>
      <c r="WN90" s="115"/>
      <c r="WO90" s="115"/>
      <c r="WP90" s="115"/>
      <c r="WQ90" s="115"/>
      <c r="WR90" s="115"/>
      <c r="WS90" s="115"/>
      <c r="WT90" s="115"/>
      <c r="WU90" s="115"/>
      <c r="WV90" s="115"/>
      <c r="WW90" s="115"/>
      <c r="WX90" s="115"/>
      <c r="WY90" s="115"/>
      <c r="WZ90" s="115"/>
      <c r="XA90" s="115"/>
      <c r="XB90" s="115"/>
      <c r="XC90" s="115"/>
      <c r="XD90" s="115"/>
      <c r="XE90" s="115"/>
      <c r="XF90" s="115"/>
      <c r="XG90" s="115"/>
      <c r="XH90" s="115"/>
      <c r="XI90" s="115"/>
      <c r="XJ90" s="115"/>
      <c r="XK90" s="115"/>
      <c r="XL90" s="115"/>
      <c r="XM90" s="115"/>
      <c r="XN90" s="115"/>
      <c r="XO90" s="115"/>
      <c r="XP90" s="115"/>
      <c r="XQ90" s="115"/>
      <c r="XR90" s="115"/>
      <c r="XS90" s="115"/>
      <c r="XT90" s="115"/>
      <c r="XU90" s="115"/>
      <c r="XV90" s="115"/>
      <c r="XW90" s="115"/>
      <c r="XX90" s="115"/>
      <c r="XY90" s="115"/>
      <c r="XZ90" s="115"/>
      <c r="YA90" s="115"/>
      <c r="YB90" s="115"/>
      <c r="YC90" s="115"/>
      <c r="YD90" s="115"/>
      <c r="YE90" s="115"/>
      <c r="YF90" s="115"/>
      <c r="YG90" s="115"/>
      <c r="YH90" s="115"/>
      <c r="YI90" s="115"/>
      <c r="YJ90" s="115"/>
      <c r="YK90" s="115"/>
      <c r="YL90" s="115"/>
      <c r="YM90" s="115"/>
      <c r="YN90" s="115"/>
      <c r="YO90" s="115"/>
      <c r="YP90" s="115"/>
      <c r="YQ90" s="115"/>
      <c r="YX90" s="22">
        <v>0</v>
      </c>
      <c r="YY90" s="22">
        <f>VLOOKUP(B90,'SCAFFOLDING MATERIAL OVERALL'!B92:S274,18,FALSE)</f>
        <v>2.38</v>
      </c>
      <c r="YZ90" s="22">
        <f t="shared" si="1"/>
        <v>0</v>
      </c>
    </row>
    <row r="91" spans="1:676" s="22" customFormat="1" x14ac:dyDescent="0.25">
      <c r="A91" s="14">
        <v>87</v>
      </c>
      <c r="B91" s="15">
        <v>3000004960</v>
      </c>
      <c r="C91" s="16" t="s">
        <v>99</v>
      </c>
      <c r="D91" s="44" t="s">
        <v>12</v>
      </c>
      <c r="OZ91" s="115"/>
      <c r="PA91" s="115"/>
      <c r="PB91" s="115"/>
      <c r="PC91" s="115"/>
      <c r="PD91" s="115"/>
      <c r="PE91" s="115"/>
      <c r="PF91" s="115"/>
      <c r="PG91" s="115"/>
      <c r="PH91" s="115"/>
      <c r="PI91" s="115"/>
      <c r="PJ91" s="115"/>
      <c r="PK91" s="115"/>
      <c r="PL91" s="115"/>
      <c r="PM91" s="115"/>
      <c r="PN91" s="115"/>
      <c r="PO91" s="115"/>
      <c r="PP91" s="115"/>
      <c r="PQ91" s="115"/>
      <c r="PR91" s="115"/>
      <c r="PS91" s="115"/>
      <c r="PT91" s="115"/>
      <c r="PU91" s="115"/>
      <c r="PV91" s="115"/>
      <c r="PW91" s="115"/>
      <c r="PX91" s="115"/>
      <c r="PY91" s="115"/>
      <c r="PZ91" s="115"/>
      <c r="QA91" s="115"/>
      <c r="QB91" s="115"/>
      <c r="QC91" s="115"/>
      <c r="QD91" s="115"/>
      <c r="QE91" s="115"/>
      <c r="QF91" s="115"/>
      <c r="QG91" s="115"/>
      <c r="QH91" s="115"/>
      <c r="QI91" s="115"/>
      <c r="QJ91" s="115"/>
      <c r="QK91" s="115"/>
      <c r="QL91" s="115"/>
      <c r="QM91" s="115"/>
      <c r="QN91" s="115"/>
      <c r="QO91" s="115"/>
      <c r="QP91" s="115"/>
      <c r="QQ91" s="115"/>
      <c r="QR91" s="115"/>
      <c r="QS91" s="115"/>
      <c r="QT91" s="115"/>
      <c r="QU91" s="115"/>
      <c r="QV91" s="115"/>
      <c r="QW91" s="115"/>
      <c r="QX91" s="115"/>
      <c r="QY91" s="115"/>
      <c r="QZ91" s="115"/>
      <c r="RA91" s="115"/>
      <c r="RB91" s="115"/>
      <c r="RC91" s="115"/>
      <c r="RD91" s="115"/>
      <c r="RE91" s="115"/>
      <c r="RF91" s="115"/>
      <c r="RG91" s="115"/>
      <c r="RH91" s="115"/>
      <c r="RI91" s="115"/>
      <c r="RJ91" s="115"/>
      <c r="RK91" s="115"/>
      <c r="RL91" s="115"/>
      <c r="RM91" s="115"/>
      <c r="RN91" s="115"/>
      <c r="RO91" s="115"/>
      <c r="RP91" s="115"/>
      <c r="RQ91" s="115"/>
      <c r="RR91" s="115"/>
      <c r="RS91" s="115"/>
      <c r="RT91" s="115"/>
      <c r="RU91" s="115"/>
      <c r="RV91" s="115"/>
      <c r="RW91" s="115"/>
      <c r="RX91" s="115"/>
      <c r="RY91" s="115"/>
      <c r="RZ91" s="115"/>
      <c r="SA91" s="115"/>
      <c r="SB91" s="115"/>
      <c r="SC91" s="115"/>
      <c r="SD91" s="115"/>
      <c r="SE91" s="115"/>
      <c r="SF91" s="115"/>
      <c r="SG91" s="115"/>
      <c r="SH91" s="115"/>
      <c r="SI91" s="115"/>
      <c r="SJ91" s="115"/>
      <c r="SK91" s="115"/>
      <c r="SL91" s="115"/>
      <c r="SM91" s="115"/>
      <c r="SN91" s="115"/>
      <c r="SO91" s="115"/>
      <c r="SP91" s="115"/>
      <c r="SQ91" s="115"/>
      <c r="SR91" s="115"/>
      <c r="SS91" s="115"/>
      <c r="ST91" s="115"/>
      <c r="SU91" s="115"/>
      <c r="SV91" s="115"/>
      <c r="SW91" s="115"/>
      <c r="SX91" s="115"/>
      <c r="SY91" s="115"/>
      <c r="SZ91" s="115"/>
      <c r="TA91" s="115"/>
      <c r="TB91" s="115"/>
      <c r="TC91" s="115"/>
      <c r="TD91" s="115"/>
      <c r="TE91" s="115"/>
      <c r="TF91" s="115"/>
      <c r="TG91" s="115"/>
      <c r="TH91" s="115"/>
      <c r="TI91" s="115"/>
      <c r="TJ91" s="115"/>
      <c r="TK91" s="115"/>
      <c r="TL91" s="115"/>
      <c r="TM91" s="115"/>
      <c r="TN91" s="115"/>
      <c r="TO91" s="115"/>
      <c r="TP91" s="115"/>
      <c r="TQ91" s="115"/>
      <c r="TR91" s="115"/>
      <c r="TS91" s="115"/>
      <c r="TT91" s="115"/>
      <c r="TU91" s="115"/>
      <c r="TV91" s="115"/>
      <c r="TW91" s="115"/>
      <c r="TX91" s="115"/>
      <c r="TY91" s="115"/>
      <c r="TZ91" s="115"/>
      <c r="UA91" s="115"/>
      <c r="UB91" s="115"/>
      <c r="UC91" s="115"/>
      <c r="UD91" s="115"/>
      <c r="UE91" s="115"/>
      <c r="UF91" s="115"/>
      <c r="UG91" s="115"/>
      <c r="UH91" s="115"/>
      <c r="UI91" s="115"/>
      <c r="UJ91" s="115"/>
      <c r="UK91" s="115"/>
      <c r="UL91" s="115"/>
      <c r="UM91" s="115"/>
      <c r="UN91" s="115"/>
      <c r="UO91" s="115"/>
      <c r="UP91" s="115"/>
      <c r="UQ91" s="115"/>
      <c r="UR91" s="115"/>
      <c r="US91" s="115"/>
      <c r="UT91" s="115"/>
      <c r="UU91" s="115"/>
      <c r="UV91" s="115"/>
      <c r="UW91" s="115"/>
      <c r="UX91" s="115"/>
      <c r="UY91" s="115"/>
      <c r="UZ91" s="115"/>
      <c r="VA91" s="115"/>
      <c r="VB91" s="115"/>
      <c r="VC91" s="115"/>
      <c r="VD91" s="115"/>
      <c r="VE91" s="115"/>
      <c r="VF91" s="115"/>
      <c r="VG91" s="115"/>
      <c r="VH91" s="115"/>
      <c r="VI91" s="115"/>
      <c r="VJ91" s="115"/>
      <c r="VK91" s="115"/>
      <c r="VL91" s="115"/>
      <c r="VM91" s="115"/>
      <c r="VN91" s="115"/>
      <c r="VO91" s="115"/>
      <c r="VP91" s="115"/>
      <c r="VQ91" s="115"/>
      <c r="VR91" s="115"/>
      <c r="VS91" s="115"/>
      <c r="VT91" s="115"/>
      <c r="VU91" s="115"/>
      <c r="VV91" s="115"/>
      <c r="VW91" s="115"/>
      <c r="VX91" s="115"/>
      <c r="VY91" s="115"/>
      <c r="VZ91" s="115"/>
      <c r="WA91" s="115"/>
      <c r="WB91" s="115"/>
      <c r="WC91" s="115"/>
      <c r="WD91" s="115"/>
      <c r="WE91" s="115"/>
      <c r="WF91" s="115"/>
      <c r="WG91" s="115"/>
      <c r="WH91" s="115"/>
      <c r="WI91" s="115"/>
      <c r="WJ91" s="115"/>
      <c r="WK91" s="115"/>
      <c r="WL91" s="115"/>
      <c r="WM91" s="115"/>
      <c r="WN91" s="115"/>
      <c r="WO91" s="115"/>
      <c r="WP91" s="115"/>
      <c r="WQ91" s="115"/>
      <c r="WR91" s="115"/>
      <c r="WS91" s="115"/>
      <c r="WT91" s="115"/>
      <c r="WU91" s="115"/>
      <c r="WV91" s="115"/>
      <c r="WW91" s="115"/>
      <c r="WX91" s="115"/>
      <c r="WY91" s="115"/>
      <c r="WZ91" s="115"/>
      <c r="XA91" s="115"/>
      <c r="XB91" s="115"/>
      <c r="XC91" s="115"/>
      <c r="XD91" s="115"/>
      <c r="XE91" s="115"/>
      <c r="XF91" s="115"/>
      <c r="XG91" s="115"/>
      <c r="XH91" s="115"/>
      <c r="XI91" s="115"/>
      <c r="XJ91" s="115"/>
      <c r="XK91" s="115"/>
      <c r="XL91" s="115"/>
      <c r="XM91" s="115"/>
      <c r="XN91" s="115"/>
      <c r="XO91" s="115"/>
      <c r="XP91" s="115"/>
      <c r="XQ91" s="115"/>
      <c r="XR91" s="115"/>
      <c r="XS91" s="115"/>
      <c r="XT91" s="115"/>
      <c r="XU91" s="115"/>
      <c r="XV91" s="115"/>
      <c r="XW91" s="115"/>
      <c r="XX91" s="115"/>
      <c r="XY91" s="115"/>
      <c r="XZ91" s="115"/>
      <c r="YA91" s="115"/>
      <c r="YB91" s="115"/>
      <c r="YC91" s="115"/>
      <c r="YD91" s="115"/>
      <c r="YE91" s="115"/>
      <c r="YF91" s="115"/>
      <c r="YG91" s="115"/>
      <c r="YH91" s="115"/>
      <c r="YI91" s="115"/>
      <c r="YJ91" s="115"/>
      <c r="YK91" s="115"/>
      <c r="YL91" s="115"/>
      <c r="YM91" s="115"/>
      <c r="YN91" s="115"/>
      <c r="YO91" s="115"/>
      <c r="YP91" s="115"/>
      <c r="YQ91" s="115"/>
      <c r="YX91" s="22">
        <v>0</v>
      </c>
      <c r="YY91" s="22">
        <f>VLOOKUP(B91,'SCAFFOLDING MATERIAL OVERALL'!B93:S275,18,FALSE)</f>
        <v>2.8</v>
      </c>
      <c r="YZ91" s="22">
        <f t="shared" si="1"/>
        <v>0</v>
      </c>
    </row>
    <row r="92" spans="1:676" s="22" customFormat="1" x14ac:dyDescent="0.25">
      <c r="A92" s="14">
        <v>88</v>
      </c>
      <c r="B92" s="15">
        <v>3000008519</v>
      </c>
      <c r="C92" s="16" t="s">
        <v>100</v>
      </c>
      <c r="D92" s="44" t="s">
        <v>12</v>
      </c>
      <c r="OZ92" s="115"/>
      <c r="PA92" s="115"/>
      <c r="PB92" s="115"/>
      <c r="PC92" s="115"/>
      <c r="PD92" s="115"/>
      <c r="PE92" s="115"/>
      <c r="PF92" s="115"/>
      <c r="PG92" s="115"/>
      <c r="PH92" s="115"/>
      <c r="PI92" s="115"/>
      <c r="PJ92" s="115"/>
      <c r="PK92" s="115"/>
      <c r="PL92" s="115"/>
      <c r="PM92" s="115"/>
      <c r="PN92" s="115"/>
      <c r="PO92" s="115"/>
      <c r="PP92" s="115"/>
      <c r="PQ92" s="115"/>
      <c r="PR92" s="115"/>
      <c r="PS92" s="115"/>
      <c r="PT92" s="115"/>
      <c r="PU92" s="115"/>
      <c r="PV92" s="115"/>
      <c r="PW92" s="115"/>
      <c r="PX92" s="115"/>
      <c r="PY92" s="115"/>
      <c r="PZ92" s="115"/>
      <c r="QA92" s="115"/>
      <c r="QB92" s="115"/>
      <c r="QC92" s="115"/>
      <c r="QD92" s="115"/>
      <c r="QE92" s="115"/>
      <c r="QF92" s="115"/>
      <c r="QG92" s="115"/>
      <c r="QH92" s="115"/>
      <c r="QI92" s="115"/>
      <c r="QJ92" s="115"/>
      <c r="QK92" s="115"/>
      <c r="QL92" s="115"/>
      <c r="QM92" s="115"/>
      <c r="QN92" s="115"/>
      <c r="QO92" s="115"/>
      <c r="QP92" s="115"/>
      <c r="QQ92" s="115"/>
      <c r="QR92" s="115"/>
      <c r="QS92" s="115"/>
      <c r="QT92" s="115"/>
      <c r="QU92" s="115"/>
      <c r="QV92" s="115"/>
      <c r="QW92" s="115"/>
      <c r="QX92" s="115"/>
      <c r="QY92" s="115"/>
      <c r="QZ92" s="115"/>
      <c r="RA92" s="115"/>
      <c r="RB92" s="115"/>
      <c r="RC92" s="115"/>
      <c r="RD92" s="115"/>
      <c r="RE92" s="115"/>
      <c r="RF92" s="115"/>
      <c r="RG92" s="115"/>
      <c r="RH92" s="115"/>
      <c r="RI92" s="115"/>
      <c r="RJ92" s="115"/>
      <c r="RK92" s="115"/>
      <c r="RL92" s="115"/>
      <c r="RM92" s="115"/>
      <c r="RN92" s="115"/>
      <c r="RO92" s="115"/>
      <c r="RP92" s="115"/>
      <c r="RQ92" s="115"/>
      <c r="RR92" s="115"/>
      <c r="RS92" s="115"/>
      <c r="RT92" s="115"/>
      <c r="RU92" s="115"/>
      <c r="RV92" s="115"/>
      <c r="RW92" s="115"/>
      <c r="RX92" s="115"/>
      <c r="RY92" s="115"/>
      <c r="RZ92" s="115"/>
      <c r="SA92" s="115"/>
      <c r="SB92" s="115"/>
      <c r="SC92" s="115"/>
      <c r="SD92" s="115"/>
      <c r="SE92" s="115"/>
      <c r="SF92" s="115"/>
      <c r="SG92" s="115"/>
      <c r="SH92" s="115"/>
      <c r="SI92" s="115"/>
      <c r="SJ92" s="115"/>
      <c r="SK92" s="115"/>
      <c r="SL92" s="115"/>
      <c r="SM92" s="115"/>
      <c r="SN92" s="115"/>
      <c r="SO92" s="115"/>
      <c r="SP92" s="115"/>
      <c r="SQ92" s="115"/>
      <c r="SR92" s="115"/>
      <c r="SS92" s="115"/>
      <c r="ST92" s="115"/>
      <c r="SU92" s="115"/>
      <c r="SV92" s="115"/>
      <c r="SW92" s="115"/>
      <c r="SX92" s="115"/>
      <c r="SY92" s="115"/>
      <c r="SZ92" s="115"/>
      <c r="TA92" s="115"/>
      <c r="TB92" s="115"/>
      <c r="TC92" s="115"/>
      <c r="TD92" s="115"/>
      <c r="TE92" s="115"/>
      <c r="TF92" s="115"/>
      <c r="TG92" s="115"/>
      <c r="TH92" s="115"/>
      <c r="TI92" s="115"/>
      <c r="TJ92" s="115"/>
      <c r="TK92" s="115"/>
      <c r="TL92" s="115"/>
      <c r="TM92" s="115"/>
      <c r="TN92" s="115"/>
      <c r="TO92" s="115"/>
      <c r="TP92" s="115"/>
      <c r="TQ92" s="115"/>
      <c r="TR92" s="115"/>
      <c r="TS92" s="115"/>
      <c r="TT92" s="115"/>
      <c r="TU92" s="115"/>
      <c r="TV92" s="115"/>
      <c r="TW92" s="115"/>
      <c r="TX92" s="115"/>
      <c r="TY92" s="115"/>
      <c r="TZ92" s="115"/>
      <c r="UA92" s="115"/>
      <c r="UB92" s="115"/>
      <c r="UC92" s="115"/>
      <c r="UD92" s="115"/>
      <c r="UE92" s="115"/>
      <c r="UF92" s="115"/>
      <c r="UG92" s="115"/>
      <c r="UH92" s="115"/>
      <c r="UI92" s="115"/>
      <c r="UJ92" s="115"/>
      <c r="UK92" s="115"/>
      <c r="UL92" s="115"/>
      <c r="UM92" s="115"/>
      <c r="UN92" s="115"/>
      <c r="UO92" s="115"/>
      <c r="UP92" s="115"/>
      <c r="UQ92" s="115"/>
      <c r="UR92" s="115"/>
      <c r="US92" s="115"/>
      <c r="UT92" s="115"/>
      <c r="UU92" s="115"/>
      <c r="UV92" s="115"/>
      <c r="UW92" s="115"/>
      <c r="UX92" s="115"/>
      <c r="UY92" s="115"/>
      <c r="UZ92" s="115"/>
      <c r="VA92" s="115"/>
      <c r="VB92" s="115"/>
      <c r="VC92" s="115"/>
      <c r="VD92" s="115"/>
      <c r="VE92" s="115"/>
      <c r="VF92" s="115"/>
      <c r="VG92" s="115"/>
      <c r="VH92" s="115"/>
      <c r="VI92" s="115"/>
      <c r="VJ92" s="115"/>
      <c r="VK92" s="115"/>
      <c r="VL92" s="115"/>
      <c r="VM92" s="115"/>
      <c r="VN92" s="115"/>
      <c r="VO92" s="115"/>
      <c r="VP92" s="115"/>
      <c r="VQ92" s="115"/>
      <c r="VR92" s="115"/>
      <c r="VS92" s="115"/>
      <c r="VT92" s="115"/>
      <c r="VU92" s="115"/>
      <c r="VV92" s="115"/>
      <c r="VW92" s="115"/>
      <c r="VX92" s="115"/>
      <c r="VY92" s="115"/>
      <c r="VZ92" s="115"/>
      <c r="WA92" s="115"/>
      <c r="WB92" s="115"/>
      <c r="WC92" s="115"/>
      <c r="WD92" s="115"/>
      <c r="WE92" s="115"/>
      <c r="WF92" s="115"/>
      <c r="WG92" s="115"/>
      <c r="WH92" s="115"/>
      <c r="WI92" s="115"/>
      <c r="WJ92" s="115"/>
      <c r="WK92" s="115"/>
      <c r="WL92" s="115"/>
      <c r="WM92" s="115"/>
      <c r="WN92" s="115"/>
      <c r="WO92" s="115"/>
      <c r="WP92" s="115"/>
      <c r="WQ92" s="115"/>
      <c r="WR92" s="115"/>
      <c r="WS92" s="115"/>
      <c r="WT92" s="115"/>
      <c r="WU92" s="115"/>
      <c r="WV92" s="115"/>
      <c r="WW92" s="115"/>
      <c r="WX92" s="115"/>
      <c r="WY92" s="115"/>
      <c r="WZ92" s="115"/>
      <c r="XA92" s="115"/>
      <c r="XB92" s="115"/>
      <c r="XC92" s="115"/>
      <c r="XD92" s="115"/>
      <c r="XE92" s="115"/>
      <c r="XF92" s="115"/>
      <c r="XG92" s="115"/>
      <c r="XH92" s="115"/>
      <c r="XI92" s="115"/>
      <c r="XJ92" s="115"/>
      <c r="XK92" s="115"/>
      <c r="XL92" s="115"/>
      <c r="XM92" s="115"/>
      <c r="XN92" s="115"/>
      <c r="XO92" s="115"/>
      <c r="XP92" s="115"/>
      <c r="XQ92" s="115"/>
      <c r="XR92" s="115"/>
      <c r="XS92" s="115"/>
      <c r="XT92" s="115"/>
      <c r="XU92" s="115"/>
      <c r="XV92" s="115"/>
      <c r="XW92" s="115"/>
      <c r="XX92" s="115"/>
      <c r="XY92" s="115"/>
      <c r="XZ92" s="115"/>
      <c r="YA92" s="115"/>
      <c r="YB92" s="115"/>
      <c r="YC92" s="115"/>
      <c r="YD92" s="115"/>
      <c r="YE92" s="115"/>
      <c r="YF92" s="115"/>
      <c r="YG92" s="115"/>
      <c r="YH92" s="115"/>
      <c r="YI92" s="115"/>
      <c r="YJ92" s="115"/>
      <c r="YK92" s="115"/>
      <c r="YL92" s="115"/>
      <c r="YM92" s="115"/>
      <c r="YN92" s="115"/>
      <c r="YO92" s="115"/>
      <c r="YP92" s="115"/>
      <c r="YQ92" s="115"/>
      <c r="YX92" s="22">
        <v>0</v>
      </c>
      <c r="YY92" s="22">
        <f>VLOOKUP(B92,'SCAFFOLDING MATERIAL OVERALL'!B94:S276,18,FALSE)</f>
        <v>1.04</v>
      </c>
      <c r="YZ92" s="22">
        <f t="shared" si="1"/>
        <v>0</v>
      </c>
    </row>
    <row r="93" spans="1:676" s="22" customFormat="1" x14ac:dyDescent="0.25">
      <c r="A93" s="17">
        <v>89</v>
      </c>
      <c r="B93" s="15">
        <v>3000008514</v>
      </c>
      <c r="C93" s="16" t="s">
        <v>101</v>
      </c>
      <c r="D93" s="44" t="s">
        <v>12</v>
      </c>
      <c r="OZ93" s="115"/>
      <c r="PA93" s="115"/>
      <c r="PB93" s="115"/>
      <c r="PC93" s="115"/>
      <c r="PD93" s="115"/>
      <c r="PE93" s="115"/>
      <c r="PF93" s="115"/>
      <c r="PG93" s="115"/>
      <c r="PH93" s="115"/>
      <c r="PI93" s="115"/>
      <c r="PJ93" s="115"/>
      <c r="PK93" s="115"/>
      <c r="PL93" s="115"/>
      <c r="PM93" s="115"/>
      <c r="PN93" s="115"/>
      <c r="PO93" s="115"/>
      <c r="PP93" s="115"/>
      <c r="PQ93" s="115"/>
      <c r="PR93" s="115"/>
      <c r="PS93" s="115"/>
      <c r="PT93" s="115"/>
      <c r="PU93" s="115"/>
      <c r="PV93" s="115"/>
      <c r="PW93" s="115"/>
      <c r="PX93" s="115"/>
      <c r="PY93" s="115"/>
      <c r="PZ93" s="115"/>
      <c r="QA93" s="115"/>
      <c r="QB93" s="115"/>
      <c r="QC93" s="115"/>
      <c r="QD93" s="115"/>
      <c r="QE93" s="115"/>
      <c r="QF93" s="115"/>
      <c r="QG93" s="115"/>
      <c r="QH93" s="115"/>
      <c r="QI93" s="115"/>
      <c r="QJ93" s="115"/>
      <c r="QK93" s="115"/>
      <c r="QL93" s="115"/>
      <c r="QM93" s="115"/>
      <c r="QN93" s="115"/>
      <c r="QO93" s="115"/>
      <c r="QP93" s="115"/>
      <c r="QQ93" s="115"/>
      <c r="QR93" s="115"/>
      <c r="QS93" s="115"/>
      <c r="QT93" s="115"/>
      <c r="QU93" s="115"/>
      <c r="QV93" s="115"/>
      <c r="QW93" s="115"/>
      <c r="QX93" s="115"/>
      <c r="QY93" s="115"/>
      <c r="QZ93" s="115"/>
      <c r="RA93" s="115"/>
      <c r="RB93" s="115"/>
      <c r="RC93" s="115"/>
      <c r="RD93" s="115"/>
      <c r="RE93" s="115"/>
      <c r="RF93" s="115"/>
      <c r="RG93" s="115"/>
      <c r="RH93" s="115"/>
      <c r="RI93" s="115"/>
      <c r="RJ93" s="115"/>
      <c r="RK93" s="115"/>
      <c r="RL93" s="115"/>
      <c r="RM93" s="115"/>
      <c r="RN93" s="115"/>
      <c r="RO93" s="115"/>
      <c r="RP93" s="115"/>
      <c r="RQ93" s="115"/>
      <c r="RR93" s="115"/>
      <c r="RS93" s="115"/>
      <c r="RT93" s="115"/>
      <c r="RU93" s="115"/>
      <c r="RV93" s="115"/>
      <c r="RW93" s="115"/>
      <c r="RX93" s="115"/>
      <c r="RY93" s="115"/>
      <c r="RZ93" s="115"/>
      <c r="SA93" s="115"/>
      <c r="SB93" s="115"/>
      <c r="SC93" s="115"/>
      <c r="SD93" s="115"/>
      <c r="SE93" s="115"/>
      <c r="SF93" s="115"/>
      <c r="SG93" s="115"/>
      <c r="SH93" s="115"/>
      <c r="SI93" s="115"/>
      <c r="SJ93" s="115"/>
      <c r="SK93" s="115"/>
      <c r="SL93" s="115"/>
      <c r="SM93" s="115"/>
      <c r="SN93" s="115"/>
      <c r="SO93" s="115"/>
      <c r="SP93" s="115"/>
      <c r="SQ93" s="115"/>
      <c r="SR93" s="115"/>
      <c r="SS93" s="115"/>
      <c r="ST93" s="115"/>
      <c r="SU93" s="115"/>
      <c r="SV93" s="115"/>
      <c r="SW93" s="115"/>
      <c r="SX93" s="115"/>
      <c r="SY93" s="115"/>
      <c r="SZ93" s="115"/>
      <c r="TA93" s="115"/>
      <c r="TB93" s="115"/>
      <c r="TC93" s="115"/>
      <c r="TD93" s="115"/>
      <c r="TE93" s="115"/>
      <c r="TF93" s="115"/>
      <c r="TG93" s="115"/>
      <c r="TH93" s="115"/>
      <c r="TI93" s="115"/>
      <c r="TJ93" s="115"/>
      <c r="TK93" s="115"/>
      <c r="TL93" s="115"/>
      <c r="TM93" s="115"/>
      <c r="TN93" s="115"/>
      <c r="TO93" s="115"/>
      <c r="TP93" s="115"/>
      <c r="TQ93" s="115"/>
      <c r="TR93" s="115"/>
      <c r="TS93" s="115"/>
      <c r="TT93" s="115"/>
      <c r="TU93" s="115"/>
      <c r="TV93" s="115"/>
      <c r="TW93" s="115"/>
      <c r="TX93" s="115"/>
      <c r="TY93" s="115"/>
      <c r="TZ93" s="115"/>
      <c r="UA93" s="115"/>
      <c r="UB93" s="115"/>
      <c r="UC93" s="115"/>
      <c r="UD93" s="115"/>
      <c r="UE93" s="115"/>
      <c r="UF93" s="115"/>
      <c r="UG93" s="115"/>
      <c r="UH93" s="115"/>
      <c r="UI93" s="115"/>
      <c r="UJ93" s="115"/>
      <c r="UK93" s="115"/>
      <c r="UL93" s="115"/>
      <c r="UM93" s="115"/>
      <c r="UN93" s="115"/>
      <c r="UO93" s="115"/>
      <c r="UP93" s="115"/>
      <c r="UQ93" s="115"/>
      <c r="UR93" s="115"/>
      <c r="US93" s="115"/>
      <c r="UT93" s="115"/>
      <c r="UU93" s="115"/>
      <c r="UV93" s="115"/>
      <c r="UW93" s="115"/>
      <c r="UX93" s="115"/>
      <c r="UY93" s="115"/>
      <c r="UZ93" s="115"/>
      <c r="VA93" s="115"/>
      <c r="VB93" s="115"/>
      <c r="VC93" s="115"/>
      <c r="VD93" s="115"/>
      <c r="VE93" s="115"/>
      <c r="VF93" s="115"/>
      <c r="VG93" s="115"/>
      <c r="VH93" s="115"/>
      <c r="VI93" s="115"/>
      <c r="VJ93" s="115"/>
      <c r="VK93" s="115"/>
      <c r="VL93" s="115"/>
      <c r="VM93" s="115"/>
      <c r="VN93" s="115"/>
      <c r="VO93" s="115"/>
      <c r="VP93" s="115"/>
      <c r="VQ93" s="115"/>
      <c r="VR93" s="115"/>
      <c r="VS93" s="115"/>
      <c r="VT93" s="115"/>
      <c r="VU93" s="115"/>
      <c r="VV93" s="115"/>
      <c r="VW93" s="115"/>
      <c r="VX93" s="115"/>
      <c r="VY93" s="115"/>
      <c r="VZ93" s="115"/>
      <c r="WA93" s="115"/>
      <c r="WB93" s="115"/>
      <c r="WC93" s="115"/>
      <c r="WD93" s="115"/>
      <c r="WE93" s="115"/>
      <c r="WF93" s="115"/>
      <c r="WG93" s="115"/>
      <c r="WH93" s="115"/>
      <c r="WI93" s="115"/>
      <c r="WJ93" s="115"/>
      <c r="WK93" s="115"/>
      <c r="WL93" s="115"/>
      <c r="WM93" s="115"/>
      <c r="WN93" s="115"/>
      <c r="WO93" s="115"/>
      <c r="WP93" s="115"/>
      <c r="WQ93" s="115"/>
      <c r="WR93" s="115"/>
      <c r="WS93" s="115"/>
      <c r="WT93" s="115"/>
      <c r="WU93" s="115"/>
      <c r="WV93" s="115"/>
      <c r="WW93" s="115"/>
      <c r="WX93" s="115"/>
      <c r="WY93" s="115"/>
      <c r="WZ93" s="115"/>
      <c r="XA93" s="115"/>
      <c r="XB93" s="115"/>
      <c r="XC93" s="115"/>
      <c r="XD93" s="115"/>
      <c r="XE93" s="115"/>
      <c r="XF93" s="115"/>
      <c r="XG93" s="115"/>
      <c r="XH93" s="115"/>
      <c r="XI93" s="115"/>
      <c r="XJ93" s="115"/>
      <c r="XK93" s="115"/>
      <c r="XL93" s="115"/>
      <c r="XM93" s="115"/>
      <c r="XN93" s="115"/>
      <c r="XO93" s="115"/>
      <c r="XP93" s="115"/>
      <c r="XQ93" s="115"/>
      <c r="XR93" s="115"/>
      <c r="XS93" s="115"/>
      <c r="XT93" s="115"/>
      <c r="XU93" s="115"/>
      <c r="XV93" s="115"/>
      <c r="XW93" s="115"/>
      <c r="XX93" s="115"/>
      <c r="XY93" s="115"/>
      <c r="XZ93" s="115"/>
      <c r="YA93" s="115"/>
      <c r="YB93" s="115"/>
      <c r="YC93" s="115"/>
      <c r="YD93" s="115"/>
      <c r="YE93" s="115"/>
      <c r="YF93" s="115"/>
      <c r="YG93" s="115"/>
      <c r="YH93" s="115"/>
      <c r="YI93" s="115"/>
      <c r="YJ93" s="115"/>
      <c r="YK93" s="115"/>
      <c r="YL93" s="115"/>
      <c r="YM93" s="115"/>
      <c r="YN93" s="115"/>
      <c r="YO93" s="115"/>
      <c r="YP93" s="115"/>
      <c r="YQ93" s="115"/>
      <c r="YX93" s="22">
        <v>0</v>
      </c>
      <c r="YY93" s="22">
        <f>VLOOKUP(B93,'SCAFFOLDING MATERIAL OVERALL'!B95:S277,18,FALSE)</f>
        <v>1.6E-2</v>
      </c>
      <c r="YZ93" s="22">
        <f t="shared" si="1"/>
        <v>0</v>
      </c>
    </row>
    <row r="94" spans="1:676" s="22" customFormat="1" x14ac:dyDescent="0.25">
      <c r="A94" s="14">
        <v>90</v>
      </c>
      <c r="B94" s="15">
        <v>3000008515</v>
      </c>
      <c r="C94" s="16" t="s">
        <v>102</v>
      </c>
      <c r="D94" s="44" t="s">
        <v>12</v>
      </c>
      <c r="OZ94" s="115"/>
      <c r="PA94" s="115"/>
      <c r="PB94" s="115"/>
      <c r="PC94" s="115"/>
      <c r="PD94" s="115"/>
      <c r="PE94" s="115"/>
      <c r="PF94" s="115"/>
      <c r="PG94" s="115"/>
      <c r="PH94" s="115"/>
      <c r="PI94" s="115"/>
      <c r="PJ94" s="115"/>
      <c r="PK94" s="115"/>
      <c r="PL94" s="115"/>
      <c r="PM94" s="115"/>
      <c r="PN94" s="115"/>
      <c r="PO94" s="115"/>
      <c r="PP94" s="115"/>
      <c r="PQ94" s="115"/>
      <c r="PR94" s="115"/>
      <c r="PS94" s="115"/>
      <c r="PT94" s="115"/>
      <c r="PU94" s="115"/>
      <c r="PV94" s="115"/>
      <c r="PW94" s="115"/>
      <c r="PX94" s="115"/>
      <c r="PY94" s="115"/>
      <c r="PZ94" s="115"/>
      <c r="QA94" s="115"/>
      <c r="QB94" s="115"/>
      <c r="QC94" s="115"/>
      <c r="QD94" s="115"/>
      <c r="QE94" s="115"/>
      <c r="QF94" s="115"/>
      <c r="QG94" s="115"/>
      <c r="QH94" s="115"/>
      <c r="QI94" s="115"/>
      <c r="QJ94" s="115"/>
      <c r="QK94" s="115"/>
      <c r="QL94" s="115"/>
      <c r="QM94" s="115"/>
      <c r="QN94" s="115"/>
      <c r="QO94" s="115"/>
      <c r="QP94" s="115"/>
      <c r="QQ94" s="115"/>
      <c r="QR94" s="115"/>
      <c r="QS94" s="115"/>
      <c r="QT94" s="115"/>
      <c r="QU94" s="115"/>
      <c r="QV94" s="115"/>
      <c r="QW94" s="115"/>
      <c r="QX94" s="115"/>
      <c r="QY94" s="115"/>
      <c r="QZ94" s="115"/>
      <c r="RA94" s="115"/>
      <c r="RB94" s="115"/>
      <c r="RC94" s="115"/>
      <c r="RD94" s="115"/>
      <c r="RE94" s="115"/>
      <c r="RF94" s="115"/>
      <c r="RG94" s="115"/>
      <c r="RH94" s="115"/>
      <c r="RI94" s="115"/>
      <c r="RJ94" s="115"/>
      <c r="RK94" s="115"/>
      <c r="RL94" s="115"/>
      <c r="RM94" s="115"/>
      <c r="RN94" s="115"/>
      <c r="RO94" s="115"/>
      <c r="RP94" s="115"/>
      <c r="RQ94" s="115"/>
      <c r="RR94" s="115"/>
      <c r="RS94" s="115"/>
      <c r="RT94" s="115"/>
      <c r="RU94" s="115"/>
      <c r="RV94" s="115"/>
      <c r="RW94" s="115"/>
      <c r="RX94" s="115"/>
      <c r="RY94" s="115"/>
      <c r="RZ94" s="115"/>
      <c r="SA94" s="115"/>
      <c r="SB94" s="115"/>
      <c r="SC94" s="115"/>
      <c r="SD94" s="115"/>
      <c r="SE94" s="115"/>
      <c r="SF94" s="115"/>
      <c r="SG94" s="115"/>
      <c r="SH94" s="115"/>
      <c r="SI94" s="115"/>
      <c r="SJ94" s="115"/>
      <c r="SK94" s="115"/>
      <c r="SL94" s="115"/>
      <c r="SM94" s="115"/>
      <c r="SN94" s="115"/>
      <c r="SO94" s="115"/>
      <c r="SP94" s="115"/>
      <c r="SQ94" s="115"/>
      <c r="SR94" s="115"/>
      <c r="SS94" s="115"/>
      <c r="ST94" s="115"/>
      <c r="SU94" s="115"/>
      <c r="SV94" s="115"/>
      <c r="SW94" s="115"/>
      <c r="SX94" s="115"/>
      <c r="SY94" s="115"/>
      <c r="SZ94" s="115"/>
      <c r="TA94" s="115"/>
      <c r="TB94" s="115"/>
      <c r="TC94" s="115"/>
      <c r="TD94" s="115"/>
      <c r="TE94" s="115"/>
      <c r="TF94" s="115"/>
      <c r="TG94" s="115"/>
      <c r="TH94" s="115"/>
      <c r="TI94" s="115"/>
      <c r="TJ94" s="115"/>
      <c r="TK94" s="115"/>
      <c r="TL94" s="115"/>
      <c r="TM94" s="115"/>
      <c r="TN94" s="115"/>
      <c r="TO94" s="115"/>
      <c r="TP94" s="115"/>
      <c r="TQ94" s="115"/>
      <c r="TR94" s="115"/>
      <c r="TS94" s="115"/>
      <c r="TT94" s="115"/>
      <c r="TU94" s="115"/>
      <c r="TV94" s="115"/>
      <c r="TW94" s="115"/>
      <c r="TX94" s="115"/>
      <c r="TY94" s="115"/>
      <c r="TZ94" s="115"/>
      <c r="UA94" s="115"/>
      <c r="UB94" s="115"/>
      <c r="UC94" s="115"/>
      <c r="UD94" s="115"/>
      <c r="UE94" s="115"/>
      <c r="UF94" s="115"/>
      <c r="UG94" s="115"/>
      <c r="UH94" s="115"/>
      <c r="UI94" s="115"/>
      <c r="UJ94" s="115"/>
      <c r="UK94" s="115"/>
      <c r="UL94" s="115"/>
      <c r="UM94" s="115"/>
      <c r="UN94" s="115"/>
      <c r="UO94" s="115"/>
      <c r="UP94" s="115"/>
      <c r="UQ94" s="115"/>
      <c r="UR94" s="115"/>
      <c r="US94" s="115"/>
      <c r="UT94" s="115"/>
      <c r="UU94" s="115"/>
      <c r="UV94" s="115"/>
      <c r="UW94" s="115"/>
      <c r="UX94" s="115"/>
      <c r="UY94" s="115"/>
      <c r="UZ94" s="115"/>
      <c r="VA94" s="115"/>
      <c r="VB94" s="115"/>
      <c r="VC94" s="115"/>
      <c r="VD94" s="115"/>
      <c r="VE94" s="115"/>
      <c r="VF94" s="115"/>
      <c r="VG94" s="115"/>
      <c r="VH94" s="115"/>
      <c r="VI94" s="115"/>
      <c r="VJ94" s="115"/>
      <c r="VK94" s="115"/>
      <c r="VL94" s="115"/>
      <c r="VM94" s="115"/>
      <c r="VN94" s="115"/>
      <c r="VO94" s="115"/>
      <c r="VP94" s="115"/>
      <c r="VQ94" s="115"/>
      <c r="VR94" s="115"/>
      <c r="VS94" s="115"/>
      <c r="VT94" s="115"/>
      <c r="VU94" s="115"/>
      <c r="VV94" s="115"/>
      <c r="VW94" s="115"/>
      <c r="VX94" s="115"/>
      <c r="VY94" s="115"/>
      <c r="VZ94" s="115"/>
      <c r="WA94" s="115"/>
      <c r="WB94" s="115"/>
      <c r="WC94" s="115"/>
      <c r="WD94" s="115"/>
      <c r="WE94" s="115"/>
      <c r="WF94" s="115"/>
      <c r="WG94" s="115"/>
      <c r="WH94" s="115"/>
      <c r="WI94" s="115"/>
      <c r="WJ94" s="115"/>
      <c r="WK94" s="115"/>
      <c r="WL94" s="115"/>
      <c r="WM94" s="115"/>
      <c r="WN94" s="115"/>
      <c r="WO94" s="115"/>
      <c r="WP94" s="115"/>
      <c r="WQ94" s="115"/>
      <c r="WR94" s="115"/>
      <c r="WS94" s="115"/>
      <c r="WT94" s="115"/>
      <c r="WU94" s="115"/>
      <c r="WV94" s="115"/>
      <c r="WW94" s="115"/>
      <c r="WX94" s="115"/>
      <c r="WY94" s="115"/>
      <c r="WZ94" s="115"/>
      <c r="XA94" s="115"/>
      <c r="XB94" s="115"/>
      <c r="XC94" s="115"/>
      <c r="XD94" s="115"/>
      <c r="XE94" s="115"/>
      <c r="XF94" s="115"/>
      <c r="XG94" s="115"/>
      <c r="XH94" s="115"/>
      <c r="XI94" s="115"/>
      <c r="XJ94" s="115"/>
      <c r="XK94" s="115"/>
      <c r="XL94" s="115"/>
      <c r="XM94" s="115"/>
      <c r="XN94" s="115"/>
      <c r="XO94" s="115"/>
      <c r="XP94" s="115"/>
      <c r="XQ94" s="115"/>
      <c r="XR94" s="115"/>
      <c r="XS94" s="115"/>
      <c r="XT94" s="115"/>
      <c r="XU94" s="115"/>
      <c r="XV94" s="115"/>
      <c r="XW94" s="115"/>
      <c r="XX94" s="115"/>
      <c r="XY94" s="115"/>
      <c r="XZ94" s="115"/>
      <c r="YA94" s="115"/>
      <c r="YB94" s="115"/>
      <c r="YC94" s="115"/>
      <c r="YD94" s="115"/>
      <c r="YE94" s="115"/>
      <c r="YF94" s="115"/>
      <c r="YG94" s="115"/>
      <c r="YH94" s="115"/>
      <c r="YI94" s="115"/>
      <c r="YJ94" s="115"/>
      <c r="YK94" s="115"/>
      <c r="YL94" s="115"/>
      <c r="YM94" s="115"/>
      <c r="YN94" s="115"/>
      <c r="YO94" s="115"/>
      <c r="YP94" s="115"/>
      <c r="YQ94" s="115"/>
      <c r="YX94" s="22">
        <v>0</v>
      </c>
      <c r="YY94" s="22">
        <f>VLOOKUP(B94,'SCAFFOLDING MATERIAL OVERALL'!B96:S278,18,FALSE)</f>
        <v>8.2000000000000003E-2</v>
      </c>
      <c r="YZ94" s="22">
        <f t="shared" si="1"/>
        <v>0</v>
      </c>
    </row>
    <row r="95" spans="1:676" s="22" customFormat="1" x14ac:dyDescent="0.25">
      <c r="A95" s="14">
        <v>91</v>
      </c>
      <c r="B95" s="15">
        <v>3000008521</v>
      </c>
      <c r="C95" s="16" t="s">
        <v>103</v>
      </c>
      <c r="D95" s="44" t="s">
        <v>12</v>
      </c>
      <c r="OZ95" s="115"/>
      <c r="PA95" s="115"/>
      <c r="PB95" s="115"/>
      <c r="PC95" s="115"/>
      <c r="PD95" s="115"/>
      <c r="PE95" s="115"/>
      <c r="PF95" s="115"/>
      <c r="PG95" s="115"/>
      <c r="PH95" s="115"/>
      <c r="PI95" s="115"/>
      <c r="PJ95" s="115"/>
      <c r="PK95" s="115"/>
      <c r="PL95" s="115"/>
      <c r="PM95" s="115"/>
      <c r="PN95" s="115"/>
      <c r="PO95" s="115"/>
      <c r="PP95" s="115"/>
      <c r="PQ95" s="115"/>
      <c r="PR95" s="115"/>
      <c r="PS95" s="115"/>
      <c r="PT95" s="115"/>
      <c r="PU95" s="115"/>
      <c r="PV95" s="115"/>
      <c r="PW95" s="115"/>
      <c r="PX95" s="115"/>
      <c r="PY95" s="115"/>
      <c r="PZ95" s="115"/>
      <c r="QA95" s="115"/>
      <c r="QB95" s="115"/>
      <c r="QC95" s="115"/>
      <c r="QD95" s="115"/>
      <c r="QE95" s="115"/>
      <c r="QF95" s="115"/>
      <c r="QG95" s="115"/>
      <c r="QH95" s="115"/>
      <c r="QI95" s="115"/>
      <c r="QJ95" s="115"/>
      <c r="QK95" s="115"/>
      <c r="QL95" s="115"/>
      <c r="QM95" s="115"/>
      <c r="QN95" s="115"/>
      <c r="QO95" s="115"/>
      <c r="QP95" s="115"/>
      <c r="QQ95" s="115"/>
      <c r="QR95" s="115"/>
      <c r="QS95" s="115"/>
      <c r="QT95" s="115"/>
      <c r="QU95" s="115"/>
      <c r="QV95" s="115"/>
      <c r="QW95" s="115"/>
      <c r="QX95" s="115"/>
      <c r="QY95" s="115"/>
      <c r="QZ95" s="115"/>
      <c r="RA95" s="115"/>
      <c r="RB95" s="115"/>
      <c r="RC95" s="115"/>
      <c r="RD95" s="115"/>
      <c r="RE95" s="115"/>
      <c r="RF95" s="115"/>
      <c r="RG95" s="115"/>
      <c r="RH95" s="115"/>
      <c r="RI95" s="115"/>
      <c r="RJ95" s="115"/>
      <c r="RK95" s="115"/>
      <c r="RL95" s="115"/>
      <c r="RM95" s="115"/>
      <c r="RN95" s="115"/>
      <c r="RO95" s="115"/>
      <c r="RP95" s="115"/>
      <c r="RQ95" s="115"/>
      <c r="RR95" s="115"/>
      <c r="RS95" s="115"/>
      <c r="RT95" s="115"/>
      <c r="RU95" s="115"/>
      <c r="RV95" s="115"/>
      <c r="RW95" s="115"/>
      <c r="RX95" s="115"/>
      <c r="RY95" s="115"/>
      <c r="RZ95" s="115"/>
      <c r="SA95" s="115"/>
      <c r="SB95" s="115"/>
      <c r="SC95" s="115"/>
      <c r="SD95" s="115"/>
      <c r="SE95" s="115"/>
      <c r="SF95" s="115"/>
      <c r="SG95" s="115"/>
      <c r="SH95" s="115"/>
      <c r="SI95" s="115"/>
      <c r="SJ95" s="115"/>
      <c r="SK95" s="115"/>
      <c r="SL95" s="115"/>
      <c r="SM95" s="115"/>
      <c r="SN95" s="115"/>
      <c r="SO95" s="115"/>
      <c r="SP95" s="115"/>
      <c r="SQ95" s="115"/>
      <c r="SR95" s="115"/>
      <c r="SS95" s="115"/>
      <c r="ST95" s="115"/>
      <c r="SU95" s="115"/>
      <c r="SV95" s="115"/>
      <c r="SW95" s="115"/>
      <c r="SX95" s="115"/>
      <c r="SY95" s="115"/>
      <c r="SZ95" s="115"/>
      <c r="TA95" s="115"/>
      <c r="TB95" s="115"/>
      <c r="TC95" s="115"/>
      <c r="TD95" s="115"/>
      <c r="TE95" s="115"/>
      <c r="TF95" s="115"/>
      <c r="TG95" s="115"/>
      <c r="TH95" s="115"/>
      <c r="TI95" s="115"/>
      <c r="TJ95" s="115"/>
      <c r="TK95" s="115"/>
      <c r="TL95" s="115"/>
      <c r="TM95" s="115"/>
      <c r="TN95" s="115"/>
      <c r="TO95" s="115"/>
      <c r="TP95" s="115"/>
      <c r="TQ95" s="115"/>
      <c r="TR95" s="115"/>
      <c r="TS95" s="115"/>
      <c r="TT95" s="115"/>
      <c r="TU95" s="115"/>
      <c r="TV95" s="115"/>
      <c r="TW95" s="115"/>
      <c r="TX95" s="115"/>
      <c r="TY95" s="115"/>
      <c r="TZ95" s="115"/>
      <c r="UA95" s="115"/>
      <c r="UB95" s="115"/>
      <c r="UC95" s="115"/>
      <c r="UD95" s="115"/>
      <c r="UE95" s="115"/>
      <c r="UF95" s="115"/>
      <c r="UG95" s="115"/>
      <c r="UH95" s="115"/>
      <c r="UI95" s="115"/>
      <c r="UJ95" s="115"/>
      <c r="UK95" s="115"/>
      <c r="UL95" s="115"/>
      <c r="UM95" s="115"/>
      <c r="UN95" s="115"/>
      <c r="UO95" s="115"/>
      <c r="UP95" s="115"/>
      <c r="UQ95" s="115"/>
      <c r="UR95" s="115"/>
      <c r="US95" s="115"/>
      <c r="UT95" s="115"/>
      <c r="UU95" s="115"/>
      <c r="UV95" s="115"/>
      <c r="UW95" s="115"/>
      <c r="UX95" s="115"/>
      <c r="UY95" s="115"/>
      <c r="UZ95" s="115"/>
      <c r="VA95" s="115"/>
      <c r="VB95" s="115"/>
      <c r="VC95" s="115"/>
      <c r="VD95" s="115"/>
      <c r="VE95" s="115"/>
      <c r="VF95" s="115"/>
      <c r="VG95" s="115"/>
      <c r="VH95" s="115"/>
      <c r="VI95" s="115"/>
      <c r="VJ95" s="115"/>
      <c r="VK95" s="115"/>
      <c r="VL95" s="115"/>
      <c r="VM95" s="115"/>
      <c r="VN95" s="115"/>
      <c r="VO95" s="115"/>
      <c r="VP95" s="115"/>
      <c r="VQ95" s="115"/>
      <c r="VR95" s="115"/>
      <c r="VS95" s="115"/>
      <c r="VT95" s="115"/>
      <c r="VU95" s="115"/>
      <c r="VV95" s="115"/>
      <c r="VW95" s="115"/>
      <c r="VX95" s="115"/>
      <c r="VY95" s="115"/>
      <c r="VZ95" s="115"/>
      <c r="WA95" s="115"/>
      <c r="WB95" s="115"/>
      <c r="WC95" s="115"/>
      <c r="WD95" s="115"/>
      <c r="WE95" s="115"/>
      <c r="WF95" s="115"/>
      <c r="WG95" s="115"/>
      <c r="WH95" s="115"/>
      <c r="WI95" s="115"/>
      <c r="WJ95" s="115"/>
      <c r="WK95" s="115"/>
      <c r="WL95" s="115"/>
      <c r="WM95" s="115"/>
      <c r="WN95" s="115"/>
      <c r="WO95" s="115"/>
      <c r="WP95" s="115"/>
      <c r="WQ95" s="115"/>
      <c r="WR95" s="115"/>
      <c r="WS95" s="115"/>
      <c r="WT95" s="115"/>
      <c r="WU95" s="115"/>
      <c r="WV95" s="115"/>
      <c r="WW95" s="115"/>
      <c r="WX95" s="115"/>
      <c r="WY95" s="115"/>
      <c r="WZ95" s="115"/>
      <c r="XA95" s="115"/>
      <c r="XB95" s="115"/>
      <c r="XC95" s="115"/>
      <c r="XD95" s="115"/>
      <c r="XE95" s="115"/>
      <c r="XF95" s="115"/>
      <c r="XG95" s="115"/>
      <c r="XH95" s="115"/>
      <c r="XI95" s="115"/>
      <c r="XJ95" s="115"/>
      <c r="XK95" s="115"/>
      <c r="XL95" s="115"/>
      <c r="XM95" s="115"/>
      <c r="XN95" s="115"/>
      <c r="XO95" s="115"/>
      <c r="XP95" s="115"/>
      <c r="XQ95" s="115"/>
      <c r="XR95" s="115"/>
      <c r="XS95" s="115"/>
      <c r="XT95" s="115"/>
      <c r="XU95" s="115"/>
      <c r="XV95" s="115"/>
      <c r="XW95" s="115"/>
      <c r="XX95" s="115"/>
      <c r="XY95" s="115"/>
      <c r="XZ95" s="115"/>
      <c r="YA95" s="115"/>
      <c r="YB95" s="115"/>
      <c r="YC95" s="115"/>
      <c r="YD95" s="115"/>
      <c r="YE95" s="115"/>
      <c r="YF95" s="115"/>
      <c r="YG95" s="115"/>
      <c r="YH95" s="115"/>
      <c r="YI95" s="115"/>
      <c r="YJ95" s="115"/>
      <c r="YK95" s="115"/>
      <c r="YL95" s="115"/>
      <c r="YM95" s="115"/>
      <c r="YN95" s="115"/>
      <c r="YO95" s="115"/>
      <c r="YP95" s="115"/>
      <c r="YQ95" s="115"/>
      <c r="YX95" s="22">
        <v>0</v>
      </c>
      <c r="YY95" s="22">
        <f>VLOOKUP(B95,'SCAFFOLDING MATERIAL OVERALL'!B97:S279,18,FALSE)</f>
        <v>0.91</v>
      </c>
      <c r="YZ95" s="22">
        <f t="shared" si="1"/>
        <v>0</v>
      </c>
    </row>
    <row r="96" spans="1:676" s="22" customFormat="1" x14ac:dyDescent="0.25">
      <c r="A96" s="17">
        <v>92</v>
      </c>
      <c r="B96" s="15">
        <v>5000000019</v>
      </c>
      <c r="C96" s="16" t="s">
        <v>104</v>
      </c>
      <c r="D96" s="44" t="s">
        <v>12</v>
      </c>
      <c r="OZ96" s="115"/>
      <c r="PA96" s="115"/>
      <c r="PB96" s="115"/>
      <c r="PC96" s="115"/>
      <c r="PD96" s="115"/>
      <c r="PE96" s="115"/>
      <c r="PF96" s="115"/>
      <c r="PG96" s="115"/>
      <c r="PH96" s="115"/>
      <c r="PI96" s="115"/>
      <c r="PJ96" s="115"/>
      <c r="PK96" s="115"/>
      <c r="PL96" s="115"/>
      <c r="PM96" s="115"/>
      <c r="PN96" s="115"/>
      <c r="PO96" s="115"/>
      <c r="PP96" s="115"/>
      <c r="PQ96" s="115"/>
      <c r="PR96" s="115"/>
      <c r="PS96" s="115"/>
      <c r="PT96" s="115"/>
      <c r="PU96" s="115"/>
      <c r="PV96" s="115"/>
      <c r="PW96" s="115"/>
      <c r="PX96" s="115"/>
      <c r="PY96" s="115"/>
      <c r="PZ96" s="115"/>
      <c r="QA96" s="115"/>
      <c r="QB96" s="115"/>
      <c r="QC96" s="115"/>
      <c r="QD96" s="115"/>
      <c r="QE96" s="115"/>
      <c r="QF96" s="115"/>
      <c r="QG96" s="115"/>
      <c r="QH96" s="115"/>
      <c r="QI96" s="115"/>
      <c r="QJ96" s="115"/>
      <c r="QK96" s="115"/>
      <c r="QL96" s="115"/>
      <c r="QM96" s="115"/>
      <c r="QN96" s="115"/>
      <c r="QO96" s="115"/>
      <c r="QP96" s="115"/>
      <c r="QQ96" s="115"/>
      <c r="QR96" s="115"/>
      <c r="QS96" s="115"/>
      <c r="QT96" s="115"/>
      <c r="QU96" s="115"/>
      <c r="QV96" s="115"/>
      <c r="QW96" s="115"/>
      <c r="QX96" s="115"/>
      <c r="QY96" s="115"/>
      <c r="QZ96" s="115"/>
      <c r="RA96" s="115"/>
      <c r="RB96" s="115"/>
      <c r="RC96" s="115"/>
      <c r="RD96" s="115"/>
      <c r="RE96" s="115"/>
      <c r="RF96" s="115"/>
      <c r="RG96" s="115"/>
      <c r="RH96" s="115"/>
      <c r="RI96" s="115"/>
      <c r="RJ96" s="115"/>
      <c r="RK96" s="115"/>
      <c r="RL96" s="115"/>
      <c r="RM96" s="115"/>
      <c r="RN96" s="115"/>
      <c r="RO96" s="115"/>
      <c r="RP96" s="115"/>
      <c r="RQ96" s="115"/>
      <c r="RR96" s="115"/>
      <c r="RS96" s="115"/>
      <c r="RT96" s="115"/>
      <c r="RU96" s="115"/>
      <c r="RV96" s="115"/>
      <c r="RW96" s="115"/>
      <c r="RX96" s="115"/>
      <c r="RY96" s="115"/>
      <c r="RZ96" s="115"/>
      <c r="SA96" s="115"/>
      <c r="SB96" s="115"/>
      <c r="SC96" s="115"/>
      <c r="SD96" s="115"/>
      <c r="SE96" s="115"/>
      <c r="SF96" s="115"/>
      <c r="SG96" s="115"/>
      <c r="SH96" s="115"/>
      <c r="SI96" s="115"/>
      <c r="SJ96" s="115"/>
      <c r="SK96" s="115"/>
      <c r="SL96" s="115"/>
      <c r="SM96" s="115"/>
      <c r="SN96" s="115"/>
      <c r="SO96" s="115"/>
      <c r="SP96" s="115"/>
      <c r="SQ96" s="115"/>
      <c r="SR96" s="115"/>
      <c r="SS96" s="115"/>
      <c r="ST96" s="115"/>
      <c r="SU96" s="115"/>
      <c r="SV96" s="115"/>
      <c r="SW96" s="115"/>
      <c r="SX96" s="115"/>
      <c r="SY96" s="115"/>
      <c r="SZ96" s="115"/>
      <c r="TA96" s="115"/>
      <c r="TB96" s="115"/>
      <c r="TC96" s="115"/>
      <c r="TD96" s="115"/>
      <c r="TE96" s="115"/>
      <c r="TF96" s="115"/>
      <c r="TG96" s="115"/>
      <c r="TH96" s="115"/>
      <c r="TI96" s="115"/>
      <c r="TJ96" s="115"/>
      <c r="TK96" s="115"/>
      <c r="TL96" s="115"/>
      <c r="TM96" s="115"/>
      <c r="TN96" s="115"/>
      <c r="TO96" s="115"/>
      <c r="TP96" s="115"/>
      <c r="TQ96" s="115"/>
      <c r="TR96" s="115"/>
      <c r="TS96" s="115"/>
      <c r="TT96" s="115"/>
      <c r="TU96" s="115"/>
      <c r="TV96" s="115"/>
      <c r="TW96" s="115"/>
      <c r="TX96" s="115"/>
      <c r="TY96" s="115"/>
      <c r="TZ96" s="115"/>
      <c r="UA96" s="115"/>
      <c r="UB96" s="115"/>
      <c r="UC96" s="115"/>
      <c r="UD96" s="115"/>
      <c r="UE96" s="115"/>
      <c r="UF96" s="115"/>
      <c r="UG96" s="115"/>
      <c r="UH96" s="115"/>
      <c r="UI96" s="115"/>
      <c r="UJ96" s="115"/>
      <c r="UK96" s="115"/>
      <c r="UL96" s="115"/>
      <c r="UM96" s="115"/>
      <c r="UN96" s="115"/>
      <c r="UO96" s="115"/>
      <c r="UP96" s="115"/>
      <c r="UQ96" s="115"/>
      <c r="UR96" s="115"/>
      <c r="US96" s="115"/>
      <c r="UT96" s="115"/>
      <c r="UU96" s="115"/>
      <c r="UV96" s="115"/>
      <c r="UW96" s="115"/>
      <c r="UX96" s="115"/>
      <c r="UY96" s="115"/>
      <c r="UZ96" s="115"/>
      <c r="VA96" s="115"/>
      <c r="VB96" s="115"/>
      <c r="VC96" s="115"/>
      <c r="VD96" s="115"/>
      <c r="VE96" s="115"/>
      <c r="VF96" s="115"/>
      <c r="VG96" s="115"/>
      <c r="VH96" s="115"/>
      <c r="VI96" s="115"/>
      <c r="VJ96" s="115"/>
      <c r="VK96" s="115"/>
      <c r="VL96" s="115"/>
      <c r="VM96" s="115"/>
      <c r="VN96" s="115"/>
      <c r="VO96" s="115"/>
      <c r="VP96" s="115"/>
      <c r="VQ96" s="115"/>
      <c r="VR96" s="115"/>
      <c r="VS96" s="115"/>
      <c r="VT96" s="115"/>
      <c r="VU96" s="115"/>
      <c r="VV96" s="115"/>
      <c r="VW96" s="115"/>
      <c r="VX96" s="115"/>
      <c r="VY96" s="115"/>
      <c r="VZ96" s="115"/>
      <c r="WA96" s="115"/>
      <c r="WB96" s="115"/>
      <c r="WC96" s="115"/>
      <c r="WD96" s="115"/>
      <c r="WE96" s="115"/>
      <c r="WF96" s="115"/>
      <c r="WG96" s="115"/>
      <c r="WH96" s="115"/>
      <c r="WI96" s="115"/>
      <c r="WJ96" s="115"/>
      <c r="WK96" s="115"/>
      <c r="WL96" s="115"/>
      <c r="WM96" s="115"/>
      <c r="WN96" s="115"/>
      <c r="WO96" s="115"/>
      <c r="WP96" s="115"/>
      <c r="WQ96" s="115"/>
      <c r="WR96" s="115"/>
      <c r="WS96" s="115"/>
      <c r="WT96" s="115"/>
      <c r="WU96" s="115"/>
      <c r="WV96" s="115"/>
      <c r="WW96" s="115"/>
      <c r="WX96" s="115"/>
      <c r="WY96" s="115"/>
      <c r="WZ96" s="115"/>
      <c r="XA96" s="115"/>
      <c r="XB96" s="115"/>
      <c r="XC96" s="115"/>
      <c r="XD96" s="115"/>
      <c r="XE96" s="115"/>
      <c r="XF96" s="115"/>
      <c r="XG96" s="115"/>
      <c r="XH96" s="115"/>
      <c r="XI96" s="115"/>
      <c r="XJ96" s="115"/>
      <c r="XK96" s="115"/>
      <c r="XL96" s="115"/>
      <c r="XM96" s="115"/>
      <c r="XN96" s="115"/>
      <c r="XO96" s="115"/>
      <c r="XP96" s="115"/>
      <c r="XQ96" s="115"/>
      <c r="XR96" s="115"/>
      <c r="XS96" s="115"/>
      <c r="XT96" s="115"/>
      <c r="XU96" s="115"/>
      <c r="XV96" s="115"/>
      <c r="XW96" s="115"/>
      <c r="XX96" s="115"/>
      <c r="XY96" s="115"/>
      <c r="XZ96" s="115"/>
      <c r="YA96" s="115"/>
      <c r="YB96" s="115"/>
      <c r="YC96" s="115"/>
      <c r="YD96" s="115"/>
      <c r="YE96" s="115"/>
      <c r="YF96" s="115"/>
      <c r="YG96" s="115"/>
      <c r="YH96" s="115"/>
      <c r="YI96" s="115"/>
      <c r="YJ96" s="115"/>
      <c r="YK96" s="115"/>
      <c r="YL96" s="115"/>
      <c r="YM96" s="115"/>
      <c r="YN96" s="115"/>
      <c r="YO96" s="115"/>
      <c r="YP96" s="115"/>
      <c r="YQ96" s="115"/>
      <c r="YX96" s="22">
        <v>0</v>
      </c>
      <c r="YY96" s="22">
        <f>VLOOKUP(B96,'SCAFFOLDING MATERIAL OVERALL'!B98:S280,18,FALSE)</f>
        <v>0</v>
      </c>
      <c r="YZ96" s="22">
        <f t="shared" si="1"/>
        <v>0</v>
      </c>
    </row>
    <row r="97" spans="1:676" s="22" customFormat="1" x14ac:dyDescent="0.25">
      <c r="A97" s="14">
        <v>93</v>
      </c>
      <c r="B97" s="15">
        <v>5000000018</v>
      </c>
      <c r="C97" s="16" t="s">
        <v>105</v>
      </c>
      <c r="D97" s="44" t="s">
        <v>12</v>
      </c>
      <c r="OZ97" s="115"/>
      <c r="PA97" s="115"/>
      <c r="PB97" s="115"/>
      <c r="PC97" s="115"/>
      <c r="PD97" s="115"/>
      <c r="PE97" s="115"/>
      <c r="PF97" s="115"/>
      <c r="PG97" s="115"/>
      <c r="PH97" s="115"/>
      <c r="PI97" s="115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5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5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5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5"/>
      <c r="YP97" s="115"/>
      <c r="YQ97" s="115"/>
      <c r="YX97" s="22">
        <v>0</v>
      </c>
      <c r="YY97" s="22">
        <f>VLOOKUP(B97,'SCAFFOLDING MATERIAL OVERALL'!B99:S281,18,FALSE)</f>
        <v>0</v>
      </c>
      <c r="YZ97" s="22">
        <f t="shared" si="1"/>
        <v>0</v>
      </c>
    </row>
    <row r="98" spans="1:676" s="22" customFormat="1" x14ac:dyDescent="0.25">
      <c r="A98" s="14">
        <v>94</v>
      </c>
      <c r="B98" s="15">
        <v>3000004956</v>
      </c>
      <c r="C98" s="16" t="s">
        <v>106</v>
      </c>
      <c r="D98" s="44" t="s">
        <v>12</v>
      </c>
      <c r="OZ98" s="115"/>
      <c r="PA98" s="115"/>
      <c r="PB98" s="115"/>
      <c r="PC98" s="115"/>
      <c r="PD98" s="115"/>
      <c r="PE98" s="115"/>
      <c r="PF98" s="115"/>
      <c r="PG98" s="115"/>
      <c r="PH98" s="115"/>
      <c r="PI98" s="115"/>
      <c r="PJ98" s="115"/>
      <c r="PK98" s="115"/>
      <c r="PL98" s="115"/>
      <c r="PM98" s="115"/>
      <c r="PN98" s="115"/>
      <c r="PO98" s="115"/>
      <c r="PP98" s="115"/>
      <c r="PQ98" s="115"/>
      <c r="PR98" s="115"/>
      <c r="PS98" s="115"/>
      <c r="PT98" s="115"/>
      <c r="PU98" s="115"/>
      <c r="PV98" s="115"/>
      <c r="PW98" s="115"/>
      <c r="PX98" s="115"/>
      <c r="PY98" s="115"/>
      <c r="PZ98" s="115"/>
      <c r="QA98" s="115"/>
      <c r="QB98" s="115"/>
      <c r="QC98" s="115"/>
      <c r="QD98" s="115"/>
      <c r="QE98" s="115"/>
      <c r="QF98" s="115"/>
      <c r="QG98" s="115"/>
      <c r="QH98" s="115"/>
      <c r="QI98" s="115"/>
      <c r="QJ98" s="115"/>
      <c r="QK98" s="115"/>
      <c r="QL98" s="115"/>
      <c r="QM98" s="115"/>
      <c r="QN98" s="115"/>
      <c r="QO98" s="115"/>
      <c r="QP98" s="115"/>
      <c r="QQ98" s="115"/>
      <c r="QR98" s="115"/>
      <c r="QS98" s="115"/>
      <c r="QT98" s="115"/>
      <c r="QU98" s="115"/>
      <c r="QV98" s="115"/>
      <c r="QW98" s="115"/>
      <c r="QX98" s="115"/>
      <c r="QY98" s="115"/>
      <c r="QZ98" s="115"/>
      <c r="RA98" s="115"/>
      <c r="RB98" s="115"/>
      <c r="RC98" s="115"/>
      <c r="RD98" s="115"/>
      <c r="RE98" s="115"/>
      <c r="RF98" s="115"/>
      <c r="RG98" s="115"/>
      <c r="RH98" s="115"/>
      <c r="RI98" s="115"/>
      <c r="RJ98" s="115"/>
      <c r="RK98" s="115"/>
      <c r="RL98" s="115"/>
      <c r="RM98" s="115"/>
      <c r="RN98" s="115"/>
      <c r="RO98" s="115"/>
      <c r="RP98" s="115"/>
      <c r="RQ98" s="115"/>
      <c r="RR98" s="115"/>
      <c r="RS98" s="115"/>
      <c r="RT98" s="115"/>
      <c r="RU98" s="115"/>
      <c r="RV98" s="115"/>
      <c r="RW98" s="115"/>
      <c r="RX98" s="115"/>
      <c r="RY98" s="115"/>
      <c r="RZ98" s="115"/>
      <c r="SA98" s="115"/>
      <c r="SB98" s="115"/>
      <c r="SC98" s="115"/>
      <c r="SD98" s="115"/>
      <c r="SE98" s="115"/>
      <c r="SF98" s="115"/>
      <c r="SG98" s="115"/>
      <c r="SH98" s="115"/>
      <c r="SI98" s="115"/>
      <c r="SJ98" s="115"/>
      <c r="SK98" s="115"/>
      <c r="SL98" s="115"/>
      <c r="SM98" s="115"/>
      <c r="SN98" s="115"/>
      <c r="SO98" s="115"/>
      <c r="SP98" s="115"/>
      <c r="SQ98" s="115"/>
      <c r="SR98" s="115"/>
      <c r="SS98" s="115"/>
      <c r="ST98" s="115"/>
      <c r="SU98" s="115"/>
      <c r="SV98" s="115"/>
      <c r="SW98" s="115"/>
      <c r="SX98" s="115"/>
      <c r="SY98" s="115"/>
      <c r="SZ98" s="115"/>
      <c r="TA98" s="115"/>
      <c r="TB98" s="115"/>
      <c r="TC98" s="115"/>
      <c r="TD98" s="115"/>
      <c r="TE98" s="115"/>
      <c r="TF98" s="115"/>
      <c r="TG98" s="115"/>
      <c r="TH98" s="115"/>
      <c r="TI98" s="115"/>
      <c r="TJ98" s="115"/>
      <c r="TK98" s="115"/>
      <c r="TL98" s="115"/>
      <c r="TM98" s="115"/>
      <c r="TN98" s="115"/>
      <c r="TO98" s="115"/>
      <c r="TP98" s="115"/>
      <c r="TQ98" s="115"/>
      <c r="TR98" s="115"/>
      <c r="TS98" s="115"/>
      <c r="TT98" s="115"/>
      <c r="TU98" s="115"/>
      <c r="TV98" s="115"/>
      <c r="TW98" s="115"/>
      <c r="TX98" s="115"/>
      <c r="TY98" s="115"/>
      <c r="TZ98" s="115"/>
      <c r="UA98" s="115"/>
      <c r="UB98" s="115"/>
      <c r="UC98" s="115"/>
      <c r="UD98" s="115"/>
      <c r="UE98" s="115"/>
      <c r="UF98" s="115"/>
      <c r="UG98" s="115"/>
      <c r="UH98" s="115"/>
      <c r="UI98" s="115"/>
      <c r="UJ98" s="115"/>
      <c r="UK98" s="115"/>
      <c r="UL98" s="115"/>
      <c r="UM98" s="115"/>
      <c r="UN98" s="115"/>
      <c r="UO98" s="115"/>
      <c r="UP98" s="115"/>
      <c r="UQ98" s="115"/>
      <c r="UR98" s="115"/>
      <c r="US98" s="115"/>
      <c r="UT98" s="115"/>
      <c r="UU98" s="115"/>
      <c r="UV98" s="115"/>
      <c r="UW98" s="115"/>
      <c r="UX98" s="115"/>
      <c r="UY98" s="115"/>
      <c r="UZ98" s="115"/>
      <c r="VA98" s="115"/>
      <c r="VB98" s="115"/>
      <c r="VC98" s="115"/>
      <c r="VD98" s="115"/>
      <c r="VE98" s="115"/>
      <c r="VF98" s="115"/>
      <c r="VG98" s="115"/>
      <c r="VH98" s="115"/>
      <c r="VI98" s="115"/>
      <c r="VJ98" s="115"/>
      <c r="VK98" s="115"/>
      <c r="VL98" s="115"/>
      <c r="VM98" s="115"/>
      <c r="VN98" s="115"/>
      <c r="VO98" s="115"/>
      <c r="VP98" s="115"/>
      <c r="VQ98" s="115"/>
      <c r="VR98" s="115"/>
      <c r="VS98" s="115"/>
      <c r="VT98" s="115"/>
      <c r="VU98" s="115"/>
      <c r="VV98" s="115"/>
      <c r="VW98" s="115"/>
      <c r="VX98" s="115"/>
      <c r="VY98" s="115"/>
      <c r="VZ98" s="115"/>
      <c r="WA98" s="115"/>
      <c r="WB98" s="115"/>
      <c r="WC98" s="115"/>
      <c r="WD98" s="115"/>
      <c r="WE98" s="115"/>
      <c r="WF98" s="115"/>
      <c r="WG98" s="115"/>
      <c r="WH98" s="115"/>
      <c r="WI98" s="115"/>
      <c r="WJ98" s="115"/>
      <c r="WK98" s="115"/>
      <c r="WL98" s="115"/>
      <c r="WM98" s="115"/>
      <c r="WN98" s="115"/>
      <c r="WO98" s="115"/>
      <c r="WP98" s="115"/>
      <c r="WQ98" s="115"/>
      <c r="WR98" s="115"/>
      <c r="WS98" s="115"/>
      <c r="WT98" s="115"/>
      <c r="WU98" s="115"/>
      <c r="WV98" s="115"/>
      <c r="WW98" s="115"/>
      <c r="WX98" s="115"/>
      <c r="WY98" s="115"/>
      <c r="WZ98" s="115"/>
      <c r="XA98" s="115"/>
      <c r="XB98" s="115"/>
      <c r="XC98" s="115"/>
      <c r="XD98" s="115"/>
      <c r="XE98" s="115"/>
      <c r="XF98" s="115"/>
      <c r="XG98" s="115"/>
      <c r="XH98" s="115"/>
      <c r="XI98" s="115"/>
      <c r="XJ98" s="115"/>
      <c r="XK98" s="115"/>
      <c r="XL98" s="115"/>
      <c r="XM98" s="115"/>
      <c r="XN98" s="115"/>
      <c r="XO98" s="115"/>
      <c r="XP98" s="115"/>
      <c r="XQ98" s="115"/>
      <c r="XR98" s="115"/>
      <c r="XS98" s="115"/>
      <c r="XT98" s="115"/>
      <c r="XU98" s="115"/>
      <c r="XV98" s="115"/>
      <c r="XW98" s="115"/>
      <c r="XX98" s="115"/>
      <c r="XY98" s="115"/>
      <c r="XZ98" s="115"/>
      <c r="YA98" s="115"/>
      <c r="YB98" s="115"/>
      <c r="YC98" s="115"/>
      <c r="YD98" s="115"/>
      <c r="YE98" s="115"/>
      <c r="YF98" s="115"/>
      <c r="YG98" s="115"/>
      <c r="YH98" s="115"/>
      <c r="YI98" s="115"/>
      <c r="YJ98" s="115"/>
      <c r="YK98" s="115"/>
      <c r="YL98" s="115"/>
      <c r="YM98" s="115"/>
      <c r="YN98" s="115"/>
      <c r="YO98" s="115"/>
      <c r="YP98" s="115"/>
      <c r="YQ98" s="115"/>
      <c r="YX98" s="22">
        <v>0</v>
      </c>
      <c r="YY98" s="22">
        <f>VLOOKUP(B98,'SCAFFOLDING MATERIAL OVERALL'!B100:S282,18,FALSE)</f>
        <v>14.2</v>
      </c>
      <c r="YZ98" s="22">
        <f t="shared" si="1"/>
        <v>0</v>
      </c>
    </row>
    <row r="99" spans="1:676" s="22" customFormat="1" x14ac:dyDescent="0.25">
      <c r="A99" s="17">
        <v>95</v>
      </c>
      <c r="B99" s="15">
        <v>3000004954</v>
      </c>
      <c r="C99" s="16" t="s">
        <v>107</v>
      </c>
      <c r="D99" s="44" t="s">
        <v>12</v>
      </c>
      <c r="OZ99" s="115"/>
      <c r="PA99" s="115"/>
      <c r="PB99" s="115"/>
      <c r="PC99" s="115"/>
      <c r="PD99" s="115"/>
      <c r="PE99" s="115"/>
      <c r="PF99" s="115"/>
      <c r="PG99" s="115"/>
      <c r="PH99" s="115"/>
      <c r="PI99" s="115"/>
      <c r="PJ99" s="115"/>
      <c r="PK99" s="115"/>
      <c r="PL99" s="115"/>
      <c r="PM99" s="115"/>
      <c r="PN99" s="115"/>
      <c r="PO99" s="115"/>
      <c r="PP99" s="115"/>
      <c r="PQ99" s="115"/>
      <c r="PR99" s="115"/>
      <c r="PS99" s="115"/>
      <c r="PT99" s="115"/>
      <c r="PU99" s="115"/>
      <c r="PV99" s="115"/>
      <c r="PW99" s="115"/>
      <c r="PX99" s="115"/>
      <c r="PY99" s="115"/>
      <c r="PZ99" s="115"/>
      <c r="QA99" s="115"/>
      <c r="QB99" s="115"/>
      <c r="QC99" s="115"/>
      <c r="QD99" s="115"/>
      <c r="QE99" s="115"/>
      <c r="QF99" s="115"/>
      <c r="QG99" s="115"/>
      <c r="QH99" s="115"/>
      <c r="QI99" s="115"/>
      <c r="QJ99" s="115"/>
      <c r="QK99" s="115"/>
      <c r="QL99" s="115"/>
      <c r="QM99" s="115"/>
      <c r="QN99" s="115"/>
      <c r="QO99" s="115"/>
      <c r="QP99" s="115"/>
      <c r="QQ99" s="115"/>
      <c r="QR99" s="115"/>
      <c r="QS99" s="115"/>
      <c r="QT99" s="115"/>
      <c r="QU99" s="115"/>
      <c r="QV99" s="115"/>
      <c r="QW99" s="115"/>
      <c r="QX99" s="115"/>
      <c r="QY99" s="115"/>
      <c r="QZ99" s="115"/>
      <c r="RA99" s="115"/>
      <c r="RB99" s="115"/>
      <c r="RC99" s="115"/>
      <c r="RD99" s="115"/>
      <c r="RE99" s="115"/>
      <c r="RF99" s="115"/>
      <c r="RG99" s="115"/>
      <c r="RH99" s="115"/>
      <c r="RI99" s="115"/>
      <c r="RJ99" s="115"/>
      <c r="RK99" s="115"/>
      <c r="RL99" s="115"/>
      <c r="RM99" s="115"/>
      <c r="RN99" s="115"/>
      <c r="RO99" s="115"/>
      <c r="RP99" s="115"/>
      <c r="RQ99" s="115"/>
      <c r="RR99" s="115"/>
      <c r="RS99" s="115"/>
      <c r="RT99" s="115"/>
      <c r="RU99" s="115"/>
      <c r="RV99" s="115"/>
      <c r="RW99" s="115"/>
      <c r="RX99" s="115"/>
      <c r="RY99" s="115"/>
      <c r="RZ99" s="115"/>
      <c r="SA99" s="115"/>
      <c r="SB99" s="115"/>
      <c r="SC99" s="115"/>
      <c r="SD99" s="115"/>
      <c r="SE99" s="115"/>
      <c r="SF99" s="115"/>
      <c r="SG99" s="115"/>
      <c r="SH99" s="115"/>
      <c r="SI99" s="115"/>
      <c r="SJ99" s="115"/>
      <c r="SK99" s="115"/>
      <c r="SL99" s="115"/>
      <c r="SM99" s="115"/>
      <c r="SN99" s="115"/>
      <c r="SO99" s="115"/>
      <c r="SP99" s="115"/>
      <c r="SQ99" s="115"/>
      <c r="SR99" s="115"/>
      <c r="SS99" s="115"/>
      <c r="ST99" s="115"/>
      <c r="SU99" s="115"/>
      <c r="SV99" s="115"/>
      <c r="SW99" s="115"/>
      <c r="SX99" s="115"/>
      <c r="SY99" s="115"/>
      <c r="SZ99" s="115"/>
      <c r="TA99" s="115"/>
      <c r="TB99" s="115"/>
      <c r="TC99" s="115"/>
      <c r="TD99" s="115"/>
      <c r="TE99" s="115"/>
      <c r="TF99" s="115"/>
      <c r="TG99" s="115"/>
      <c r="TH99" s="115"/>
      <c r="TI99" s="115"/>
      <c r="TJ99" s="115"/>
      <c r="TK99" s="115"/>
      <c r="TL99" s="115"/>
      <c r="TM99" s="115"/>
      <c r="TN99" s="115"/>
      <c r="TO99" s="115"/>
      <c r="TP99" s="115"/>
      <c r="TQ99" s="115"/>
      <c r="TR99" s="115"/>
      <c r="TS99" s="115"/>
      <c r="TT99" s="115"/>
      <c r="TU99" s="115"/>
      <c r="TV99" s="115"/>
      <c r="TW99" s="115"/>
      <c r="TX99" s="115"/>
      <c r="TY99" s="115"/>
      <c r="TZ99" s="115"/>
      <c r="UA99" s="115"/>
      <c r="UB99" s="115"/>
      <c r="UC99" s="115"/>
      <c r="UD99" s="115"/>
      <c r="UE99" s="115"/>
      <c r="UF99" s="115"/>
      <c r="UG99" s="115"/>
      <c r="UH99" s="115"/>
      <c r="UI99" s="115"/>
      <c r="UJ99" s="115"/>
      <c r="UK99" s="115"/>
      <c r="UL99" s="115"/>
      <c r="UM99" s="115"/>
      <c r="UN99" s="115"/>
      <c r="UO99" s="115"/>
      <c r="UP99" s="115"/>
      <c r="UQ99" s="115"/>
      <c r="UR99" s="115"/>
      <c r="US99" s="115"/>
      <c r="UT99" s="115"/>
      <c r="UU99" s="115"/>
      <c r="UV99" s="115"/>
      <c r="UW99" s="115"/>
      <c r="UX99" s="115"/>
      <c r="UY99" s="115"/>
      <c r="UZ99" s="115"/>
      <c r="VA99" s="115"/>
      <c r="VB99" s="115"/>
      <c r="VC99" s="115"/>
      <c r="VD99" s="115"/>
      <c r="VE99" s="115"/>
      <c r="VF99" s="115"/>
      <c r="VG99" s="115"/>
      <c r="VH99" s="115"/>
      <c r="VI99" s="115"/>
      <c r="VJ99" s="115"/>
      <c r="VK99" s="115"/>
      <c r="VL99" s="115"/>
      <c r="VM99" s="115"/>
      <c r="VN99" s="115"/>
      <c r="VO99" s="115"/>
      <c r="VP99" s="115"/>
      <c r="VQ99" s="115"/>
      <c r="VR99" s="115"/>
      <c r="VS99" s="115"/>
      <c r="VT99" s="115"/>
      <c r="VU99" s="115"/>
      <c r="VV99" s="115"/>
      <c r="VW99" s="115"/>
      <c r="VX99" s="115"/>
      <c r="VY99" s="115"/>
      <c r="VZ99" s="115"/>
      <c r="WA99" s="115"/>
      <c r="WB99" s="115"/>
      <c r="WC99" s="115"/>
      <c r="WD99" s="115"/>
      <c r="WE99" s="115"/>
      <c r="WF99" s="115"/>
      <c r="WG99" s="115"/>
      <c r="WH99" s="115"/>
      <c r="WI99" s="115"/>
      <c r="WJ99" s="115"/>
      <c r="WK99" s="115"/>
      <c r="WL99" s="115"/>
      <c r="WM99" s="115"/>
      <c r="WN99" s="115"/>
      <c r="WO99" s="115"/>
      <c r="WP99" s="115"/>
      <c r="WQ99" s="115"/>
      <c r="WR99" s="115"/>
      <c r="WS99" s="115"/>
      <c r="WT99" s="115"/>
      <c r="WU99" s="115"/>
      <c r="WV99" s="115"/>
      <c r="WW99" s="115"/>
      <c r="WX99" s="115"/>
      <c r="WY99" s="115"/>
      <c r="WZ99" s="115"/>
      <c r="XA99" s="115"/>
      <c r="XB99" s="115"/>
      <c r="XC99" s="115"/>
      <c r="XD99" s="115"/>
      <c r="XE99" s="115"/>
      <c r="XF99" s="115"/>
      <c r="XG99" s="115"/>
      <c r="XH99" s="115"/>
      <c r="XI99" s="115"/>
      <c r="XJ99" s="115"/>
      <c r="XK99" s="115"/>
      <c r="XL99" s="115"/>
      <c r="XM99" s="115"/>
      <c r="XN99" s="115"/>
      <c r="XO99" s="115"/>
      <c r="XP99" s="115"/>
      <c r="XQ99" s="115"/>
      <c r="XR99" s="115"/>
      <c r="XS99" s="115"/>
      <c r="XT99" s="115"/>
      <c r="XU99" s="115"/>
      <c r="XV99" s="115"/>
      <c r="XW99" s="115"/>
      <c r="XX99" s="115"/>
      <c r="XY99" s="115"/>
      <c r="XZ99" s="115"/>
      <c r="YA99" s="115"/>
      <c r="YB99" s="115"/>
      <c r="YC99" s="115"/>
      <c r="YD99" s="115"/>
      <c r="YE99" s="115"/>
      <c r="YF99" s="115"/>
      <c r="YG99" s="115"/>
      <c r="YH99" s="115"/>
      <c r="YI99" s="115"/>
      <c r="YJ99" s="115"/>
      <c r="YK99" s="115"/>
      <c r="YL99" s="115"/>
      <c r="YM99" s="115"/>
      <c r="YN99" s="115"/>
      <c r="YO99" s="115"/>
      <c r="YP99" s="115"/>
      <c r="YQ99" s="115"/>
      <c r="YX99" s="22">
        <v>0</v>
      </c>
      <c r="YY99" s="22">
        <f>VLOOKUP(B99,'SCAFFOLDING MATERIAL OVERALL'!B101:S283,18,FALSE)</f>
        <v>17.100000000000001</v>
      </c>
      <c r="YZ99" s="22">
        <f t="shared" si="1"/>
        <v>0</v>
      </c>
    </row>
    <row r="100" spans="1:676" s="22" customFormat="1" x14ac:dyDescent="0.25">
      <c r="A100" s="14">
        <v>96</v>
      </c>
      <c r="B100" s="15">
        <v>3000005013</v>
      </c>
      <c r="C100" s="16" t="s">
        <v>108</v>
      </c>
      <c r="D100" s="44" t="s">
        <v>12</v>
      </c>
      <c r="OZ100" s="115"/>
      <c r="PA100" s="115"/>
      <c r="PB100" s="115"/>
      <c r="PC100" s="115"/>
      <c r="PD100" s="115"/>
      <c r="PE100" s="115"/>
      <c r="PF100" s="115"/>
      <c r="PG100" s="115"/>
      <c r="PH100" s="115"/>
      <c r="PI100" s="115"/>
      <c r="PJ100" s="115"/>
      <c r="PK100" s="115"/>
      <c r="PL100" s="115"/>
      <c r="PM100" s="115"/>
      <c r="PN100" s="115"/>
      <c r="PO100" s="115"/>
      <c r="PP100" s="115"/>
      <c r="PQ100" s="115"/>
      <c r="PR100" s="115"/>
      <c r="PS100" s="115"/>
      <c r="PT100" s="115"/>
      <c r="PU100" s="115"/>
      <c r="PV100" s="115"/>
      <c r="PW100" s="115"/>
      <c r="PX100" s="115"/>
      <c r="PY100" s="115"/>
      <c r="PZ100" s="115"/>
      <c r="QA100" s="115"/>
      <c r="QB100" s="115"/>
      <c r="QC100" s="115"/>
      <c r="QD100" s="115"/>
      <c r="QE100" s="115"/>
      <c r="QF100" s="115"/>
      <c r="QG100" s="115"/>
      <c r="QH100" s="115"/>
      <c r="QI100" s="115"/>
      <c r="QJ100" s="115"/>
      <c r="QK100" s="115"/>
      <c r="QL100" s="115"/>
      <c r="QM100" s="115"/>
      <c r="QN100" s="115"/>
      <c r="QO100" s="115"/>
      <c r="QP100" s="115"/>
      <c r="QQ100" s="115"/>
      <c r="QR100" s="115"/>
      <c r="QS100" s="115"/>
      <c r="QT100" s="115"/>
      <c r="QU100" s="115"/>
      <c r="QV100" s="115"/>
      <c r="QW100" s="115"/>
      <c r="QX100" s="115"/>
      <c r="QY100" s="115"/>
      <c r="QZ100" s="115"/>
      <c r="RA100" s="115"/>
      <c r="RB100" s="115"/>
      <c r="RC100" s="115"/>
      <c r="RD100" s="115"/>
      <c r="RE100" s="115"/>
      <c r="RF100" s="115"/>
      <c r="RG100" s="115"/>
      <c r="RH100" s="115"/>
      <c r="RI100" s="115"/>
      <c r="RJ100" s="115"/>
      <c r="RK100" s="115"/>
      <c r="RL100" s="115"/>
      <c r="RM100" s="115"/>
      <c r="RN100" s="115"/>
      <c r="RO100" s="115"/>
      <c r="RP100" s="115"/>
      <c r="RQ100" s="115"/>
      <c r="RR100" s="115"/>
      <c r="RS100" s="115"/>
      <c r="RT100" s="115"/>
      <c r="RU100" s="115"/>
      <c r="RV100" s="115"/>
      <c r="RW100" s="115"/>
      <c r="RX100" s="115"/>
      <c r="RY100" s="115"/>
      <c r="RZ100" s="115"/>
      <c r="SA100" s="115"/>
      <c r="SB100" s="115"/>
      <c r="SC100" s="115"/>
      <c r="SD100" s="115"/>
      <c r="SE100" s="115"/>
      <c r="SF100" s="115"/>
      <c r="SG100" s="115"/>
      <c r="SH100" s="115"/>
      <c r="SI100" s="115"/>
      <c r="SJ100" s="115"/>
      <c r="SK100" s="115"/>
      <c r="SL100" s="115"/>
      <c r="SM100" s="115"/>
      <c r="SN100" s="115"/>
      <c r="SO100" s="115"/>
      <c r="SP100" s="115"/>
      <c r="SQ100" s="115"/>
      <c r="SR100" s="115"/>
      <c r="SS100" s="115"/>
      <c r="ST100" s="115"/>
      <c r="SU100" s="115"/>
      <c r="SV100" s="115"/>
      <c r="SW100" s="115"/>
      <c r="SX100" s="115"/>
      <c r="SY100" s="115"/>
      <c r="SZ100" s="115"/>
      <c r="TA100" s="115"/>
      <c r="TB100" s="115"/>
      <c r="TC100" s="115"/>
      <c r="TD100" s="115"/>
      <c r="TE100" s="115"/>
      <c r="TF100" s="115"/>
      <c r="TG100" s="115"/>
      <c r="TH100" s="115"/>
      <c r="TI100" s="115"/>
      <c r="TJ100" s="115"/>
      <c r="TK100" s="115"/>
      <c r="TL100" s="115"/>
      <c r="TM100" s="115"/>
      <c r="TN100" s="115"/>
      <c r="TO100" s="115"/>
      <c r="TP100" s="115"/>
      <c r="TQ100" s="115"/>
      <c r="TR100" s="115"/>
      <c r="TS100" s="115"/>
      <c r="TT100" s="115"/>
      <c r="TU100" s="115"/>
      <c r="TV100" s="115"/>
      <c r="TW100" s="115"/>
      <c r="TX100" s="115"/>
      <c r="TY100" s="115"/>
      <c r="TZ100" s="115"/>
      <c r="UA100" s="115"/>
      <c r="UB100" s="115"/>
      <c r="UC100" s="115"/>
      <c r="UD100" s="115"/>
      <c r="UE100" s="115"/>
      <c r="UF100" s="115"/>
      <c r="UG100" s="115"/>
      <c r="UH100" s="115"/>
      <c r="UI100" s="115"/>
      <c r="UJ100" s="115"/>
      <c r="UK100" s="115"/>
      <c r="UL100" s="115"/>
      <c r="UM100" s="115"/>
      <c r="UN100" s="115"/>
      <c r="UO100" s="115"/>
      <c r="UP100" s="115"/>
      <c r="UQ100" s="115"/>
      <c r="UR100" s="115"/>
      <c r="US100" s="115"/>
      <c r="UT100" s="115"/>
      <c r="UU100" s="115"/>
      <c r="UV100" s="115"/>
      <c r="UW100" s="115"/>
      <c r="UX100" s="115"/>
      <c r="UY100" s="115"/>
      <c r="UZ100" s="115"/>
      <c r="VA100" s="115"/>
      <c r="VB100" s="115"/>
      <c r="VC100" s="115"/>
      <c r="VD100" s="115"/>
      <c r="VE100" s="115"/>
      <c r="VF100" s="115"/>
      <c r="VG100" s="115"/>
      <c r="VH100" s="115"/>
      <c r="VI100" s="115"/>
      <c r="VJ100" s="115"/>
      <c r="VK100" s="115"/>
      <c r="VL100" s="115"/>
      <c r="VM100" s="115"/>
      <c r="VN100" s="115"/>
      <c r="VO100" s="115"/>
      <c r="VP100" s="115"/>
      <c r="VQ100" s="115"/>
      <c r="VR100" s="115"/>
      <c r="VS100" s="115"/>
      <c r="VT100" s="115"/>
      <c r="VU100" s="115"/>
      <c r="VV100" s="115"/>
      <c r="VW100" s="115"/>
      <c r="VX100" s="115"/>
      <c r="VY100" s="115"/>
      <c r="VZ100" s="115"/>
      <c r="WA100" s="115"/>
      <c r="WB100" s="115"/>
      <c r="WC100" s="115"/>
      <c r="WD100" s="115"/>
      <c r="WE100" s="115"/>
      <c r="WF100" s="115"/>
      <c r="WG100" s="115"/>
      <c r="WH100" s="115"/>
      <c r="WI100" s="115"/>
      <c r="WJ100" s="115"/>
      <c r="WK100" s="115"/>
      <c r="WL100" s="115"/>
      <c r="WM100" s="115"/>
      <c r="WN100" s="115"/>
      <c r="WO100" s="115"/>
      <c r="WP100" s="115"/>
      <c r="WQ100" s="115"/>
      <c r="WR100" s="115"/>
      <c r="WS100" s="115"/>
      <c r="WT100" s="115"/>
      <c r="WU100" s="115"/>
      <c r="WV100" s="115"/>
      <c r="WW100" s="115"/>
      <c r="WX100" s="115"/>
      <c r="WY100" s="115"/>
      <c r="WZ100" s="115"/>
      <c r="XA100" s="115"/>
      <c r="XB100" s="115"/>
      <c r="XC100" s="115"/>
      <c r="XD100" s="115"/>
      <c r="XE100" s="115"/>
      <c r="XF100" s="115"/>
      <c r="XG100" s="115"/>
      <c r="XH100" s="115"/>
      <c r="XI100" s="115"/>
      <c r="XJ100" s="115"/>
      <c r="XK100" s="115"/>
      <c r="XL100" s="115"/>
      <c r="XM100" s="115"/>
      <c r="XN100" s="115"/>
      <c r="XO100" s="115"/>
      <c r="XP100" s="115"/>
      <c r="XQ100" s="115"/>
      <c r="XR100" s="115"/>
      <c r="XS100" s="115"/>
      <c r="XT100" s="115"/>
      <c r="XU100" s="115"/>
      <c r="XV100" s="115"/>
      <c r="XW100" s="115"/>
      <c r="XX100" s="115"/>
      <c r="XY100" s="115"/>
      <c r="XZ100" s="115"/>
      <c r="YA100" s="115"/>
      <c r="YB100" s="115"/>
      <c r="YC100" s="115"/>
      <c r="YD100" s="115"/>
      <c r="YE100" s="115"/>
      <c r="YF100" s="115"/>
      <c r="YG100" s="115"/>
      <c r="YH100" s="115"/>
      <c r="YI100" s="115"/>
      <c r="YJ100" s="115"/>
      <c r="YK100" s="115"/>
      <c r="YL100" s="115"/>
      <c r="YM100" s="115"/>
      <c r="YN100" s="115"/>
      <c r="YO100" s="115"/>
      <c r="YP100" s="115"/>
      <c r="YQ100" s="115"/>
      <c r="YX100" s="22">
        <v>0</v>
      </c>
      <c r="YY100" s="22">
        <f>VLOOKUP(B100,'SCAFFOLDING MATERIAL OVERALL'!B102:S284,18,FALSE)</f>
        <v>22</v>
      </c>
      <c r="YZ100" s="22">
        <f t="shared" si="1"/>
        <v>0</v>
      </c>
    </row>
    <row r="101" spans="1:676" s="22" customFormat="1" x14ac:dyDescent="0.25">
      <c r="A101" s="14">
        <v>97</v>
      </c>
      <c r="B101" s="15">
        <v>3000004953</v>
      </c>
      <c r="C101" s="16" t="s">
        <v>109</v>
      </c>
      <c r="D101" s="44" t="s">
        <v>12</v>
      </c>
      <c r="OZ101" s="115"/>
      <c r="PA101" s="115"/>
      <c r="PB101" s="115"/>
      <c r="PC101" s="115"/>
      <c r="PD101" s="115"/>
      <c r="PE101" s="115"/>
      <c r="PF101" s="115"/>
      <c r="PG101" s="115"/>
      <c r="PH101" s="115"/>
      <c r="PI101" s="115"/>
      <c r="PJ101" s="115"/>
      <c r="PK101" s="115"/>
      <c r="PL101" s="115"/>
      <c r="PM101" s="115"/>
      <c r="PN101" s="115"/>
      <c r="PO101" s="115"/>
      <c r="PP101" s="115"/>
      <c r="PQ101" s="115"/>
      <c r="PR101" s="115"/>
      <c r="PS101" s="115"/>
      <c r="PT101" s="115"/>
      <c r="PU101" s="115"/>
      <c r="PV101" s="115"/>
      <c r="PW101" s="115"/>
      <c r="PX101" s="115"/>
      <c r="PY101" s="115"/>
      <c r="PZ101" s="115"/>
      <c r="QA101" s="115"/>
      <c r="QB101" s="115"/>
      <c r="QC101" s="115"/>
      <c r="QD101" s="115"/>
      <c r="QE101" s="115"/>
      <c r="QF101" s="115"/>
      <c r="QG101" s="115"/>
      <c r="QH101" s="115"/>
      <c r="QI101" s="115"/>
      <c r="QJ101" s="115"/>
      <c r="QK101" s="115"/>
      <c r="QL101" s="115"/>
      <c r="QM101" s="115"/>
      <c r="QN101" s="115"/>
      <c r="QO101" s="115"/>
      <c r="QP101" s="115"/>
      <c r="QQ101" s="115"/>
      <c r="QR101" s="115"/>
      <c r="QS101" s="115"/>
      <c r="QT101" s="115"/>
      <c r="QU101" s="115"/>
      <c r="QV101" s="115"/>
      <c r="QW101" s="115"/>
      <c r="QX101" s="115"/>
      <c r="QY101" s="115"/>
      <c r="QZ101" s="115"/>
      <c r="RA101" s="115"/>
      <c r="RB101" s="115"/>
      <c r="RC101" s="115"/>
      <c r="RD101" s="115"/>
      <c r="RE101" s="115"/>
      <c r="RF101" s="115"/>
      <c r="RG101" s="115"/>
      <c r="RH101" s="115"/>
      <c r="RI101" s="115"/>
      <c r="RJ101" s="115"/>
      <c r="RK101" s="115"/>
      <c r="RL101" s="115"/>
      <c r="RM101" s="115"/>
      <c r="RN101" s="115"/>
      <c r="RO101" s="115"/>
      <c r="RP101" s="115"/>
      <c r="RQ101" s="115"/>
      <c r="RR101" s="115"/>
      <c r="RS101" s="115"/>
      <c r="RT101" s="115"/>
      <c r="RU101" s="115"/>
      <c r="RV101" s="115"/>
      <c r="RW101" s="115"/>
      <c r="RX101" s="115"/>
      <c r="RY101" s="115"/>
      <c r="RZ101" s="115"/>
      <c r="SA101" s="115"/>
      <c r="SB101" s="115"/>
      <c r="SC101" s="115"/>
      <c r="SD101" s="115"/>
      <c r="SE101" s="115"/>
      <c r="SF101" s="115"/>
      <c r="SG101" s="115"/>
      <c r="SH101" s="115"/>
      <c r="SI101" s="115"/>
      <c r="SJ101" s="115"/>
      <c r="SK101" s="115"/>
      <c r="SL101" s="115"/>
      <c r="SM101" s="115"/>
      <c r="SN101" s="115"/>
      <c r="SO101" s="115"/>
      <c r="SP101" s="115"/>
      <c r="SQ101" s="115"/>
      <c r="SR101" s="115"/>
      <c r="SS101" s="115"/>
      <c r="ST101" s="115"/>
      <c r="SU101" s="115"/>
      <c r="SV101" s="115"/>
      <c r="SW101" s="115"/>
      <c r="SX101" s="115"/>
      <c r="SY101" s="115"/>
      <c r="SZ101" s="115"/>
      <c r="TA101" s="115"/>
      <c r="TB101" s="115"/>
      <c r="TC101" s="115"/>
      <c r="TD101" s="115"/>
      <c r="TE101" s="115"/>
      <c r="TF101" s="115"/>
      <c r="TG101" s="115"/>
      <c r="TH101" s="115"/>
      <c r="TI101" s="115"/>
      <c r="TJ101" s="115"/>
      <c r="TK101" s="115"/>
      <c r="TL101" s="115"/>
      <c r="TM101" s="115"/>
      <c r="TN101" s="115"/>
      <c r="TO101" s="115"/>
      <c r="TP101" s="115"/>
      <c r="TQ101" s="115"/>
      <c r="TR101" s="115"/>
      <c r="TS101" s="115"/>
      <c r="TT101" s="115"/>
      <c r="TU101" s="115"/>
      <c r="TV101" s="115"/>
      <c r="TW101" s="115"/>
      <c r="TX101" s="115"/>
      <c r="TY101" s="115"/>
      <c r="TZ101" s="115"/>
      <c r="UA101" s="115"/>
      <c r="UB101" s="115"/>
      <c r="UC101" s="115"/>
      <c r="UD101" s="115"/>
      <c r="UE101" s="115"/>
      <c r="UF101" s="115"/>
      <c r="UG101" s="115"/>
      <c r="UH101" s="115"/>
      <c r="UI101" s="115"/>
      <c r="UJ101" s="115"/>
      <c r="UK101" s="115"/>
      <c r="UL101" s="115"/>
      <c r="UM101" s="115"/>
      <c r="UN101" s="115"/>
      <c r="UO101" s="115"/>
      <c r="UP101" s="115"/>
      <c r="UQ101" s="115"/>
      <c r="UR101" s="115"/>
      <c r="US101" s="115"/>
      <c r="UT101" s="115"/>
      <c r="UU101" s="115"/>
      <c r="UV101" s="115"/>
      <c r="UW101" s="115"/>
      <c r="UX101" s="115"/>
      <c r="UY101" s="115"/>
      <c r="UZ101" s="115"/>
      <c r="VA101" s="115"/>
      <c r="VB101" s="115"/>
      <c r="VC101" s="115"/>
      <c r="VD101" s="115"/>
      <c r="VE101" s="115"/>
      <c r="VF101" s="115"/>
      <c r="VG101" s="115"/>
      <c r="VH101" s="115"/>
      <c r="VI101" s="115"/>
      <c r="VJ101" s="115"/>
      <c r="VK101" s="115"/>
      <c r="VL101" s="115"/>
      <c r="VM101" s="115"/>
      <c r="VN101" s="115"/>
      <c r="VO101" s="115"/>
      <c r="VP101" s="115"/>
      <c r="VQ101" s="115"/>
      <c r="VR101" s="115"/>
      <c r="VS101" s="115"/>
      <c r="VT101" s="115"/>
      <c r="VU101" s="115"/>
      <c r="VV101" s="115"/>
      <c r="VW101" s="115"/>
      <c r="VX101" s="115"/>
      <c r="VY101" s="115"/>
      <c r="VZ101" s="115"/>
      <c r="WA101" s="115"/>
      <c r="WB101" s="115"/>
      <c r="WC101" s="115"/>
      <c r="WD101" s="115"/>
      <c r="WE101" s="115"/>
      <c r="WF101" s="115"/>
      <c r="WG101" s="115"/>
      <c r="WH101" s="115"/>
      <c r="WI101" s="115"/>
      <c r="WJ101" s="115"/>
      <c r="WK101" s="115"/>
      <c r="WL101" s="115"/>
      <c r="WM101" s="115"/>
      <c r="WN101" s="115"/>
      <c r="WO101" s="115"/>
      <c r="WP101" s="115"/>
      <c r="WQ101" s="115"/>
      <c r="WR101" s="115"/>
      <c r="WS101" s="115"/>
      <c r="WT101" s="115"/>
      <c r="WU101" s="115"/>
      <c r="WV101" s="115"/>
      <c r="WW101" s="115"/>
      <c r="WX101" s="115"/>
      <c r="WY101" s="115"/>
      <c r="WZ101" s="115"/>
      <c r="XA101" s="115"/>
      <c r="XB101" s="115"/>
      <c r="XC101" s="115"/>
      <c r="XD101" s="115"/>
      <c r="XE101" s="115"/>
      <c r="XF101" s="115"/>
      <c r="XG101" s="115"/>
      <c r="XH101" s="115"/>
      <c r="XI101" s="115"/>
      <c r="XJ101" s="115"/>
      <c r="XK101" s="115"/>
      <c r="XL101" s="115"/>
      <c r="XM101" s="115"/>
      <c r="XN101" s="115"/>
      <c r="XO101" s="115"/>
      <c r="XP101" s="115"/>
      <c r="XQ101" s="115"/>
      <c r="XR101" s="115"/>
      <c r="XS101" s="115"/>
      <c r="XT101" s="115"/>
      <c r="XU101" s="115"/>
      <c r="XV101" s="115"/>
      <c r="XW101" s="115"/>
      <c r="XX101" s="115"/>
      <c r="XY101" s="115"/>
      <c r="XZ101" s="115"/>
      <c r="YA101" s="115"/>
      <c r="YB101" s="115"/>
      <c r="YC101" s="115"/>
      <c r="YD101" s="115"/>
      <c r="YE101" s="115"/>
      <c r="YF101" s="115"/>
      <c r="YG101" s="115"/>
      <c r="YH101" s="115"/>
      <c r="YI101" s="115"/>
      <c r="YJ101" s="115"/>
      <c r="YK101" s="115"/>
      <c r="YL101" s="115"/>
      <c r="YM101" s="115"/>
      <c r="YN101" s="115"/>
      <c r="YO101" s="115"/>
      <c r="YP101" s="115"/>
      <c r="YQ101" s="115"/>
      <c r="YX101" s="22">
        <v>0</v>
      </c>
      <c r="YY101" s="22">
        <f>VLOOKUP(B101,'SCAFFOLDING MATERIAL OVERALL'!B103:S285,18,FALSE)</f>
        <v>24.9</v>
      </c>
      <c r="YZ101" s="22">
        <f t="shared" si="1"/>
        <v>0</v>
      </c>
    </row>
    <row r="102" spans="1:676" s="22" customFormat="1" x14ac:dyDescent="0.25">
      <c r="A102" s="17">
        <v>98</v>
      </c>
      <c r="B102" s="15">
        <v>5000000017</v>
      </c>
      <c r="C102" s="16" t="s">
        <v>110</v>
      </c>
      <c r="D102" s="44" t="s">
        <v>12</v>
      </c>
      <c r="OZ102" s="115"/>
      <c r="PA102" s="115"/>
      <c r="PB102" s="115"/>
      <c r="PC102" s="115"/>
      <c r="PD102" s="115"/>
      <c r="PE102" s="115"/>
      <c r="PF102" s="115"/>
      <c r="PG102" s="115"/>
      <c r="PH102" s="115"/>
      <c r="PI102" s="115"/>
      <c r="PJ102" s="115"/>
      <c r="PK102" s="115"/>
      <c r="PL102" s="115"/>
      <c r="PM102" s="115"/>
      <c r="PN102" s="115"/>
      <c r="PO102" s="115"/>
      <c r="PP102" s="115"/>
      <c r="PQ102" s="115"/>
      <c r="PR102" s="115"/>
      <c r="PS102" s="115"/>
      <c r="PT102" s="115"/>
      <c r="PU102" s="115"/>
      <c r="PV102" s="115"/>
      <c r="PW102" s="115"/>
      <c r="PX102" s="115"/>
      <c r="PY102" s="115"/>
      <c r="PZ102" s="115"/>
      <c r="QA102" s="115"/>
      <c r="QB102" s="115"/>
      <c r="QC102" s="115"/>
      <c r="QD102" s="115"/>
      <c r="QE102" s="115"/>
      <c r="QF102" s="115"/>
      <c r="QG102" s="115"/>
      <c r="QH102" s="115"/>
      <c r="QI102" s="115"/>
      <c r="QJ102" s="115"/>
      <c r="QK102" s="115"/>
      <c r="QL102" s="115"/>
      <c r="QM102" s="115"/>
      <c r="QN102" s="115"/>
      <c r="QO102" s="115"/>
      <c r="QP102" s="115"/>
      <c r="QQ102" s="115"/>
      <c r="QR102" s="115"/>
      <c r="QS102" s="115"/>
      <c r="QT102" s="115"/>
      <c r="QU102" s="115"/>
      <c r="QV102" s="115"/>
      <c r="QW102" s="115"/>
      <c r="QX102" s="115"/>
      <c r="QY102" s="115"/>
      <c r="QZ102" s="115"/>
      <c r="RA102" s="115"/>
      <c r="RB102" s="115"/>
      <c r="RC102" s="115"/>
      <c r="RD102" s="115"/>
      <c r="RE102" s="115"/>
      <c r="RF102" s="115"/>
      <c r="RG102" s="115"/>
      <c r="RH102" s="115"/>
      <c r="RI102" s="115"/>
      <c r="RJ102" s="115"/>
      <c r="RK102" s="115"/>
      <c r="RL102" s="115"/>
      <c r="RM102" s="115"/>
      <c r="RN102" s="115"/>
      <c r="RO102" s="115"/>
      <c r="RP102" s="115"/>
      <c r="RQ102" s="115"/>
      <c r="RR102" s="115"/>
      <c r="RS102" s="115"/>
      <c r="RT102" s="115"/>
      <c r="RU102" s="115"/>
      <c r="RV102" s="115"/>
      <c r="RW102" s="115"/>
      <c r="RX102" s="115"/>
      <c r="RY102" s="115"/>
      <c r="RZ102" s="115"/>
      <c r="SA102" s="115"/>
      <c r="SB102" s="115"/>
      <c r="SC102" s="115"/>
      <c r="SD102" s="115"/>
      <c r="SE102" s="115"/>
      <c r="SF102" s="115"/>
      <c r="SG102" s="115"/>
      <c r="SH102" s="115"/>
      <c r="SI102" s="115"/>
      <c r="SJ102" s="115"/>
      <c r="SK102" s="115"/>
      <c r="SL102" s="115"/>
      <c r="SM102" s="115"/>
      <c r="SN102" s="115"/>
      <c r="SO102" s="115"/>
      <c r="SP102" s="115"/>
      <c r="SQ102" s="115"/>
      <c r="SR102" s="115"/>
      <c r="SS102" s="115"/>
      <c r="ST102" s="115"/>
      <c r="SU102" s="115"/>
      <c r="SV102" s="115"/>
      <c r="SW102" s="115"/>
      <c r="SX102" s="115"/>
      <c r="SY102" s="115"/>
      <c r="SZ102" s="115"/>
      <c r="TA102" s="115"/>
      <c r="TB102" s="115"/>
      <c r="TC102" s="115"/>
      <c r="TD102" s="115"/>
      <c r="TE102" s="115"/>
      <c r="TF102" s="115"/>
      <c r="TG102" s="115"/>
      <c r="TH102" s="115"/>
      <c r="TI102" s="115"/>
      <c r="TJ102" s="115"/>
      <c r="TK102" s="115"/>
      <c r="TL102" s="115"/>
      <c r="TM102" s="115"/>
      <c r="TN102" s="115"/>
      <c r="TO102" s="115"/>
      <c r="TP102" s="115"/>
      <c r="TQ102" s="115"/>
      <c r="TR102" s="115"/>
      <c r="TS102" s="115"/>
      <c r="TT102" s="115"/>
      <c r="TU102" s="115"/>
      <c r="TV102" s="115"/>
      <c r="TW102" s="115"/>
      <c r="TX102" s="115"/>
      <c r="TY102" s="115"/>
      <c r="TZ102" s="115"/>
      <c r="UA102" s="115"/>
      <c r="UB102" s="115"/>
      <c r="UC102" s="115"/>
      <c r="UD102" s="115"/>
      <c r="UE102" s="115"/>
      <c r="UF102" s="115"/>
      <c r="UG102" s="115"/>
      <c r="UH102" s="115"/>
      <c r="UI102" s="115"/>
      <c r="UJ102" s="115"/>
      <c r="UK102" s="115"/>
      <c r="UL102" s="115"/>
      <c r="UM102" s="115"/>
      <c r="UN102" s="115"/>
      <c r="UO102" s="115"/>
      <c r="UP102" s="115"/>
      <c r="UQ102" s="115"/>
      <c r="UR102" s="115"/>
      <c r="US102" s="115"/>
      <c r="UT102" s="115"/>
      <c r="UU102" s="115"/>
      <c r="UV102" s="115"/>
      <c r="UW102" s="115"/>
      <c r="UX102" s="115"/>
      <c r="UY102" s="115"/>
      <c r="UZ102" s="115"/>
      <c r="VA102" s="115"/>
      <c r="VB102" s="115"/>
      <c r="VC102" s="115"/>
      <c r="VD102" s="115"/>
      <c r="VE102" s="115"/>
      <c r="VF102" s="115"/>
      <c r="VG102" s="115"/>
      <c r="VH102" s="115"/>
      <c r="VI102" s="115"/>
      <c r="VJ102" s="115"/>
      <c r="VK102" s="115"/>
      <c r="VL102" s="115"/>
      <c r="VM102" s="115"/>
      <c r="VN102" s="115"/>
      <c r="VO102" s="115"/>
      <c r="VP102" s="115"/>
      <c r="VQ102" s="115"/>
      <c r="VR102" s="115"/>
      <c r="VS102" s="115"/>
      <c r="VT102" s="115"/>
      <c r="VU102" s="115"/>
      <c r="VV102" s="115"/>
      <c r="VW102" s="115"/>
      <c r="VX102" s="115"/>
      <c r="VY102" s="115"/>
      <c r="VZ102" s="115"/>
      <c r="WA102" s="115"/>
      <c r="WB102" s="115"/>
      <c r="WC102" s="115"/>
      <c r="WD102" s="115"/>
      <c r="WE102" s="115"/>
      <c r="WF102" s="115"/>
      <c r="WG102" s="115"/>
      <c r="WH102" s="115"/>
      <c r="WI102" s="115"/>
      <c r="WJ102" s="115"/>
      <c r="WK102" s="115"/>
      <c r="WL102" s="115"/>
      <c r="WM102" s="115"/>
      <c r="WN102" s="115"/>
      <c r="WO102" s="115"/>
      <c r="WP102" s="115"/>
      <c r="WQ102" s="115"/>
      <c r="WR102" s="115"/>
      <c r="WS102" s="115"/>
      <c r="WT102" s="115"/>
      <c r="WU102" s="115"/>
      <c r="WV102" s="115"/>
      <c r="WW102" s="115"/>
      <c r="WX102" s="115"/>
      <c r="WY102" s="115"/>
      <c r="WZ102" s="115"/>
      <c r="XA102" s="115"/>
      <c r="XB102" s="115"/>
      <c r="XC102" s="115"/>
      <c r="XD102" s="115"/>
      <c r="XE102" s="115"/>
      <c r="XF102" s="115"/>
      <c r="XG102" s="115"/>
      <c r="XH102" s="115"/>
      <c r="XI102" s="115"/>
      <c r="XJ102" s="115"/>
      <c r="XK102" s="115"/>
      <c r="XL102" s="115"/>
      <c r="XM102" s="115"/>
      <c r="XN102" s="115"/>
      <c r="XO102" s="115"/>
      <c r="XP102" s="115"/>
      <c r="XQ102" s="115"/>
      <c r="XR102" s="115"/>
      <c r="XS102" s="115"/>
      <c r="XT102" s="115"/>
      <c r="XU102" s="115"/>
      <c r="XV102" s="115"/>
      <c r="XW102" s="115"/>
      <c r="XX102" s="115"/>
      <c r="XY102" s="115"/>
      <c r="XZ102" s="115"/>
      <c r="YA102" s="115"/>
      <c r="YB102" s="115"/>
      <c r="YC102" s="115"/>
      <c r="YD102" s="115"/>
      <c r="YE102" s="115"/>
      <c r="YF102" s="115"/>
      <c r="YG102" s="115"/>
      <c r="YH102" s="115"/>
      <c r="YI102" s="115"/>
      <c r="YJ102" s="115"/>
      <c r="YK102" s="115"/>
      <c r="YL102" s="115"/>
      <c r="YM102" s="115"/>
      <c r="YN102" s="115"/>
      <c r="YO102" s="115"/>
      <c r="YP102" s="115"/>
      <c r="YQ102" s="115"/>
      <c r="YX102" s="22">
        <v>0</v>
      </c>
      <c r="YY102" s="22">
        <f>VLOOKUP(B102,'SCAFFOLDING MATERIAL OVERALL'!B104:S286,18,FALSE)</f>
        <v>0</v>
      </c>
      <c r="YZ102" s="22">
        <f t="shared" si="1"/>
        <v>0</v>
      </c>
    </row>
    <row r="103" spans="1:676" s="22" customFormat="1" x14ac:dyDescent="0.25">
      <c r="A103" s="14">
        <v>99</v>
      </c>
      <c r="B103" s="15">
        <v>3000008526</v>
      </c>
      <c r="C103" s="16" t="s">
        <v>111</v>
      </c>
      <c r="D103" s="44" t="s">
        <v>12</v>
      </c>
      <c r="OZ103" s="115"/>
      <c r="PA103" s="115"/>
      <c r="PB103" s="115"/>
      <c r="PC103" s="115"/>
      <c r="PD103" s="115"/>
      <c r="PE103" s="115"/>
      <c r="PF103" s="115"/>
      <c r="PG103" s="115"/>
      <c r="PH103" s="115"/>
      <c r="PI103" s="115"/>
      <c r="PJ103" s="115"/>
      <c r="PK103" s="115"/>
      <c r="PL103" s="115"/>
      <c r="PM103" s="115"/>
      <c r="PN103" s="115"/>
      <c r="PO103" s="115"/>
      <c r="PP103" s="115"/>
      <c r="PQ103" s="115"/>
      <c r="PR103" s="115"/>
      <c r="PS103" s="115"/>
      <c r="PT103" s="115"/>
      <c r="PU103" s="115"/>
      <c r="PV103" s="115"/>
      <c r="PW103" s="115"/>
      <c r="PX103" s="115"/>
      <c r="PY103" s="115"/>
      <c r="PZ103" s="115"/>
      <c r="QA103" s="115"/>
      <c r="QB103" s="115"/>
      <c r="QC103" s="115"/>
      <c r="QD103" s="115"/>
      <c r="QE103" s="115"/>
      <c r="QF103" s="115"/>
      <c r="QG103" s="115"/>
      <c r="QH103" s="115"/>
      <c r="QI103" s="115"/>
      <c r="QJ103" s="115"/>
      <c r="QK103" s="115"/>
      <c r="QL103" s="115"/>
      <c r="QM103" s="115"/>
      <c r="QN103" s="115"/>
      <c r="QO103" s="115"/>
      <c r="QP103" s="115"/>
      <c r="QQ103" s="115"/>
      <c r="QR103" s="115"/>
      <c r="QS103" s="115"/>
      <c r="QT103" s="115"/>
      <c r="QU103" s="115"/>
      <c r="QV103" s="115"/>
      <c r="QW103" s="115"/>
      <c r="QX103" s="115"/>
      <c r="QY103" s="115"/>
      <c r="QZ103" s="115"/>
      <c r="RA103" s="115"/>
      <c r="RB103" s="115"/>
      <c r="RC103" s="115"/>
      <c r="RD103" s="115"/>
      <c r="RE103" s="115"/>
      <c r="RF103" s="115"/>
      <c r="RG103" s="115"/>
      <c r="RH103" s="115"/>
      <c r="RI103" s="115"/>
      <c r="RJ103" s="115"/>
      <c r="RK103" s="115"/>
      <c r="RL103" s="115"/>
      <c r="RM103" s="115"/>
      <c r="RN103" s="115"/>
      <c r="RO103" s="115"/>
      <c r="RP103" s="115"/>
      <c r="RQ103" s="115"/>
      <c r="RR103" s="115"/>
      <c r="RS103" s="115"/>
      <c r="RT103" s="115"/>
      <c r="RU103" s="115"/>
      <c r="RV103" s="115"/>
      <c r="RW103" s="115"/>
      <c r="RX103" s="115"/>
      <c r="RY103" s="115"/>
      <c r="RZ103" s="115"/>
      <c r="SA103" s="115"/>
      <c r="SB103" s="115"/>
      <c r="SC103" s="115"/>
      <c r="SD103" s="115"/>
      <c r="SE103" s="115"/>
      <c r="SF103" s="115"/>
      <c r="SG103" s="115"/>
      <c r="SH103" s="115"/>
      <c r="SI103" s="115"/>
      <c r="SJ103" s="115"/>
      <c r="SK103" s="115"/>
      <c r="SL103" s="115"/>
      <c r="SM103" s="115"/>
      <c r="SN103" s="115"/>
      <c r="SO103" s="115"/>
      <c r="SP103" s="115"/>
      <c r="SQ103" s="115"/>
      <c r="SR103" s="115"/>
      <c r="SS103" s="115"/>
      <c r="ST103" s="115"/>
      <c r="SU103" s="115"/>
      <c r="SV103" s="115"/>
      <c r="SW103" s="115"/>
      <c r="SX103" s="115"/>
      <c r="SY103" s="115"/>
      <c r="SZ103" s="115"/>
      <c r="TA103" s="115"/>
      <c r="TB103" s="115"/>
      <c r="TC103" s="115"/>
      <c r="TD103" s="115"/>
      <c r="TE103" s="115"/>
      <c r="TF103" s="115"/>
      <c r="TG103" s="115"/>
      <c r="TH103" s="115"/>
      <c r="TI103" s="115"/>
      <c r="TJ103" s="115"/>
      <c r="TK103" s="115"/>
      <c r="TL103" s="115"/>
      <c r="TM103" s="115"/>
      <c r="TN103" s="115"/>
      <c r="TO103" s="115"/>
      <c r="TP103" s="115"/>
      <c r="TQ103" s="115"/>
      <c r="TR103" s="115"/>
      <c r="TS103" s="115"/>
      <c r="TT103" s="115"/>
      <c r="TU103" s="115"/>
      <c r="TV103" s="115"/>
      <c r="TW103" s="115"/>
      <c r="TX103" s="115"/>
      <c r="TY103" s="115"/>
      <c r="TZ103" s="115"/>
      <c r="UA103" s="115"/>
      <c r="UB103" s="115"/>
      <c r="UC103" s="115"/>
      <c r="UD103" s="115"/>
      <c r="UE103" s="115"/>
      <c r="UF103" s="115"/>
      <c r="UG103" s="115"/>
      <c r="UH103" s="115"/>
      <c r="UI103" s="115"/>
      <c r="UJ103" s="115"/>
      <c r="UK103" s="115"/>
      <c r="UL103" s="115"/>
      <c r="UM103" s="115"/>
      <c r="UN103" s="115"/>
      <c r="UO103" s="115"/>
      <c r="UP103" s="115"/>
      <c r="UQ103" s="115"/>
      <c r="UR103" s="115"/>
      <c r="US103" s="115"/>
      <c r="UT103" s="115"/>
      <c r="UU103" s="115"/>
      <c r="UV103" s="115"/>
      <c r="UW103" s="115"/>
      <c r="UX103" s="115"/>
      <c r="UY103" s="115"/>
      <c r="UZ103" s="115"/>
      <c r="VA103" s="115"/>
      <c r="VB103" s="115"/>
      <c r="VC103" s="115"/>
      <c r="VD103" s="115"/>
      <c r="VE103" s="115"/>
      <c r="VF103" s="115"/>
      <c r="VG103" s="115"/>
      <c r="VH103" s="115"/>
      <c r="VI103" s="115"/>
      <c r="VJ103" s="115"/>
      <c r="VK103" s="115"/>
      <c r="VL103" s="115"/>
      <c r="VM103" s="115"/>
      <c r="VN103" s="115"/>
      <c r="VO103" s="115"/>
      <c r="VP103" s="115"/>
      <c r="VQ103" s="115"/>
      <c r="VR103" s="115"/>
      <c r="VS103" s="115"/>
      <c r="VT103" s="115"/>
      <c r="VU103" s="115"/>
      <c r="VV103" s="115"/>
      <c r="VW103" s="115"/>
      <c r="VX103" s="115"/>
      <c r="VY103" s="115"/>
      <c r="VZ103" s="115"/>
      <c r="WA103" s="115"/>
      <c r="WB103" s="115"/>
      <c r="WC103" s="115"/>
      <c r="WD103" s="115"/>
      <c r="WE103" s="115"/>
      <c r="WF103" s="115"/>
      <c r="WG103" s="115"/>
      <c r="WH103" s="115"/>
      <c r="WI103" s="115"/>
      <c r="WJ103" s="115"/>
      <c r="WK103" s="115"/>
      <c r="WL103" s="115"/>
      <c r="WM103" s="115"/>
      <c r="WN103" s="115"/>
      <c r="WO103" s="115"/>
      <c r="WP103" s="115"/>
      <c r="WQ103" s="115"/>
      <c r="WR103" s="115"/>
      <c r="WS103" s="115"/>
      <c r="WT103" s="115"/>
      <c r="WU103" s="115"/>
      <c r="WV103" s="115"/>
      <c r="WW103" s="115"/>
      <c r="WX103" s="115"/>
      <c r="WY103" s="115"/>
      <c r="WZ103" s="115"/>
      <c r="XA103" s="115"/>
      <c r="XB103" s="115"/>
      <c r="XC103" s="115"/>
      <c r="XD103" s="115"/>
      <c r="XE103" s="115"/>
      <c r="XF103" s="115"/>
      <c r="XG103" s="115"/>
      <c r="XH103" s="115"/>
      <c r="XI103" s="115"/>
      <c r="XJ103" s="115"/>
      <c r="XK103" s="115"/>
      <c r="XL103" s="115"/>
      <c r="XM103" s="115"/>
      <c r="XN103" s="115"/>
      <c r="XO103" s="115"/>
      <c r="XP103" s="115"/>
      <c r="XQ103" s="115"/>
      <c r="XR103" s="115"/>
      <c r="XS103" s="115"/>
      <c r="XT103" s="115"/>
      <c r="XU103" s="115"/>
      <c r="XV103" s="115"/>
      <c r="XW103" s="115"/>
      <c r="XX103" s="115"/>
      <c r="XY103" s="115"/>
      <c r="XZ103" s="115"/>
      <c r="YA103" s="115"/>
      <c r="YB103" s="115"/>
      <c r="YC103" s="115"/>
      <c r="YD103" s="115"/>
      <c r="YE103" s="115"/>
      <c r="YF103" s="115"/>
      <c r="YG103" s="115"/>
      <c r="YH103" s="115"/>
      <c r="YI103" s="115"/>
      <c r="YJ103" s="115"/>
      <c r="YK103" s="115"/>
      <c r="YL103" s="115"/>
      <c r="YM103" s="115"/>
      <c r="YN103" s="115"/>
      <c r="YO103" s="115"/>
      <c r="YP103" s="115"/>
      <c r="YQ103" s="115"/>
      <c r="YX103" s="22">
        <v>0</v>
      </c>
      <c r="YY103" s="22">
        <f>VLOOKUP(B103,'SCAFFOLDING MATERIAL OVERALL'!B105:S287,18,FALSE)</f>
        <v>15.94</v>
      </c>
      <c r="YZ103" s="22">
        <f t="shared" si="1"/>
        <v>0</v>
      </c>
    </row>
    <row r="104" spans="1:676" s="22" customFormat="1" x14ac:dyDescent="0.25">
      <c r="A104" s="14">
        <v>100</v>
      </c>
      <c r="B104" s="15">
        <v>3000008516</v>
      </c>
      <c r="C104" s="16" t="s">
        <v>112</v>
      </c>
      <c r="D104" s="44" t="s">
        <v>12</v>
      </c>
      <c r="OZ104" s="115"/>
      <c r="PA104" s="115"/>
      <c r="PB104" s="115"/>
      <c r="PC104" s="115"/>
      <c r="PD104" s="115"/>
      <c r="PE104" s="115"/>
      <c r="PF104" s="115"/>
      <c r="PG104" s="115"/>
      <c r="PH104" s="115"/>
      <c r="PI104" s="115"/>
      <c r="PJ104" s="115"/>
      <c r="PK104" s="115"/>
      <c r="PL104" s="115"/>
      <c r="PM104" s="115"/>
      <c r="PN104" s="115"/>
      <c r="PO104" s="115"/>
      <c r="PP104" s="115"/>
      <c r="PQ104" s="115"/>
      <c r="PR104" s="115"/>
      <c r="PS104" s="115"/>
      <c r="PT104" s="115"/>
      <c r="PU104" s="115"/>
      <c r="PV104" s="115"/>
      <c r="PW104" s="115"/>
      <c r="PX104" s="115"/>
      <c r="PY104" s="115"/>
      <c r="PZ104" s="115"/>
      <c r="QA104" s="115"/>
      <c r="QB104" s="115"/>
      <c r="QC104" s="115"/>
      <c r="QD104" s="115"/>
      <c r="QE104" s="115"/>
      <c r="QF104" s="115"/>
      <c r="QG104" s="115"/>
      <c r="QH104" s="115"/>
      <c r="QI104" s="115"/>
      <c r="QJ104" s="115"/>
      <c r="QK104" s="115"/>
      <c r="QL104" s="115"/>
      <c r="QM104" s="115"/>
      <c r="QN104" s="115"/>
      <c r="QO104" s="115"/>
      <c r="QP104" s="115"/>
      <c r="QQ104" s="115"/>
      <c r="QR104" s="115"/>
      <c r="QS104" s="115"/>
      <c r="QT104" s="115"/>
      <c r="QU104" s="115"/>
      <c r="QV104" s="115"/>
      <c r="QW104" s="115"/>
      <c r="QX104" s="115"/>
      <c r="QY104" s="115"/>
      <c r="QZ104" s="115"/>
      <c r="RA104" s="115"/>
      <c r="RB104" s="115"/>
      <c r="RC104" s="115"/>
      <c r="RD104" s="115"/>
      <c r="RE104" s="115"/>
      <c r="RF104" s="115"/>
      <c r="RG104" s="115"/>
      <c r="RH104" s="115"/>
      <c r="RI104" s="115"/>
      <c r="RJ104" s="115"/>
      <c r="RK104" s="115"/>
      <c r="RL104" s="115"/>
      <c r="RM104" s="115"/>
      <c r="RN104" s="115"/>
      <c r="RO104" s="115"/>
      <c r="RP104" s="115"/>
      <c r="RQ104" s="115"/>
      <c r="RR104" s="115"/>
      <c r="RS104" s="115"/>
      <c r="RT104" s="115"/>
      <c r="RU104" s="115"/>
      <c r="RV104" s="115"/>
      <c r="RW104" s="115"/>
      <c r="RX104" s="115"/>
      <c r="RY104" s="115"/>
      <c r="RZ104" s="115"/>
      <c r="SA104" s="115"/>
      <c r="SB104" s="115"/>
      <c r="SC104" s="115"/>
      <c r="SD104" s="115"/>
      <c r="SE104" s="115"/>
      <c r="SF104" s="115"/>
      <c r="SG104" s="115"/>
      <c r="SH104" s="115"/>
      <c r="SI104" s="115"/>
      <c r="SJ104" s="115"/>
      <c r="SK104" s="115"/>
      <c r="SL104" s="115"/>
      <c r="SM104" s="115"/>
      <c r="SN104" s="115"/>
      <c r="SO104" s="115"/>
      <c r="SP104" s="115"/>
      <c r="SQ104" s="115"/>
      <c r="SR104" s="115"/>
      <c r="SS104" s="115"/>
      <c r="ST104" s="115"/>
      <c r="SU104" s="115"/>
      <c r="SV104" s="115"/>
      <c r="SW104" s="115"/>
      <c r="SX104" s="115"/>
      <c r="SY104" s="115"/>
      <c r="SZ104" s="115"/>
      <c r="TA104" s="115"/>
      <c r="TB104" s="115"/>
      <c r="TC104" s="115"/>
      <c r="TD104" s="115"/>
      <c r="TE104" s="115"/>
      <c r="TF104" s="115"/>
      <c r="TG104" s="115"/>
      <c r="TH104" s="115"/>
      <c r="TI104" s="115"/>
      <c r="TJ104" s="115"/>
      <c r="TK104" s="115"/>
      <c r="TL104" s="115"/>
      <c r="TM104" s="115"/>
      <c r="TN104" s="115"/>
      <c r="TO104" s="115"/>
      <c r="TP104" s="115"/>
      <c r="TQ104" s="115"/>
      <c r="TR104" s="115"/>
      <c r="TS104" s="115"/>
      <c r="TT104" s="115"/>
      <c r="TU104" s="115"/>
      <c r="TV104" s="115"/>
      <c r="TW104" s="115"/>
      <c r="TX104" s="115"/>
      <c r="TY104" s="115"/>
      <c r="TZ104" s="115"/>
      <c r="UA104" s="115"/>
      <c r="UB104" s="115"/>
      <c r="UC104" s="115"/>
      <c r="UD104" s="115"/>
      <c r="UE104" s="115"/>
      <c r="UF104" s="115"/>
      <c r="UG104" s="115"/>
      <c r="UH104" s="115"/>
      <c r="UI104" s="115"/>
      <c r="UJ104" s="115"/>
      <c r="UK104" s="115"/>
      <c r="UL104" s="115"/>
      <c r="UM104" s="115"/>
      <c r="UN104" s="115"/>
      <c r="UO104" s="115"/>
      <c r="UP104" s="115"/>
      <c r="UQ104" s="115"/>
      <c r="UR104" s="115"/>
      <c r="US104" s="115"/>
      <c r="UT104" s="115"/>
      <c r="UU104" s="115"/>
      <c r="UV104" s="115"/>
      <c r="UW104" s="115"/>
      <c r="UX104" s="115"/>
      <c r="UY104" s="115"/>
      <c r="UZ104" s="115"/>
      <c r="VA104" s="115"/>
      <c r="VB104" s="115"/>
      <c r="VC104" s="115"/>
      <c r="VD104" s="115"/>
      <c r="VE104" s="115"/>
      <c r="VF104" s="115"/>
      <c r="VG104" s="115"/>
      <c r="VH104" s="115"/>
      <c r="VI104" s="115"/>
      <c r="VJ104" s="115"/>
      <c r="VK104" s="115"/>
      <c r="VL104" s="115"/>
      <c r="VM104" s="115"/>
      <c r="VN104" s="115"/>
      <c r="VO104" s="115"/>
      <c r="VP104" s="115"/>
      <c r="VQ104" s="115"/>
      <c r="VR104" s="115"/>
      <c r="VS104" s="115"/>
      <c r="VT104" s="115"/>
      <c r="VU104" s="115"/>
      <c r="VV104" s="115"/>
      <c r="VW104" s="115"/>
      <c r="VX104" s="115"/>
      <c r="VY104" s="115"/>
      <c r="VZ104" s="115"/>
      <c r="WA104" s="115"/>
      <c r="WB104" s="115"/>
      <c r="WC104" s="115"/>
      <c r="WD104" s="115"/>
      <c r="WE104" s="115"/>
      <c r="WF104" s="115"/>
      <c r="WG104" s="115"/>
      <c r="WH104" s="115"/>
      <c r="WI104" s="115"/>
      <c r="WJ104" s="115"/>
      <c r="WK104" s="115"/>
      <c r="WL104" s="115"/>
      <c r="WM104" s="115"/>
      <c r="WN104" s="115"/>
      <c r="WO104" s="115"/>
      <c r="WP104" s="115"/>
      <c r="WQ104" s="115"/>
      <c r="WR104" s="115"/>
      <c r="WS104" s="115"/>
      <c r="WT104" s="115"/>
      <c r="WU104" s="115"/>
      <c r="WV104" s="115"/>
      <c r="WW104" s="115"/>
      <c r="WX104" s="115"/>
      <c r="WY104" s="115"/>
      <c r="WZ104" s="115"/>
      <c r="XA104" s="115"/>
      <c r="XB104" s="115"/>
      <c r="XC104" s="115"/>
      <c r="XD104" s="115"/>
      <c r="XE104" s="115"/>
      <c r="XF104" s="115"/>
      <c r="XG104" s="115"/>
      <c r="XH104" s="115"/>
      <c r="XI104" s="115"/>
      <c r="XJ104" s="115"/>
      <c r="XK104" s="115"/>
      <c r="XL104" s="115"/>
      <c r="XM104" s="115"/>
      <c r="XN104" s="115"/>
      <c r="XO104" s="115"/>
      <c r="XP104" s="115"/>
      <c r="XQ104" s="115"/>
      <c r="XR104" s="115"/>
      <c r="XS104" s="115"/>
      <c r="XT104" s="115"/>
      <c r="XU104" s="115"/>
      <c r="XV104" s="115"/>
      <c r="XW104" s="115"/>
      <c r="XX104" s="115"/>
      <c r="XY104" s="115"/>
      <c r="XZ104" s="115"/>
      <c r="YA104" s="115"/>
      <c r="YB104" s="115"/>
      <c r="YC104" s="115"/>
      <c r="YD104" s="115"/>
      <c r="YE104" s="115"/>
      <c r="YF104" s="115"/>
      <c r="YG104" s="115"/>
      <c r="YH104" s="115"/>
      <c r="YI104" s="115"/>
      <c r="YJ104" s="115"/>
      <c r="YK104" s="115"/>
      <c r="YL104" s="115"/>
      <c r="YM104" s="115"/>
      <c r="YN104" s="115"/>
      <c r="YO104" s="115"/>
      <c r="YP104" s="115"/>
      <c r="YQ104" s="115"/>
      <c r="YX104" s="22">
        <v>0</v>
      </c>
      <c r="YY104" s="22">
        <f>VLOOKUP(B104,'SCAFFOLDING MATERIAL OVERALL'!B106:S288,18,FALSE)</f>
        <v>0.49</v>
      </c>
      <c r="YZ104" s="22">
        <f t="shared" si="1"/>
        <v>0</v>
      </c>
    </row>
    <row r="105" spans="1:676" s="22" customFormat="1" x14ac:dyDescent="0.25">
      <c r="A105" s="17">
        <v>101</v>
      </c>
      <c r="B105" s="15">
        <v>3000002333</v>
      </c>
      <c r="C105" s="16" t="s">
        <v>113</v>
      </c>
      <c r="D105" s="44" t="s">
        <v>12</v>
      </c>
      <c r="OZ105" s="115"/>
      <c r="PA105" s="115"/>
      <c r="PB105" s="115"/>
      <c r="PC105" s="115"/>
      <c r="PD105" s="115"/>
      <c r="PE105" s="115"/>
      <c r="PF105" s="115"/>
      <c r="PG105" s="115"/>
      <c r="PH105" s="115"/>
      <c r="PI105" s="115"/>
      <c r="PJ105" s="115"/>
      <c r="PK105" s="115"/>
      <c r="PL105" s="115"/>
      <c r="PM105" s="115"/>
      <c r="PN105" s="115"/>
      <c r="PO105" s="115"/>
      <c r="PP105" s="115"/>
      <c r="PQ105" s="115"/>
      <c r="PR105" s="115"/>
      <c r="PS105" s="115"/>
      <c r="PT105" s="115"/>
      <c r="PU105" s="115"/>
      <c r="PV105" s="115"/>
      <c r="PW105" s="115"/>
      <c r="PX105" s="115"/>
      <c r="PY105" s="115"/>
      <c r="PZ105" s="115"/>
      <c r="QA105" s="115"/>
      <c r="QB105" s="115"/>
      <c r="QC105" s="115"/>
      <c r="QD105" s="115"/>
      <c r="QE105" s="115"/>
      <c r="QF105" s="115"/>
      <c r="QG105" s="115"/>
      <c r="QH105" s="115"/>
      <c r="QI105" s="115"/>
      <c r="QJ105" s="115"/>
      <c r="QK105" s="115"/>
      <c r="QL105" s="115"/>
      <c r="QM105" s="115"/>
      <c r="QN105" s="115"/>
      <c r="QO105" s="115"/>
      <c r="QP105" s="115"/>
      <c r="QQ105" s="115"/>
      <c r="QR105" s="115"/>
      <c r="QS105" s="115"/>
      <c r="QT105" s="115"/>
      <c r="QU105" s="115"/>
      <c r="QV105" s="115"/>
      <c r="QW105" s="115"/>
      <c r="QX105" s="115"/>
      <c r="QY105" s="115"/>
      <c r="QZ105" s="115"/>
      <c r="RA105" s="115"/>
      <c r="RB105" s="115"/>
      <c r="RC105" s="115"/>
      <c r="RD105" s="115"/>
      <c r="RE105" s="115"/>
      <c r="RF105" s="115"/>
      <c r="RG105" s="115"/>
      <c r="RH105" s="115"/>
      <c r="RI105" s="115"/>
      <c r="RJ105" s="115"/>
      <c r="RK105" s="115"/>
      <c r="RL105" s="115"/>
      <c r="RM105" s="115"/>
      <c r="RN105" s="115"/>
      <c r="RO105" s="115"/>
      <c r="RP105" s="115"/>
      <c r="RQ105" s="115"/>
      <c r="RR105" s="115"/>
      <c r="RS105" s="115"/>
      <c r="RT105" s="115"/>
      <c r="RU105" s="115"/>
      <c r="RV105" s="115"/>
      <c r="RW105" s="115"/>
      <c r="RX105" s="115"/>
      <c r="RY105" s="115"/>
      <c r="RZ105" s="115"/>
      <c r="SA105" s="115"/>
      <c r="SB105" s="115"/>
      <c r="SC105" s="115"/>
      <c r="SD105" s="115"/>
      <c r="SE105" s="115"/>
      <c r="SF105" s="115"/>
      <c r="SG105" s="115"/>
      <c r="SH105" s="115"/>
      <c r="SI105" s="115"/>
      <c r="SJ105" s="115"/>
      <c r="SK105" s="115"/>
      <c r="SL105" s="115"/>
      <c r="SM105" s="115"/>
      <c r="SN105" s="115"/>
      <c r="SO105" s="115"/>
      <c r="SP105" s="115"/>
      <c r="SQ105" s="115"/>
      <c r="SR105" s="115"/>
      <c r="SS105" s="115"/>
      <c r="ST105" s="115"/>
      <c r="SU105" s="115"/>
      <c r="SV105" s="115"/>
      <c r="SW105" s="115"/>
      <c r="SX105" s="115"/>
      <c r="SY105" s="115"/>
      <c r="SZ105" s="115"/>
      <c r="TA105" s="115"/>
      <c r="TB105" s="115"/>
      <c r="TC105" s="115"/>
      <c r="TD105" s="115"/>
      <c r="TE105" s="115"/>
      <c r="TF105" s="115"/>
      <c r="TG105" s="115"/>
      <c r="TH105" s="115"/>
      <c r="TI105" s="115"/>
      <c r="TJ105" s="115"/>
      <c r="TK105" s="115"/>
      <c r="TL105" s="115"/>
      <c r="TM105" s="115"/>
      <c r="TN105" s="115"/>
      <c r="TO105" s="115"/>
      <c r="TP105" s="115"/>
      <c r="TQ105" s="115"/>
      <c r="TR105" s="115"/>
      <c r="TS105" s="115"/>
      <c r="TT105" s="115"/>
      <c r="TU105" s="115"/>
      <c r="TV105" s="115"/>
      <c r="TW105" s="115"/>
      <c r="TX105" s="115"/>
      <c r="TY105" s="115"/>
      <c r="TZ105" s="115"/>
      <c r="UA105" s="115"/>
      <c r="UB105" s="115"/>
      <c r="UC105" s="115"/>
      <c r="UD105" s="115"/>
      <c r="UE105" s="115"/>
      <c r="UF105" s="115"/>
      <c r="UG105" s="115"/>
      <c r="UH105" s="115"/>
      <c r="UI105" s="115"/>
      <c r="UJ105" s="115"/>
      <c r="UK105" s="115"/>
      <c r="UL105" s="115"/>
      <c r="UM105" s="115"/>
      <c r="UN105" s="115"/>
      <c r="UO105" s="115"/>
      <c r="UP105" s="115"/>
      <c r="UQ105" s="115"/>
      <c r="UR105" s="115"/>
      <c r="US105" s="115"/>
      <c r="UT105" s="115"/>
      <c r="UU105" s="115"/>
      <c r="UV105" s="115"/>
      <c r="UW105" s="115"/>
      <c r="UX105" s="115"/>
      <c r="UY105" s="115"/>
      <c r="UZ105" s="115"/>
      <c r="VA105" s="115"/>
      <c r="VB105" s="115"/>
      <c r="VC105" s="115"/>
      <c r="VD105" s="115"/>
      <c r="VE105" s="115"/>
      <c r="VF105" s="115"/>
      <c r="VG105" s="115"/>
      <c r="VH105" s="115"/>
      <c r="VI105" s="115"/>
      <c r="VJ105" s="115"/>
      <c r="VK105" s="115"/>
      <c r="VL105" s="115"/>
      <c r="VM105" s="115"/>
      <c r="VN105" s="115"/>
      <c r="VO105" s="115"/>
      <c r="VP105" s="115"/>
      <c r="VQ105" s="115"/>
      <c r="VR105" s="115"/>
      <c r="VS105" s="115"/>
      <c r="VT105" s="115"/>
      <c r="VU105" s="115"/>
      <c r="VV105" s="115"/>
      <c r="VW105" s="115"/>
      <c r="VX105" s="115"/>
      <c r="VY105" s="115"/>
      <c r="VZ105" s="115"/>
      <c r="WA105" s="115"/>
      <c r="WB105" s="115"/>
      <c r="WC105" s="115"/>
      <c r="WD105" s="115"/>
      <c r="WE105" s="115"/>
      <c r="WF105" s="115"/>
      <c r="WG105" s="115"/>
      <c r="WH105" s="115"/>
      <c r="WI105" s="115"/>
      <c r="WJ105" s="115"/>
      <c r="WK105" s="115"/>
      <c r="WL105" s="115"/>
      <c r="WM105" s="115"/>
      <c r="WN105" s="115"/>
      <c r="WO105" s="115"/>
      <c r="WP105" s="115"/>
      <c r="WQ105" s="115"/>
      <c r="WR105" s="115"/>
      <c r="WS105" s="115"/>
      <c r="WT105" s="115"/>
      <c r="WU105" s="115"/>
      <c r="WV105" s="115"/>
      <c r="WW105" s="115"/>
      <c r="WX105" s="115"/>
      <c r="WY105" s="115"/>
      <c r="WZ105" s="115"/>
      <c r="XA105" s="115"/>
      <c r="XB105" s="115"/>
      <c r="XC105" s="115"/>
      <c r="XD105" s="115"/>
      <c r="XE105" s="115"/>
      <c r="XF105" s="115"/>
      <c r="XG105" s="115"/>
      <c r="XH105" s="115"/>
      <c r="XI105" s="115"/>
      <c r="XJ105" s="115"/>
      <c r="XK105" s="115"/>
      <c r="XL105" s="115"/>
      <c r="XM105" s="115"/>
      <c r="XN105" s="115"/>
      <c r="XO105" s="115"/>
      <c r="XP105" s="115"/>
      <c r="XQ105" s="115"/>
      <c r="XR105" s="115"/>
      <c r="XS105" s="115"/>
      <c r="XT105" s="115"/>
      <c r="XU105" s="115"/>
      <c r="XV105" s="115"/>
      <c r="XW105" s="115"/>
      <c r="XX105" s="115"/>
      <c r="XY105" s="115"/>
      <c r="XZ105" s="115"/>
      <c r="YA105" s="115"/>
      <c r="YB105" s="115"/>
      <c r="YC105" s="115"/>
      <c r="YD105" s="115"/>
      <c r="YE105" s="115"/>
      <c r="YF105" s="115"/>
      <c r="YG105" s="115"/>
      <c r="YH105" s="115"/>
      <c r="YI105" s="115"/>
      <c r="YJ105" s="115"/>
      <c r="YK105" s="115"/>
      <c r="YL105" s="115"/>
      <c r="YM105" s="115"/>
      <c r="YN105" s="115"/>
      <c r="YO105" s="115"/>
      <c r="YP105" s="115"/>
      <c r="YQ105" s="115"/>
      <c r="YX105" s="22">
        <v>0</v>
      </c>
      <c r="YY105" s="22">
        <f>VLOOKUP(B105,'SCAFFOLDING MATERIAL OVERALL'!B107:S289,18,FALSE)</f>
        <v>33.6</v>
      </c>
      <c r="YZ105" s="22">
        <f t="shared" si="1"/>
        <v>0</v>
      </c>
    </row>
    <row r="106" spans="1:676" s="22" customFormat="1" x14ac:dyDescent="0.25">
      <c r="A106" s="14">
        <v>102</v>
      </c>
      <c r="B106" s="15">
        <v>3000000840</v>
      </c>
      <c r="C106" t="s">
        <v>114</v>
      </c>
      <c r="D106" s="44" t="s">
        <v>12</v>
      </c>
      <c r="L106" s="22">
        <v>175</v>
      </c>
      <c r="P106" s="22">
        <v>5000</v>
      </c>
      <c r="AB106" s="22">
        <v>5000</v>
      </c>
      <c r="AC106" s="22" t="s">
        <v>35</v>
      </c>
      <c r="AQ106" s="22">
        <v>4300</v>
      </c>
      <c r="AR106" s="22">
        <v>17200</v>
      </c>
      <c r="AS106" s="22">
        <v>10750</v>
      </c>
      <c r="AU106" s="22">
        <v>15000</v>
      </c>
      <c r="AW106" s="22">
        <v>2150</v>
      </c>
      <c r="AX106" s="22">
        <v>15200</v>
      </c>
      <c r="EL106" s="22">
        <v>10</v>
      </c>
      <c r="EY106" s="22">
        <v>4</v>
      </c>
      <c r="GE106" s="22">
        <v>12</v>
      </c>
      <c r="GL106" s="22">
        <v>6</v>
      </c>
      <c r="GR106" s="22">
        <v>2110</v>
      </c>
      <c r="GU106" s="22">
        <v>13500</v>
      </c>
      <c r="HA106" s="22">
        <v>4000</v>
      </c>
      <c r="HC106" s="22">
        <v>15000</v>
      </c>
      <c r="IG106" s="22">
        <v>800</v>
      </c>
      <c r="II106" s="22">
        <v>2000</v>
      </c>
      <c r="IK106" s="22">
        <v>5000</v>
      </c>
      <c r="IM106" s="22">
        <v>6245</v>
      </c>
      <c r="IQ106" s="22">
        <v>8670</v>
      </c>
      <c r="IT106" s="22">
        <v>15000</v>
      </c>
      <c r="IW106" s="22">
        <v>5755</v>
      </c>
      <c r="JK106" s="22">
        <v>1500</v>
      </c>
      <c r="JN106" s="22">
        <v>3000</v>
      </c>
      <c r="JT106" s="22">
        <v>3000</v>
      </c>
      <c r="JX106" s="22">
        <v>3700</v>
      </c>
      <c r="KC106" s="22">
        <v>1500</v>
      </c>
      <c r="KD106" s="22">
        <v>1500</v>
      </c>
      <c r="KV106" s="22">
        <v>2500</v>
      </c>
      <c r="KX106" s="22">
        <v>2000</v>
      </c>
      <c r="LB106" s="22">
        <v>1716</v>
      </c>
      <c r="LF106" s="22">
        <v>1000</v>
      </c>
      <c r="LK106" s="22">
        <v>600</v>
      </c>
      <c r="MI106" s="22">
        <v>850</v>
      </c>
      <c r="ML106" s="22">
        <v>2500</v>
      </c>
      <c r="MZ106" s="22">
        <v>2000</v>
      </c>
      <c r="NE106" s="22">
        <v>2385</v>
      </c>
      <c r="NK106" s="22">
        <v>2650</v>
      </c>
      <c r="NP106" s="22">
        <v>440</v>
      </c>
      <c r="NR106" s="22">
        <v>1500</v>
      </c>
      <c r="NS106" s="22">
        <v>500</v>
      </c>
      <c r="NU106" s="22">
        <v>1500</v>
      </c>
      <c r="NX106" s="22">
        <v>4320</v>
      </c>
      <c r="OZ106" s="115"/>
      <c r="PA106" s="115">
        <v>1450</v>
      </c>
      <c r="PB106" s="115"/>
      <c r="PC106" s="115"/>
      <c r="PD106" s="115"/>
      <c r="PE106" s="115"/>
      <c r="PF106" s="115"/>
      <c r="PG106" s="115"/>
      <c r="PH106" s="115"/>
      <c r="PI106" s="115"/>
      <c r="PJ106" s="115"/>
      <c r="PK106" s="115"/>
      <c r="PL106" s="115"/>
      <c r="PM106" s="115"/>
      <c r="PN106" s="115"/>
      <c r="PO106" s="115"/>
      <c r="PP106" s="115"/>
      <c r="PQ106" s="115"/>
      <c r="PR106" s="115"/>
      <c r="PS106" s="115"/>
      <c r="PT106" s="115">
        <v>7000</v>
      </c>
      <c r="PU106" s="115">
        <v>12500</v>
      </c>
      <c r="PV106" s="115"/>
      <c r="PW106" s="115"/>
      <c r="PX106" s="115"/>
      <c r="PY106" s="115"/>
      <c r="PZ106" s="115"/>
      <c r="QA106" s="115"/>
      <c r="QB106" s="115"/>
      <c r="QC106" s="115"/>
      <c r="QD106" s="115"/>
      <c r="QE106" s="115"/>
      <c r="QF106" s="115"/>
      <c r="QG106" s="115"/>
      <c r="QH106" s="115"/>
      <c r="QI106" s="115"/>
      <c r="QJ106" s="115"/>
      <c r="QK106" s="115"/>
      <c r="QL106" s="115"/>
      <c r="QM106" s="115"/>
      <c r="QN106" s="115"/>
      <c r="QO106" s="115"/>
      <c r="QP106" s="115"/>
      <c r="QQ106" s="115"/>
      <c r="QR106" s="115"/>
      <c r="QS106" s="115"/>
      <c r="QT106" s="115"/>
      <c r="QU106" s="115"/>
      <c r="QV106" s="115"/>
      <c r="QW106" s="115"/>
      <c r="QX106" s="115"/>
      <c r="QY106" s="115"/>
      <c r="QZ106" s="115"/>
      <c r="RA106" s="115"/>
      <c r="RB106" s="115"/>
      <c r="RC106" s="115">
        <v>12480</v>
      </c>
      <c r="RD106" s="115">
        <v>12520</v>
      </c>
      <c r="RE106" s="115"/>
      <c r="RF106" s="115"/>
      <c r="RG106" s="115">
        <v>2000</v>
      </c>
      <c r="RH106" s="115"/>
      <c r="RI106" s="115"/>
      <c r="RJ106" s="115"/>
      <c r="RK106" s="115"/>
      <c r="RL106" s="115"/>
      <c r="RM106" s="115"/>
      <c r="RN106" s="115"/>
      <c r="RO106" s="115"/>
      <c r="RP106" s="115"/>
      <c r="RQ106" s="115"/>
      <c r="RR106" s="115"/>
      <c r="RS106" s="115">
        <v>5500</v>
      </c>
      <c r="RT106" s="115"/>
      <c r="RU106" s="115"/>
      <c r="RV106" s="115"/>
      <c r="RW106" s="115"/>
      <c r="RX106" s="115"/>
      <c r="RY106" s="115"/>
      <c r="RZ106" s="115"/>
      <c r="SA106" s="115"/>
      <c r="SB106" s="115"/>
      <c r="SC106" s="115"/>
      <c r="SD106" s="115"/>
      <c r="SE106" s="115"/>
      <c r="SF106" s="115"/>
      <c r="SG106" s="115"/>
      <c r="SH106" s="115"/>
      <c r="SI106" s="115">
        <v>3000</v>
      </c>
      <c r="SJ106" s="115"/>
      <c r="SK106" s="115"/>
      <c r="SL106" s="115"/>
      <c r="SM106" s="115"/>
      <c r="SN106" s="115"/>
      <c r="SO106" s="115"/>
      <c r="SP106" s="115"/>
      <c r="SQ106" s="115"/>
      <c r="SR106" s="115"/>
      <c r="SS106" s="115"/>
      <c r="ST106" s="115"/>
      <c r="SU106" s="115"/>
      <c r="SV106" s="115"/>
      <c r="SW106" s="115"/>
      <c r="SX106" s="115"/>
      <c r="SY106" s="115"/>
      <c r="SZ106" s="115"/>
      <c r="TA106" s="115">
        <v>1680</v>
      </c>
      <c r="TB106" s="115"/>
      <c r="TC106" s="115"/>
      <c r="TD106" s="115"/>
      <c r="TE106" s="115"/>
      <c r="TF106" s="115"/>
      <c r="TG106" s="115"/>
      <c r="TH106" s="115"/>
      <c r="TI106" s="115"/>
      <c r="TJ106" s="115"/>
      <c r="TK106" s="115"/>
      <c r="TL106" s="115"/>
      <c r="TM106" s="115">
        <v>4160</v>
      </c>
      <c r="TN106" s="115">
        <v>1380</v>
      </c>
      <c r="TO106" s="115"/>
      <c r="TP106" s="115"/>
      <c r="TQ106" s="115"/>
      <c r="TR106" s="115">
        <v>2160</v>
      </c>
      <c r="TS106" s="115"/>
      <c r="TT106" s="115"/>
      <c r="TU106" s="115"/>
      <c r="TV106" s="115"/>
      <c r="TW106" s="115">
        <v>4320</v>
      </c>
      <c r="TX106" s="115"/>
      <c r="TY106" s="115"/>
      <c r="TZ106" s="115"/>
      <c r="UA106" s="115"/>
      <c r="UB106" s="115"/>
      <c r="UC106" s="115"/>
      <c r="UD106" s="115"/>
      <c r="UE106" s="115">
        <v>10000</v>
      </c>
      <c r="UF106" s="115"/>
      <c r="UG106" s="115"/>
      <c r="UH106" s="115"/>
      <c r="UI106" s="115"/>
      <c r="UJ106" s="115"/>
      <c r="UK106" s="115"/>
      <c r="UL106" s="115"/>
      <c r="UM106" s="115"/>
      <c r="UN106" s="115"/>
      <c r="UO106" s="115"/>
      <c r="UP106" s="115"/>
      <c r="UQ106" s="115"/>
      <c r="UR106" s="115"/>
      <c r="US106" s="115"/>
      <c r="UT106" s="115"/>
      <c r="UU106" s="115"/>
      <c r="UV106" s="115">
        <v>10800</v>
      </c>
      <c r="UW106" s="115"/>
      <c r="UX106" s="115"/>
      <c r="UY106" s="115"/>
      <c r="UZ106" s="115">
        <v>2000</v>
      </c>
      <c r="VA106" s="115"/>
      <c r="VB106" s="115"/>
      <c r="VC106" s="115"/>
      <c r="VD106" s="115"/>
      <c r="VE106" s="115"/>
      <c r="VF106" s="115"/>
      <c r="VG106" s="115">
        <v>3000</v>
      </c>
      <c r="VH106" s="115"/>
      <c r="VI106" s="115"/>
      <c r="VJ106" s="115"/>
      <c r="VK106" s="115"/>
      <c r="VL106" s="115"/>
      <c r="VM106" s="115"/>
      <c r="VN106" s="115">
        <v>20000</v>
      </c>
      <c r="VO106" s="115"/>
      <c r="VP106" s="115"/>
      <c r="VQ106" s="115">
        <v>1500</v>
      </c>
      <c r="VR106" s="115"/>
      <c r="VS106" s="115"/>
      <c r="VT106" s="115">
        <v>1000</v>
      </c>
      <c r="VU106" s="115"/>
      <c r="VV106" s="115"/>
      <c r="VW106" s="115">
        <v>2500</v>
      </c>
      <c r="VX106" s="115"/>
      <c r="VY106" s="115"/>
      <c r="VZ106" s="115">
        <v>1200</v>
      </c>
      <c r="WA106" s="115"/>
      <c r="WB106" s="115"/>
      <c r="WC106" s="115"/>
      <c r="WD106" s="115">
        <v>2160</v>
      </c>
      <c r="WE106" s="115"/>
      <c r="WF106" s="115">
        <v>4320</v>
      </c>
      <c r="WG106" s="115">
        <v>1000</v>
      </c>
      <c r="WH106" s="115">
        <v>1000</v>
      </c>
      <c r="WI106" s="115"/>
      <c r="WJ106" s="115"/>
      <c r="WK106" s="115"/>
      <c r="WL106" s="115"/>
      <c r="WM106" s="115">
        <v>1000</v>
      </c>
      <c r="WN106" s="115"/>
      <c r="WO106" s="115"/>
      <c r="WP106" s="115"/>
      <c r="WQ106" s="115"/>
      <c r="WR106" s="115">
        <v>2000</v>
      </c>
      <c r="WS106" s="115"/>
      <c r="WT106" s="115"/>
      <c r="WU106" s="115">
        <v>4000</v>
      </c>
      <c r="WV106" s="115"/>
      <c r="WW106" s="115"/>
      <c r="WX106" s="115"/>
      <c r="WY106" s="115"/>
      <c r="WZ106" s="115"/>
      <c r="XA106" s="115"/>
      <c r="XB106" s="115"/>
      <c r="XC106" s="115"/>
      <c r="XD106" s="115"/>
      <c r="XE106" s="115"/>
      <c r="XF106" s="115"/>
      <c r="XG106" s="115"/>
      <c r="XH106" s="115"/>
      <c r="XI106" s="115"/>
      <c r="XJ106" s="115"/>
      <c r="XK106" s="115"/>
      <c r="XL106" s="115"/>
      <c r="XM106" s="115"/>
      <c r="XN106" s="115"/>
      <c r="XO106" s="115"/>
      <c r="XP106" s="115"/>
      <c r="XQ106" s="115"/>
      <c r="XR106" s="115"/>
      <c r="XS106" s="115"/>
      <c r="XT106" s="115"/>
      <c r="XU106" s="115"/>
      <c r="XV106" s="115"/>
      <c r="XW106" s="115"/>
      <c r="XX106" s="115"/>
      <c r="XY106" s="115"/>
      <c r="XZ106" s="115"/>
      <c r="YA106" s="115"/>
      <c r="YB106" s="115"/>
      <c r="YC106" s="115"/>
      <c r="YD106" s="115"/>
      <c r="YE106" s="115"/>
      <c r="YF106" s="115"/>
      <c r="YG106" s="115"/>
      <c r="YH106" s="115"/>
      <c r="YI106" s="115"/>
      <c r="YJ106" s="115"/>
      <c r="YK106" s="115"/>
      <c r="YL106" s="115"/>
      <c r="YM106" s="115"/>
      <c r="YN106" s="115"/>
      <c r="YO106" s="115"/>
      <c r="YP106" s="115"/>
      <c r="YQ106" s="115"/>
      <c r="YX106" s="22">
        <v>331178</v>
      </c>
      <c r="YY106" s="22">
        <f>VLOOKUP(B106,'SCAFFOLDING MATERIAL OVERALL'!B108:S290,18,FALSE)</f>
        <v>0.6</v>
      </c>
      <c r="YZ106" s="22">
        <f t="shared" si="1"/>
        <v>198706.8</v>
      </c>
    </row>
    <row r="107" spans="1:676" s="22" customFormat="1" x14ac:dyDescent="0.25">
      <c r="A107" s="14">
        <v>103</v>
      </c>
      <c r="B107" s="15">
        <v>3000001222</v>
      </c>
      <c r="C107" s="16" t="s">
        <v>115</v>
      </c>
      <c r="D107" s="44" t="s">
        <v>12</v>
      </c>
      <c r="OX107" s="22">
        <v>99</v>
      </c>
      <c r="OZ107" s="115"/>
      <c r="PA107" s="115"/>
      <c r="PB107" s="115"/>
      <c r="PC107" s="115"/>
      <c r="PD107" s="115"/>
      <c r="PE107" s="115"/>
      <c r="PF107" s="115"/>
      <c r="PG107" s="115"/>
      <c r="PH107" s="115"/>
      <c r="PI107" s="115"/>
      <c r="PJ107" s="115"/>
      <c r="PK107" s="115"/>
      <c r="PL107" s="115"/>
      <c r="PM107" s="115"/>
      <c r="PN107" s="115"/>
      <c r="PO107" s="115"/>
      <c r="PP107" s="115"/>
      <c r="PQ107" s="115"/>
      <c r="PR107" s="115"/>
      <c r="PS107" s="115"/>
      <c r="PT107" s="115"/>
      <c r="PU107" s="115"/>
      <c r="PV107" s="115"/>
      <c r="PW107" s="115"/>
      <c r="PX107" s="115"/>
      <c r="PY107" s="115"/>
      <c r="PZ107" s="115"/>
      <c r="QA107" s="115"/>
      <c r="QB107" s="115"/>
      <c r="QC107" s="115"/>
      <c r="QD107" s="115"/>
      <c r="QE107" s="115"/>
      <c r="QF107" s="115"/>
      <c r="QG107" s="115"/>
      <c r="QH107" s="115"/>
      <c r="QI107" s="115"/>
      <c r="QJ107" s="115"/>
      <c r="QK107" s="115"/>
      <c r="QL107" s="115"/>
      <c r="QM107" s="115"/>
      <c r="QN107" s="115"/>
      <c r="QO107" s="115"/>
      <c r="QP107" s="115"/>
      <c r="QQ107" s="115"/>
      <c r="QR107" s="115"/>
      <c r="QS107" s="115"/>
      <c r="QT107" s="115"/>
      <c r="QU107" s="115"/>
      <c r="QV107" s="115"/>
      <c r="QW107" s="115"/>
      <c r="QX107" s="115"/>
      <c r="QY107" s="115"/>
      <c r="QZ107" s="115"/>
      <c r="RA107" s="115"/>
      <c r="RB107" s="115"/>
      <c r="RC107" s="115"/>
      <c r="RD107" s="115"/>
      <c r="RE107" s="115"/>
      <c r="RF107" s="115"/>
      <c r="RG107" s="115"/>
      <c r="RH107" s="115"/>
      <c r="RI107" s="115"/>
      <c r="RJ107" s="115"/>
      <c r="RK107" s="115"/>
      <c r="RL107" s="115"/>
      <c r="RM107" s="115"/>
      <c r="RN107" s="115"/>
      <c r="RO107" s="115"/>
      <c r="RP107" s="115"/>
      <c r="RQ107" s="115"/>
      <c r="RR107" s="115"/>
      <c r="RS107" s="115"/>
      <c r="RT107" s="115"/>
      <c r="RU107" s="115"/>
      <c r="RV107" s="115"/>
      <c r="RW107" s="115"/>
      <c r="RX107" s="115"/>
      <c r="RY107" s="115"/>
      <c r="RZ107" s="115"/>
      <c r="SA107" s="115"/>
      <c r="SB107" s="115"/>
      <c r="SC107" s="115"/>
      <c r="SD107" s="115"/>
      <c r="SE107" s="115"/>
      <c r="SF107" s="115"/>
      <c r="SG107" s="115"/>
      <c r="SH107" s="115"/>
      <c r="SI107" s="115"/>
      <c r="SJ107" s="115"/>
      <c r="SK107" s="115"/>
      <c r="SL107" s="115"/>
      <c r="SM107" s="115"/>
      <c r="SN107" s="115"/>
      <c r="SO107" s="115"/>
      <c r="SP107" s="115"/>
      <c r="SQ107" s="115"/>
      <c r="SR107" s="115"/>
      <c r="SS107" s="115"/>
      <c r="ST107" s="115"/>
      <c r="SU107" s="115"/>
      <c r="SV107" s="115"/>
      <c r="SW107" s="115"/>
      <c r="SX107" s="115"/>
      <c r="SY107" s="115"/>
      <c r="SZ107" s="115"/>
      <c r="TA107" s="115"/>
      <c r="TB107" s="115"/>
      <c r="TC107" s="115"/>
      <c r="TD107" s="115"/>
      <c r="TE107" s="115"/>
      <c r="TF107" s="115"/>
      <c r="TG107" s="115"/>
      <c r="TH107" s="115"/>
      <c r="TI107" s="115"/>
      <c r="TJ107" s="115"/>
      <c r="TK107" s="115"/>
      <c r="TL107" s="115"/>
      <c r="TM107" s="115"/>
      <c r="TN107" s="115"/>
      <c r="TO107" s="115"/>
      <c r="TP107" s="115"/>
      <c r="TQ107" s="115"/>
      <c r="TR107" s="115"/>
      <c r="TS107" s="115"/>
      <c r="TT107" s="115"/>
      <c r="TU107" s="115"/>
      <c r="TV107" s="115"/>
      <c r="TW107" s="115"/>
      <c r="TX107" s="115">
        <v>200</v>
      </c>
      <c r="TY107" s="115"/>
      <c r="TZ107" s="115"/>
      <c r="UA107" s="115"/>
      <c r="UB107" s="115"/>
      <c r="UC107" s="115"/>
      <c r="UD107" s="115"/>
      <c r="UE107" s="115"/>
      <c r="UF107" s="115"/>
      <c r="UG107" s="115"/>
      <c r="UH107" s="115"/>
      <c r="UI107" s="115"/>
      <c r="UJ107" s="115"/>
      <c r="UK107" s="115"/>
      <c r="UL107" s="115"/>
      <c r="UM107" s="115"/>
      <c r="UN107" s="115"/>
      <c r="UO107" s="115"/>
      <c r="UP107" s="115"/>
      <c r="UQ107" s="115"/>
      <c r="UR107" s="115"/>
      <c r="US107" s="115"/>
      <c r="UT107" s="115"/>
      <c r="UU107" s="115"/>
      <c r="UV107" s="115"/>
      <c r="UW107" s="115"/>
      <c r="UX107" s="115"/>
      <c r="UY107" s="115"/>
      <c r="UZ107" s="115"/>
      <c r="VA107" s="115"/>
      <c r="VB107" s="115"/>
      <c r="VC107" s="115"/>
      <c r="VD107" s="115"/>
      <c r="VE107" s="115"/>
      <c r="VF107" s="115"/>
      <c r="VG107" s="115"/>
      <c r="VH107" s="115"/>
      <c r="VI107" s="115"/>
      <c r="VJ107" s="115"/>
      <c r="VK107" s="115"/>
      <c r="VL107" s="115"/>
      <c r="VM107" s="115"/>
      <c r="VN107" s="115"/>
      <c r="VO107" s="115"/>
      <c r="VP107" s="115"/>
      <c r="VQ107" s="115"/>
      <c r="VR107" s="115"/>
      <c r="VS107" s="115"/>
      <c r="VT107" s="115"/>
      <c r="VU107" s="115"/>
      <c r="VV107" s="115"/>
      <c r="VW107" s="115"/>
      <c r="VX107" s="115"/>
      <c r="VY107" s="115"/>
      <c r="VZ107" s="115"/>
      <c r="WA107" s="115"/>
      <c r="WB107" s="115"/>
      <c r="WC107" s="115"/>
      <c r="WD107" s="115"/>
      <c r="WE107" s="115"/>
      <c r="WF107" s="115"/>
      <c r="WG107" s="115"/>
      <c r="WH107" s="115"/>
      <c r="WI107" s="115"/>
      <c r="WJ107" s="115"/>
      <c r="WK107" s="115"/>
      <c r="WL107" s="115"/>
      <c r="WM107" s="115"/>
      <c r="WN107" s="115"/>
      <c r="WO107" s="115"/>
      <c r="WP107" s="115"/>
      <c r="WQ107" s="115"/>
      <c r="WR107" s="115"/>
      <c r="WS107" s="115"/>
      <c r="WT107" s="115"/>
      <c r="WU107" s="115"/>
      <c r="WV107" s="115"/>
      <c r="WW107" s="115"/>
      <c r="WX107" s="115"/>
      <c r="WY107" s="115"/>
      <c r="WZ107" s="115"/>
      <c r="XA107" s="115"/>
      <c r="XB107" s="115"/>
      <c r="XC107" s="115"/>
      <c r="XD107" s="115"/>
      <c r="XE107" s="115"/>
      <c r="XF107" s="115"/>
      <c r="XG107" s="115"/>
      <c r="XH107" s="115"/>
      <c r="XI107" s="115"/>
      <c r="XJ107" s="115"/>
      <c r="XK107" s="115"/>
      <c r="XL107" s="115"/>
      <c r="XM107" s="115"/>
      <c r="XN107" s="115"/>
      <c r="XO107" s="115"/>
      <c r="XP107" s="115"/>
      <c r="XQ107" s="115"/>
      <c r="XR107" s="115"/>
      <c r="XS107" s="115"/>
      <c r="XT107" s="115"/>
      <c r="XU107" s="115"/>
      <c r="XV107" s="115"/>
      <c r="XW107" s="115"/>
      <c r="XX107" s="115"/>
      <c r="XY107" s="115"/>
      <c r="XZ107" s="115"/>
      <c r="YA107" s="115"/>
      <c r="YB107" s="115"/>
      <c r="YC107" s="115"/>
      <c r="YD107" s="115"/>
      <c r="YE107" s="115"/>
      <c r="YF107" s="115"/>
      <c r="YG107" s="115"/>
      <c r="YH107" s="115"/>
      <c r="YI107" s="115"/>
      <c r="YJ107" s="115"/>
      <c r="YK107" s="115"/>
      <c r="YL107" s="115"/>
      <c r="YM107" s="115"/>
      <c r="YN107" s="115"/>
      <c r="YO107" s="115"/>
      <c r="YP107" s="115"/>
      <c r="YQ107" s="115"/>
      <c r="YX107" s="22">
        <v>299</v>
      </c>
      <c r="YY107" s="22">
        <f>VLOOKUP(B107,'SCAFFOLDING MATERIAL OVERALL'!B109:S291,18,FALSE)</f>
        <v>10.6</v>
      </c>
      <c r="YZ107" s="22">
        <f t="shared" si="1"/>
        <v>3169.4</v>
      </c>
    </row>
    <row r="108" spans="1:676" s="22" customFormat="1" x14ac:dyDescent="0.25">
      <c r="A108" s="17">
        <v>104</v>
      </c>
      <c r="B108" s="15">
        <v>5000000008</v>
      </c>
      <c r="C108" s="16" t="s">
        <v>116</v>
      </c>
      <c r="D108" s="44" t="s">
        <v>12</v>
      </c>
      <c r="OZ108" s="115"/>
      <c r="PA108" s="115"/>
      <c r="PB108" s="115"/>
      <c r="PC108" s="115"/>
      <c r="PD108" s="115"/>
      <c r="PE108" s="115"/>
      <c r="PF108" s="115"/>
      <c r="PG108" s="115"/>
      <c r="PH108" s="115"/>
      <c r="PI108" s="115"/>
      <c r="PJ108" s="115"/>
      <c r="PK108" s="115"/>
      <c r="PL108" s="115"/>
      <c r="PM108" s="115"/>
      <c r="PN108" s="115"/>
      <c r="PO108" s="115"/>
      <c r="PP108" s="115"/>
      <c r="PQ108" s="115"/>
      <c r="PR108" s="115"/>
      <c r="PS108" s="115"/>
      <c r="PT108" s="115"/>
      <c r="PU108" s="115"/>
      <c r="PV108" s="115"/>
      <c r="PW108" s="115"/>
      <c r="PX108" s="115"/>
      <c r="PY108" s="115"/>
      <c r="PZ108" s="115"/>
      <c r="QA108" s="115"/>
      <c r="QB108" s="115"/>
      <c r="QC108" s="115"/>
      <c r="QD108" s="115"/>
      <c r="QE108" s="115"/>
      <c r="QF108" s="115"/>
      <c r="QG108" s="115"/>
      <c r="QH108" s="115"/>
      <c r="QI108" s="115"/>
      <c r="QJ108" s="115"/>
      <c r="QK108" s="115"/>
      <c r="QL108" s="115"/>
      <c r="QM108" s="115"/>
      <c r="QN108" s="115"/>
      <c r="QO108" s="115"/>
      <c r="QP108" s="115"/>
      <c r="QQ108" s="115"/>
      <c r="QR108" s="115"/>
      <c r="QS108" s="115"/>
      <c r="QT108" s="115"/>
      <c r="QU108" s="115"/>
      <c r="QV108" s="115"/>
      <c r="QW108" s="115"/>
      <c r="QX108" s="115"/>
      <c r="QY108" s="115"/>
      <c r="QZ108" s="115"/>
      <c r="RA108" s="115"/>
      <c r="RB108" s="115"/>
      <c r="RC108" s="115"/>
      <c r="RD108" s="115"/>
      <c r="RE108" s="115"/>
      <c r="RF108" s="115"/>
      <c r="RG108" s="115"/>
      <c r="RH108" s="115"/>
      <c r="RI108" s="115"/>
      <c r="RJ108" s="115"/>
      <c r="RK108" s="115"/>
      <c r="RL108" s="115"/>
      <c r="RM108" s="115"/>
      <c r="RN108" s="115"/>
      <c r="RO108" s="115"/>
      <c r="RP108" s="115"/>
      <c r="RQ108" s="115"/>
      <c r="RR108" s="115"/>
      <c r="RS108" s="115"/>
      <c r="RT108" s="115"/>
      <c r="RU108" s="115"/>
      <c r="RV108" s="115"/>
      <c r="RW108" s="115"/>
      <c r="RX108" s="115"/>
      <c r="RY108" s="115"/>
      <c r="RZ108" s="115"/>
      <c r="SA108" s="115"/>
      <c r="SB108" s="115"/>
      <c r="SC108" s="115"/>
      <c r="SD108" s="115"/>
      <c r="SE108" s="115"/>
      <c r="SF108" s="115"/>
      <c r="SG108" s="115"/>
      <c r="SH108" s="115"/>
      <c r="SI108" s="115"/>
      <c r="SJ108" s="115"/>
      <c r="SK108" s="115"/>
      <c r="SL108" s="115"/>
      <c r="SM108" s="115"/>
      <c r="SN108" s="115"/>
      <c r="SO108" s="115"/>
      <c r="SP108" s="115"/>
      <c r="SQ108" s="115"/>
      <c r="SR108" s="115"/>
      <c r="SS108" s="115"/>
      <c r="ST108" s="115"/>
      <c r="SU108" s="115"/>
      <c r="SV108" s="115"/>
      <c r="SW108" s="115"/>
      <c r="SX108" s="115"/>
      <c r="SY108" s="115"/>
      <c r="SZ108" s="115"/>
      <c r="TA108" s="115"/>
      <c r="TB108" s="115"/>
      <c r="TC108" s="115"/>
      <c r="TD108" s="115"/>
      <c r="TE108" s="115"/>
      <c r="TF108" s="115"/>
      <c r="TG108" s="115"/>
      <c r="TH108" s="115"/>
      <c r="TI108" s="115"/>
      <c r="TJ108" s="115"/>
      <c r="TK108" s="115"/>
      <c r="TL108" s="115"/>
      <c r="TM108" s="115"/>
      <c r="TN108" s="115"/>
      <c r="TO108" s="115"/>
      <c r="TP108" s="115"/>
      <c r="TQ108" s="115"/>
      <c r="TR108" s="115"/>
      <c r="TS108" s="115"/>
      <c r="TT108" s="115"/>
      <c r="TU108" s="115"/>
      <c r="TV108" s="115"/>
      <c r="TW108" s="115"/>
      <c r="TX108" s="115"/>
      <c r="TY108" s="115"/>
      <c r="TZ108" s="115"/>
      <c r="UA108" s="115"/>
      <c r="UB108" s="115"/>
      <c r="UC108" s="115"/>
      <c r="UD108" s="115"/>
      <c r="UE108" s="115"/>
      <c r="UF108" s="115"/>
      <c r="UG108" s="115"/>
      <c r="UH108" s="115"/>
      <c r="UI108" s="115"/>
      <c r="UJ108" s="115"/>
      <c r="UK108" s="115"/>
      <c r="UL108" s="115"/>
      <c r="UM108" s="115"/>
      <c r="UN108" s="115"/>
      <c r="UO108" s="115"/>
      <c r="UP108" s="115"/>
      <c r="UQ108" s="115"/>
      <c r="UR108" s="115"/>
      <c r="US108" s="115"/>
      <c r="UT108" s="115"/>
      <c r="UU108" s="115"/>
      <c r="UV108" s="115"/>
      <c r="UW108" s="115"/>
      <c r="UX108" s="115"/>
      <c r="UY108" s="115"/>
      <c r="UZ108" s="115"/>
      <c r="VA108" s="115"/>
      <c r="VB108" s="115"/>
      <c r="VC108" s="115"/>
      <c r="VD108" s="115"/>
      <c r="VE108" s="115"/>
      <c r="VF108" s="115"/>
      <c r="VG108" s="115"/>
      <c r="VH108" s="115"/>
      <c r="VI108" s="115"/>
      <c r="VJ108" s="115"/>
      <c r="VK108" s="115"/>
      <c r="VL108" s="115"/>
      <c r="VM108" s="115"/>
      <c r="VN108" s="115"/>
      <c r="VO108" s="115"/>
      <c r="VP108" s="115"/>
      <c r="VQ108" s="115"/>
      <c r="VR108" s="115"/>
      <c r="VS108" s="115"/>
      <c r="VT108" s="115"/>
      <c r="VU108" s="115"/>
      <c r="VV108" s="115"/>
      <c r="VW108" s="115"/>
      <c r="VX108" s="115"/>
      <c r="VY108" s="115"/>
      <c r="VZ108" s="115"/>
      <c r="WA108" s="115"/>
      <c r="WB108" s="115"/>
      <c r="WC108" s="115"/>
      <c r="WD108" s="115"/>
      <c r="WE108" s="115"/>
      <c r="WF108" s="115"/>
      <c r="WG108" s="115"/>
      <c r="WH108" s="115"/>
      <c r="WI108" s="115"/>
      <c r="WJ108" s="115"/>
      <c r="WK108" s="115"/>
      <c r="WL108" s="115"/>
      <c r="WM108" s="115"/>
      <c r="WN108" s="115"/>
      <c r="WO108" s="115"/>
      <c r="WP108" s="115"/>
      <c r="WQ108" s="115"/>
      <c r="WR108" s="115"/>
      <c r="WS108" s="115"/>
      <c r="WT108" s="115"/>
      <c r="WU108" s="115"/>
      <c r="WV108" s="115"/>
      <c r="WW108" s="115"/>
      <c r="WX108" s="115"/>
      <c r="WY108" s="115"/>
      <c r="WZ108" s="115"/>
      <c r="XA108" s="115"/>
      <c r="XB108" s="115"/>
      <c r="XC108" s="115"/>
      <c r="XD108" s="115"/>
      <c r="XE108" s="115"/>
      <c r="XF108" s="115"/>
      <c r="XG108" s="115"/>
      <c r="XH108" s="115"/>
      <c r="XI108" s="115"/>
      <c r="XJ108" s="115"/>
      <c r="XK108" s="115"/>
      <c r="XL108" s="115"/>
      <c r="XM108" s="115"/>
      <c r="XN108" s="115"/>
      <c r="XO108" s="115"/>
      <c r="XP108" s="115"/>
      <c r="XQ108" s="115"/>
      <c r="XR108" s="115"/>
      <c r="XS108" s="115"/>
      <c r="XT108" s="115"/>
      <c r="XU108" s="115"/>
      <c r="XV108" s="115"/>
      <c r="XW108" s="115"/>
      <c r="XX108" s="115"/>
      <c r="XY108" s="115"/>
      <c r="XZ108" s="115"/>
      <c r="YA108" s="115"/>
      <c r="YB108" s="115"/>
      <c r="YC108" s="115"/>
      <c r="YD108" s="115"/>
      <c r="YE108" s="115"/>
      <c r="YF108" s="115"/>
      <c r="YG108" s="115"/>
      <c r="YH108" s="115"/>
      <c r="YI108" s="115"/>
      <c r="YJ108" s="115"/>
      <c r="YK108" s="115"/>
      <c r="YL108" s="115"/>
      <c r="YM108" s="115"/>
      <c r="YN108" s="115"/>
      <c r="YO108" s="115"/>
      <c r="YP108" s="115"/>
      <c r="YQ108" s="115"/>
      <c r="YX108" s="22">
        <v>0</v>
      </c>
      <c r="YY108" s="22">
        <f>VLOOKUP(B108,'SCAFFOLDING MATERIAL OVERALL'!B110:S292,18,FALSE)</f>
        <v>20.7</v>
      </c>
      <c r="YZ108" s="22">
        <f t="shared" si="1"/>
        <v>0</v>
      </c>
    </row>
    <row r="109" spans="1:676" s="22" customFormat="1" x14ac:dyDescent="0.25">
      <c r="A109" s="14">
        <v>105</v>
      </c>
      <c r="B109" s="15">
        <v>3000000849</v>
      </c>
      <c r="C109" s="16" t="s">
        <v>117</v>
      </c>
      <c r="D109" s="44" t="s">
        <v>12</v>
      </c>
      <c r="I109" s="22">
        <v>312</v>
      </c>
      <c r="J109" s="22">
        <v>55</v>
      </c>
      <c r="L109" s="22">
        <v>2800</v>
      </c>
      <c r="P109" s="22">
        <v>12200</v>
      </c>
      <c r="S109" s="22">
        <v>5000</v>
      </c>
      <c r="W109" s="22">
        <v>190</v>
      </c>
      <c r="Y109" s="22">
        <v>1072</v>
      </c>
      <c r="Z109" s="22">
        <v>1000</v>
      </c>
      <c r="AE109" s="22">
        <v>156</v>
      </c>
      <c r="AH109" s="22">
        <v>108</v>
      </c>
      <c r="AK109" s="22">
        <v>168</v>
      </c>
      <c r="AL109" s="22">
        <v>5768</v>
      </c>
      <c r="AO109" s="22">
        <v>154</v>
      </c>
      <c r="AP109" s="22">
        <v>1520</v>
      </c>
      <c r="AS109" s="22">
        <v>144</v>
      </c>
      <c r="AU109" s="22">
        <v>950</v>
      </c>
      <c r="AW109" s="22">
        <v>84</v>
      </c>
      <c r="AX109" s="22">
        <v>10000</v>
      </c>
      <c r="AY109" s="22">
        <v>48</v>
      </c>
      <c r="AZ109" s="22">
        <v>24</v>
      </c>
      <c r="BF109" s="22">
        <v>2000</v>
      </c>
      <c r="BH109" s="22">
        <v>26150</v>
      </c>
      <c r="BI109" s="22">
        <v>27625</v>
      </c>
      <c r="BJ109" s="22">
        <v>3004</v>
      </c>
      <c r="BK109" s="22">
        <v>26150</v>
      </c>
      <c r="BN109" s="22">
        <v>132</v>
      </c>
      <c r="BR109" s="22">
        <v>144</v>
      </c>
      <c r="BS109" s="22">
        <v>6048</v>
      </c>
      <c r="BT109" s="22">
        <v>120</v>
      </c>
      <c r="BV109" s="22">
        <v>108</v>
      </c>
      <c r="BW109" s="22">
        <v>98</v>
      </c>
      <c r="BX109" s="22">
        <v>72</v>
      </c>
      <c r="BY109" s="22">
        <v>108</v>
      </c>
      <c r="CA109" s="22">
        <v>12</v>
      </c>
      <c r="CC109" s="22">
        <v>44</v>
      </c>
      <c r="CD109" s="22">
        <v>120</v>
      </c>
      <c r="CG109" s="22">
        <v>120</v>
      </c>
      <c r="CK109" s="22">
        <v>96</v>
      </c>
      <c r="CN109" s="22">
        <v>24</v>
      </c>
      <c r="CQ109" s="22">
        <v>48</v>
      </c>
      <c r="CR109" s="22">
        <v>15520</v>
      </c>
      <c r="CS109" s="22">
        <v>24</v>
      </c>
      <c r="CT109" s="22">
        <v>48</v>
      </c>
      <c r="CZ109" s="22">
        <v>4072</v>
      </c>
      <c r="DA109" s="22">
        <v>144</v>
      </c>
      <c r="DB109" s="22">
        <v>132</v>
      </c>
      <c r="DE109" s="22">
        <v>30</v>
      </c>
      <c r="DF109" s="22">
        <v>192</v>
      </c>
      <c r="DG109" s="22">
        <v>3846</v>
      </c>
      <c r="DH109" s="22">
        <v>10000</v>
      </c>
      <c r="DJ109" s="22">
        <v>108</v>
      </c>
      <c r="DM109" s="22">
        <v>144</v>
      </c>
      <c r="DN109" s="22">
        <v>168</v>
      </c>
      <c r="DP109" s="22">
        <v>24</v>
      </c>
      <c r="DS109" s="22">
        <v>216</v>
      </c>
      <c r="DT109" s="22">
        <v>48</v>
      </c>
      <c r="DV109" s="22">
        <v>68</v>
      </c>
      <c r="DX109" s="22">
        <v>192</v>
      </c>
      <c r="EE109" s="22">
        <v>216</v>
      </c>
      <c r="EF109" s="22">
        <v>15475</v>
      </c>
      <c r="EG109" s="22">
        <v>192</v>
      </c>
      <c r="EH109" s="22">
        <v>2124</v>
      </c>
      <c r="EI109" s="22">
        <v>48</v>
      </c>
      <c r="EK109" s="22">
        <v>192</v>
      </c>
      <c r="EL109" s="22">
        <v>19556</v>
      </c>
      <c r="EM109" s="22">
        <v>140</v>
      </c>
      <c r="EN109" s="22">
        <v>60</v>
      </c>
      <c r="ET109" s="22">
        <v>120</v>
      </c>
      <c r="EU109" s="22">
        <v>9100</v>
      </c>
      <c r="EW109" s="22">
        <v>3750</v>
      </c>
      <c r="EX109" s="22">
        <v>1644</v>
      </c>
      <c r="EY109" s="22">
        <v>2016</v>
      </c>
      <c r="EZ109" s="22">
        <v>12548</v>
      </c>
      <c r="FA109" s="22">
        <v>84</v>
      </c>
      <c r="FB109" s="22">
        <v>24</v>
      </c>
      <c r="FC109" s="22">
        <v>5072</v>
      </c>
      <c r="FD109" s="22">
        <v>7572</v>
      </c>
      <c r="FE109" s="22">
        <v>144</v>
      </c>
      <c r="FF109" s="22">
        <v>12</v>
      </c>
      <c r="FG109" s="22">
        <v>24</v>
      </c>
      <c r="FH109" s="22">
        <v>48</v>
      </c>
      <c r="FJ109" s="22">
        <v>24</v>
      </c>
      <c r="FK109" s="22">
        <v>108</v>
      </c>
      <c r="FL109" s="22">
        <v>24</v>
      </c>
      <c r="FM109" s="22">
        <v>36</v>
      </c>
      <c r="FP109" s="22">
        <v>40</v>
      </c>
      <c r="FR109" s="22">
        <v>1346</v>
      </c>
      <c r="FS109" s="22">
        <v>72</v>
      </c>
      <c r="FU109" s="22">
        <v>16000</v>
      </c>
      <c r="FY109" s="22">
        <v>36</v>
      </c>
      <c r="GA109" s="22">
        <v>96</v>
      </c>
      <c r="GB109" s="22">
        <v>84</v>
      </c>
      <c r="GC109" s="22">
        <v>60</v>
      </c>
      <c r="GD109" s="22">
        <v>18524</v>
      </c>
      <c r="GE109" s="22">
        <v>128</v>
      </c>
      <c r="GH109" s="22">
        <v>132</v>
      </c>
      <c r="GI109" s="22">
        <v>216</v>
      </c>
      <c r="GJ109" s="22">
        <v>136</v>
      </c>
      <c r="GL109" s="22">
        <v>136</v>
      </c>
      <c r="GM109" s="22">
        <v>84</v>
      </c>
      <c r="GN109" s="22">
        <v>13536</v>
      </c>
      <c r="GO109" s="22">
        <v>108</v>
      </c>
      <c r="GP109" s="22">
        <v>180</v>
      </c>
      <c r="GQ109" s="22">
        <v>1200</v>
      </c>
      <c r="GR109" s="22">
        <v>8138</v>
      </c>
      <c r="GS109" s="22">
        <v>12</v>
      </c>
      <c r="GT109" s="22">
        <v>96</v>
      </c>
      <c r="GU109" s="22">
        <v>15000</v>
      </c>
      <c r="GZ109" s="22">
        <v>2616</v>
      </c>
      <c r="HA109" s="22">
        <v>5616</v>
      </c>
      <c r="HE109" s="22">
        <v>96</v>
      </c>
      <c r="HF109" s="22">
        <v>36</v>
      </c>
      <c r="HI109" s="22">
        <v>216</v>
      </c>
      <c r="HJ109" s="22">
        <v>168</v>
      </c>
      <c r="HK109" s="22">
        <v>144</v>
      </c>
      <c r="HL109" s="22">
        <v>192</v>
      </c>
      <c r="HM109" s="22">
        <v>16800</v>
      </c>
      <c r="HN109" s="22">
        <v>7296</v>
      </c>
      <c r="HO109" s="22">
        <v>144</v>
      </c>
      <c r="HP109" s="22">
        <v>24000</v>
      </c>
      <c r="HV109" s="22">
        <v>144</v>
      </c>
      <c r="HW109" s="22">
        <v>27500</v>
      </c>
      <c r="HX109" s="22">
        <v>24</v>
      </c>
      <c r="HY109" s="22">
        <v>48</v>
      </c>
      <c r="IB109" s="22">
        <v>72</v>
      </c>
      <c r="ID109" s="22">
        <v>144</v>
      </c>
      <c r="IE109" s="22">
        <v>48</v>
      </c>
      <c r="IF109" s="22">
        <v>216</v>
      </c>
      <c r="IH109" s="22">
        <v>24</v>
      </c>
      <c r="II109" s="22">
        <v>72</v>
      </c>
      <c r="IK109" s="22">
        <v>24</v>
      </c>
      <c r="IL109" s="22">
        <v>72</v>
      </c>
      <c r="IN109" s="22">
        <v>120</v>
      </c>
      <c r="IO109" s="22">
        <v>96</v>
      </c>
      <c r="IR109" s="22">
        <v>132</v>
      </c>
      <c r="IS109" s="22">
        <v>12</v>
      </c>
      <c r="IV109" s="22">
        <v>96</v>
      </c>
      <c r="IX109" s="22">
        <v>144</v>
      </c>
      <c r="IY109" s="22">
        <v>48</v>
      </c>
      <c r="IZ109" s="22">
        <v>48</v>
      </c>
      <c r="JC109" s="22">
        <v>48</v>
      </c>
      <c r="JG109" s="22">
        <v>180</v>
      </c>
      <c r="JH109" s="22">
        <v>72</v>
      </c>
      <c r="JI109" s="22">
        <v>96</v>
      </c>
      <c r="JK109" s="22">
        <v>168</v>
      </c>
      <c r="JL109" s="22">
        <v>72</v>
      </c>
      <c r="JM109" s="22">
        <v>108</v>
      </c>
      <c r="JN109" s="22">
        <v>48</v>
      </c>
      <c r="JP109" s="22">
        <v>108</v>
      </c>
      <c r="JR109" s="22">
        <v>72</v>
      </c>
      <c r="JT109" s="22">
        <v>72</v>
      </c>
      <c r="JU109" s="22">
        <v>72</v>
      </c>
      <c r="JV109" s="22">
        <v>12</v>
      </c>
      <c r="JW109" s="22">
        <v>84</v>
      </c>
      <c r="JX109" s="22">
        <v>36</v>
      </c>
      <c r="JY109" s="22">
        <v>48</v>
      </c>
      <c r="KA109" s="22">
        <v>48</v>
      </c>
      <c r="KB109" s="22">
        <v>192</v>
      </c>
      <c r="KD109" s="22">
        <v>84</v>
      </c>
      <c r="KE109" s="22">
        <v>48</v>
      </c>
      <c r="KG109" s="22">
        <v>24</v>
      </c>
      <c r="KH109" s="22">
        <v>144</v>
      </c>
      <c r="KI109" s="22">
        <v>84</v>
      </c>
      <c r="KJ109" s="22">
        <v>144</v>
      </c>
      <c r="KK109" s="22">
        <v>24</v>
      </c>
      <c r="KL109" s="22">
        <v>156</v>
      </c>
      <c r="KM109" s="22">
        <v>48</v>
      </c>
      <c r="KN109" s="22">
        <v>132</v>
      </c>
      <c r="KO109" s="22">
        <v>96</v>
      </c>
      <c r="KP109" s="22">
        <v>48</v>
      </c>
      <c r="KQ109" s="22">
        <v>36</v>
      </c>
      <c r="KS109" s="22">
        <v>144</v>
      </c>
      <c r="KU109" s="22">
        <v>96</v>
      </c>
      <c r="KV109" s="22">
        <v>84</v>
      </c>
      <c r="KW109" s="22">
        <v>48</v>
      </c>
      <c r="KX109" s="22">
        <v>48</v>
      </c>
      <c r="KZ109" s="22">
        <v>84</v>
      </c>
      <c r="LA109" s="22">
        <v>108</v>
      </c>
      <c r="LB109" s="22">
        <v>86</v>
      </c>
      <c r="LC109" s="22">
        <v>60</v>
      </c>
      <c r="LD109" s="22">
        <v>60</v>
      </c>
      <c r="LE109" s="22">
        <v>60</v>
      </c>
      <c r="LF109" s="22">
        <v>2024</v>
      </c>
      <c r="LG109" s="22">
        <v>132</v>
      </c>
      <c r="LH109" s="22">
        <v>1655</v>
      </c>
      <c r="LI109" s="22">
        <v>24</v>
      </c>
      <c r="LJ109" s="22">
        <v>72</v>
      </c>
      <c r="LK109" s="22">
        <v>75</v>
      </c>
      <c r="LL109" s="22">
        <v>160</v>
      </c>
      <c r="LN109" s="22">
        <v>108</v>
      </c>
      <c r="LO109" s="22">
        <v>48</v>
      </c>
      <c r="LQ109" s="22">
        <v>144</v>
      </c>
      <c r="LS109" s="22">
        <v>24</v>
      </c>
      <c r="LU109" s="22">
        <v>124</v>
      </c>
      <c r="LW109" s="22">
        <v>24</v>
      </c>
      <c r="LX109" s="22">
        <v>48</v>
      </c>
      <c r="LY109" s="22">
        <v>144</v>
      </c>
      <c r="LZ109" s="22">
        <v>144</v>
      </c>
      <c r="MA109" s="22">
        <v>9074</v>
      </c>
      <c r="MD109" s="22">
        <v>24</v>
      </c>
      <c r="ME109" s="22">
        <v>72</v>
      </c>
      <c r="MF109" s="22">
        <v>132</v>
      </c>
      <c r="MG109" s="22">
        <v>144</v>
      </c>
      <c r="MH109" s="22">
        <v>24</v>
      </c>
      <c r="MI109" s="22">
        <v>60</v>
      </c>
      <c r="MK109" s="22">
        <v>20</v>
      </c>
      <c r="MN109" s="22">
        <v>48</v>
      </c>
      <c r="MO109" s="22">
        <v>100</v>
      </c>
      <c r="MP109" s="22">
        <v>36</v>
      </c>
      <c r="MQ109" s="22">
        <v>144</v>
      </c>
      <c r="MR109" s="22">
        <v>120</v>
      </c>
      <c r="MS109" s="22">
        <v>156</v>
      </c>
      <c r="MT109" s="22">
        <v>24</v>
      </c>
      <c r="MV109" s="22">
        <v>108</v>
      </c>
      <c r="MW109" s="22">
        <v>100</v>
      </c>
      <c r="MY109" s="22">
        <v>92</v>
      </c>
      <c r="MZ109" s="22">
        <v>28</v>
      </c>
      <c r="NA109" s="22">
        <v>110</v>
      </c>
      <c r="NB109" s="22">
        <v>64</v>
      </c>
      <c r="NC109" s="22">
        <v>5688</v>
      </c>
      <c r="ND109" s="22">
        <v>28</v>
      </c>
      <c r="NE109" s="22">
        <v>1770</v>
      </c>
      <c r="NI109" s="22">
        <v>1410</v>
      </c>
      <c r="NJ109" s="22">
        <v>936</v>
      </c>
      <c r="NK109" s="22">
        <v>7876</v>
      </c>
      <c r="NL109" s="22">
        <v>96</v>
      </c>
      <c r="NM109" s="22">
        <v>120</v>
      </c>
      <c r="NN109" s="22">
        <v>5464</v>
      </c>
      <c r="NO109" s="22">
        <v>120</v>
      </c>
      <c r="NQ109" s="22">
        <v>24</v>
      </c>
      <c r="NR109" s="22">
        <v>96</v>
      </c>
      <c r="NU109" s="22">
        <v>910</v>
      </c>
      <c r="NV109" s="22">
        <v>120</v>
      </c>
      <c r="NW109" s="22">
        <v>120</v>
      </c>
      <c r="NX109" s="22">
        <v>6750</v>
      </c>
      <c r="NY109" s="22">
        <v>84</v>
      </c>
      <c r="NZ109" s="22">
        <v>120</v>
      </c>
      <c r="OA109" s="22">
        <v>10448</v>
      </c>
      <c r="OB109" s="22">
        <v>120</v>
      </c>
      <c r="OC109" s="22">
        <v>2850</v>
      </c>
      <c r="OE109" s="22">
        <v>1444</v>
      </c>
      <c r="OG109" s="22">
        <v>1420</v>
      </c>
      <c r="OH109" s="22">
        <v>108</v>
      </c>
      <c r="OJ109" s="22">
        <v>144</v>
      </c>
      <c r="OK109" s="22">
        <v>12</v>
      </c>
      <c r="OM109" s="22">
        <v>72</v>
      </c>
      <c r="ON109" s="22">
        <v>36</v>
      </c>
      <c r="OX109" s="22">
        <v>168</v>
      </c>
      <c r="OY109" s="22">
        <v>2732</v>
      </c>
      <c r="OZ109" s="115"/>
      <c r="PA109" s="115"/>
      <c r="PB109" s="115"/>
      <c r="PC109" s="115">
        <v>9000</v>
      </c>
      <c r="PD109" s="115"/>
      <c r="PE109" s="115"/>
      <c r="PF109" s="115"/>
      <c r="PG109" s="115"/>
      <c r="PH109" s="115"/>
      <c r="PI109" s="115"/>
      <c r="PJ109" s="115"/>
      <c r="PK109" s="115"/>
      <c r="PL109" s="115"/>
      <c r="PM109" s="115"/>
      <c r="PN109" s="115"/>
      <c r="PO109" s="115"/>
      <c r="PP109" s="115"/>
      <c r="PQ109" s="115">
        <v>10000</v>
      </c>
      <c r="PR109" s="115"/>
      <c r="PS109" s="115">
        <v>2800</v>
      </c>
      <c r="PT109" s="115"/>
      <c r="PU109" s="115"/>
      <c r="PV109" s="115"/>
      <c r="PW109" s="115">
        <v>5750</v>
      </c>
      <c r="PX109" s="115"/>
      <c r="PY109" s="115"/>
      <c r="PZ109" s="115"/>
      <c r="QA109" s="115"/>
      <c r="QB109" s="115"/>
      <c r="QC109" s="115"/>
      <c r="QD109" s="115"/>
      <c r="QE109" s="115"/>
      <c r="QF109" s="115"/>
      <c r="QG109" s="115"/>
      <c r="QH109" s="115"/>
      <c r="QI109" s="115"/>
      <c r="QJ109" s="115"/>
      <c r="QK109" s="115"/>
      <c r="QL109" s="115"/>
      <c r="QM109" s="115"/>
      <c r="QN109" s="115">
        <v>20000</v>
      </c>
      <c r="QO109" s="115"/>
      <c r="QP109" s="115"/>
      <c r="QQ109" s="115"/>
      <c r="QR109" s="115"/>
      <c r="QS109" s="115"/>
      <c r="QT109" s="115"/>
      <c r="QU109" s="115"/>
      <c r="QV109" s="115"/>
      <c r="QW109" s="115"/>
      <c r="QX109" s="115"/>
      <c r="QY109" s="115"/>
      <c r="QZ109" s="115"/>
      <c r="RA109" s="115">
        <v>13500</v>
      </c>
      <c r="RB109" s="115"/>
      <c r="RC109" s="115">
        <v>2700</v>
      </c>
      <c r="RD109" s="115">
        <v>6750</v>
      </c>
      <c r="RE109" s="115"/>
      <c r="RF109" s="115"/>
      <c r="RG109" s="115">
        <v>5400</v>
      </c>
      <c r="RH109" s="115"/>
      <c r="RI109" s="115"/>
      <c r="RJ109" s="115"/>
      <c r="RK109" s="115"/>
      <c r="RL109" s="115">
        <v>10000</v>
      </c>
      <c r="RM109" s="115"/>
      <c r="RN109" s="115"/>
      <c r="RO109" s="115"/>
      <c r="RP109" s="115"/>
      <c r="RQ109" s="115"/>
      <c r="RR109" s="115"/>
      <c r="RS109" s="115">
        <v>9225</v>
      </c>
      <c r="RT109" s="115"/>
      <c r="RU109" s="115">
        <v>1275</v>
      </c>
      <c r="RV109" s="115"/>
      <c r="RW109" s="115">
        <v>18200</v>
      </c>
      <c r="RX109" s="115">
        <v>12300</v>
      </c>
      <c r="RY109" s="115">
        <v>10125</v>
      </c>
      <c r="RZ109" s="115">
        <v>8850</v>
      </c>
      <c r="SA109" s="115">
        <v>11950</v>
      </c>
      <c r="SB109" s="115">
        <v>20850</v>
      </c>
      <c r="SC109" s="115"/>
      <c r="SD109" s="115"/>
      <c r="SE109" s="115"/>
      <c r="SF109" s="115"/>
      <c r="SG109" s="115"/>
      <c r="SH109" s="115">
        <v>7500</v>
      </c>
      <c r="SI109" s="115"/>
      <c r="SJ109" s="115">
        <v>12500</v>
      </c>
      <c r="SK109" s="115"/>
      <c r="SL109" s="115"/>
      <c r="SM109" s="115"/>
      <c r="SN109" s="115"/>
      <c r="SO109" s="115"/>
      <c r="SP109" s="115"/>
      <c r="SQ109" s="115"/>
      <c r="SR109" s="115">
        <v>22050</v>
      </c>
      <c r="SS109" s="115">
        <v>2950</v>
      </c>
      <c r="ST109" s="115"/>
      <c r="SU109" s="115"/>
      <c r="SV109" s="115">
        <v>22050</v>
      </c>
      <c r="SW109" s="115"/>
      <c r="SX109" s="115">
        <v>2950</v>
      </c>
      <c r="SY109" s="115"/>
      <c r="SZ109" s="115"/>
      <c r="TA109" s="115">
        <v>8200</v>
      </c>
      <c r="TB109" s="115"/>
      <c r="TC109" s="115">
        <v>17550</v>
      </c>
      <c r="TD109" s="115">
        <v>21600</v>
      </c>
      <c r="TE109" s="115"/>
      <c r="TF109" s="115"/>
      <c r="TG109" s="115"/>
      <c r="TH109" s="115"/>
      <c r="TI109" s="115">
        <v>12250</v>
      </c>
      <c r="TJ109" s="115"/>
      <c r="TK109" s="115">
        <v>14800</v>
      </c>
      <c r="TL109" s="115">
        <v>12150</v>
      </c>
      <c r="TM109" s="115">
        <v>11450</v>
      </c>
      <c r="TN109" s="115">
        <v>2700</v>
      </c>
      <c r="TO109" s="115"/>
      <c r="TP109" s="115">
        <v>3000</v>
      </c>
      <c r="TQ109" s="115"/>
      <c r="TR109" s="115">
        <v>5400</v>
      </c>
      <c r="TS109" s="115"/>
      <c r="TT109" s="115">
        <v>13500</v>
      </c>
      <c r="TU109" s="115">
        <v>9450</v>
      </c>
      <c r="TV109" s="115"/>
      <c r="TW109" s="115"/>
      <c r="TX109" s="115">
        <v>16200</v>
      </c>
      <c r="TY109" s="115">
        <v>12850</v>
      </c>
      <c r="TZ109" s="115">
        <v>12150</v>
      </c>
      <c r="UA109" s="115">
        <v>4050</v>
      </c>
      <c r="UB109" s="115"/>
      <c r="UC109" s="115"/>
      <c r="UD109" s="115"/>
      <c r="UE109" s="115"/>
      <c r="UF109" s="115">
        <v>5400</v>
      </c>
      <c r="UG109" s="115">
        <v>27000</v>
      </c>
      <c r="UH109" s="115"/>
      <c r="UI109" s="115">
        <v>2500</v>
      </c>
      <c r="UJ109" s="115">
        <v>1350</v>
      </c>
      <c r="UK109" s="115">
        <v>4050</v>
      </c>
      <c r="UL109" s="115"/>
      <c r="UM109" s="115"/>
      <c r="UN109" s="115"/>
      <c r="UO109" s="115"/>
      <c r="UP109" s="115"/>
      <c r="UQ109" s="115"/>
      <c r="UR109" s="115"/>
      <c r="US109" s="115">
        <v>1350</v>
      </c>
      <c r="UT109" s="115">
        <v>2700</v>
      </c>
      <c r="UU109" s="115"/>
      <c r="UV109" s="115">
        <v>27000</v>
      </c>
      <c r="UW109" s="115"/>
      <c r="UX109" s="115">
        <v>1500</v>
      </c>
      <c r="UY109" s="115"/>
      <c r="UZ109" s="115">
        <v>1400</v>
      </c>
      <c r="VA109" s="115"/>
      <c r="VB109" s="115"/>
      <c r="VC109" s="115"/>
      <c r="VD109" s="115"/>
      <c r="VE109" s="115"/>
      <c r="VF109" s="115"/>
      <c r="VG109" s="115">
        <v>2000</v>
      </c>
      <c r="VH109" s="115"/>
      <c r="VI109" s="115"/>
      <c r="VJ109" s="115"/>
      <c r="VK109" s="115"/>
      <c r="VL109" s="115"/>
      <c r="VM109" s="115"/>
      <c r="VN109" s="115"/>
      <c r="VO109" s="115"/>
      <c r="VP109" s="115">
        <v>2700</v>
      </c>
      <c r="VQ109" s="115"/>
      <c r="VR109" s="115"/>
      <c r="VS109" s="115"/>
      <c r="VT109" s="115"/>
      <c r="VU109" s="115"/>
      <c r="VV109" s="115"/>
      <c r="VW109" s="115"/>
      <c r="VX109" s="115"/>
      <c r="VY109" s="115">
        <v>6300</v>
      </c>
      <c r="VZ109" s="115"/>
      <c r="WA109" s="115"/>
      <c r="WB109" s="115"/>
      <c r="WC109" s="115">
        <v>14850</v>
      </c>
      <c r="WD109" s="115">
        <v>5400</v>
      </c>
      <c r="WE109" s="115"/>
      <c r="WF109" s="115">
        <v>22950</v>
      </c>
      <c r="WG109" s="115">
        <v>13500</v>
      </c>
      <c r="WH109" s="115"/>
      <c r="WI109" s="115"/>
      <c r="WJ109" s="115"/>
      <c r="WK109" s="115"/>
      <c r="WL109" s="115"/>
      <c r="WM109" s="115">
        <v>18900</v>
      </c>
      <c r="WN109" s="115"/>
      <c r="WO109" s="115"/>
      <c r="WP109" s="115"/>
      <c r="WQ109" s="115">
        <v>20475</v>
      </c>
      <c r="WR109" s="115">
        <v>9450</v>
      </c>
      <c r="WS109" s="115">
        <v>13500</v>
      </c>
      <c r="WT109" s="115"/>
      <c r="WU109" s="115">
        <v>4725</v>
      </c>
      <c r="WV109" s="115"/>
      <c r="WW109" s="115"/>
      <c r="WX109" s="115"/>
      <c r="WY109" s="115"/>
      <c r="WZ109" s="115"/>
      <c r="XA109" s="115"/>
      <c r="XB109" s="115"/>
      <c r="XC109" s="115"/>
      <c r="XD109" s="115"/>
      <c r="XE109" s="115"/>
      <c r="XF109" s="115"/>
      <c r="XG109" s="115"/>
      <c r="XH109" s="115"/>
      <c r="XI109" s="115"/>
      <c r="XJ109" s="115"/>
      <c r="XK109" s="115"/>
      <c r="XL109" s="115"/>
      <c r="XM109" s="115"/>
      <c r="XN109" s="115"/>
      <c r="XO109" s="115"/>
      <c r="XP109" s="115"/>
      <c r="XQ109" s="115"/>
      <c r="XR109" s="115"/>
      <c r="XS109" s="115"/>
      <c r="XT109" s="115"/>
      <c r="XU109" s="115"/>
      <c r="XV109" s="115"/>
      <c r="XW109" s="115"/>
      <c r="XX109" s="115"/>
      <c r="XY109" s="115"/>
      <c r="XZ109" s="115"/>
      <c r="YA109" s="115"/>
      <c r="YB109" s="115"/>
      <c r="YC109" s="115"/>
      <c r="YD109" s="115"/>
      <c r="YE109" s="115"/>
      <c r="YF109" s="115">
        <v>15775</v>
      </c>
      <c r="YG109" s="115"/>
      <c r="YH109" s="115"/>
      <c r="YI109" s="115"/>
      <c r="YJ109" s="115"/>
      <c r="YK109" s="115"/>
      <c r="YL109" s="115"/>
      <c r="YM109" s="115"/>
      <c r="YN109" s="115"/>
      <c r="YO109" s="115">
        <v>8100</v>
      </c>
      <c r="YP109" s="115">
        <v>5000</v>
      </c>
      <c r="YQ109" s="115">
        <v>10000</v>
      </c>
      <c r="YX109" s="22">
        <v>1155321</v>
      </c>
      <c r="YY109" s="22">
        <f>VLOOKUP(B109,'SCAFFOLDING MATERIAL OVERALL'!B111:S293,18,FALSE)</f>
        <v>0.95</v>
      </c>
      <c r="YZ109" s="22">
        <f t="shared" si="1"/>
        <v>1097554.95</v>
      </c>
    </row>
    <row r="110" spans="1:676" s="22" customFormat="1" x14ac:dyDescent="0.25">
      <c r="A110" s="14">
        <v>106</v>
      </c>
      <c r="B110" s="15">
        <v>1000006668</v>
      </c>
      <c r="C110" s="16" t="s">
        <v>118</v>
      </c>
      <c r="D110" s="44" t="s">
        <v>12</v>
      </c>
      <c r="NT110" s="22">
        <v>6</v>
      </c>
      <c r="OZ110" s="115"/>
      <c r="PA110" s="115"/>
      <c r="PB110" s="115"/>
      <c r="PC110" s="115"/>
      <c r="PD110" s="115"/>
      <c r="PE110" s="115"/>
      <c r="PF110" s="115"/>
      <c r="PG110" s="115"/>
      <c r="PH110" s="115"/>
      <c r="PI110" s="115"/>
      <c r="PJ110" s="115"/>
      <c r="PK110" s="115"/>
      <c r="PL110" s="115"/>
      <c r="PM110" s="115"/>
      <c r="PN110" s="115"/>
      <c r="PO110" s="115"/>
      <c r="PP110" s="115"/>
      <c r="PQ110" s="115"/>
      <c r="PR110" s="115"/>
      <c r="PS110" s="115"/>
      <c r="PT110" s="115"/>
      <c r="PU110" s="115"/>
      <c r="PV110" s="115"/>
      <c r="PW110" s="115"/>
      <c r="PX110" s="115"/>
      <c r="PY110" s="115"/>
      <c r="PZ110" s="115"/>
      <c r="QA110" s="115"/>
      <c r="QB110" s="115"/>
      <c r="QC110" s="115"/>
      <c r="QD110" s="115"/>
      <c r="QE110" s="115"/>
      <c r="QF110" s="115"/>
      <c r="QG110" s="115"/>
      <c r="QH110" s="115"/>
      <c r="QI110" s="115"/>
      <c r="QJ110" s="115"/>
      <c r="QK110" s="115"/>
      <c r="QL110" s="115"/>
      <c r="QM110" s="115"/>
      <c r="QN110" s="115"/>
      <c r="QO110" s="115"/>
      <c r="QP110" s="115"/>
      <c r="QQ110" s="115"/>
      <c r="QR110" s="115"/>
      <c r="QS110" s="115"/>
      <c r="QT110" s="115"/>
      <c r="QU110" s="115"/>
      <c r="QV110" s="115"/>
      <c r="QW110" s="115"/>
      <c r="QX110" s="115"/>
      <c r="QY110" s="115"/>
      <c r="QZ110" s="115"/>
      <c r="RA110" s="115"/>
      <c r="RB110" s="115"/>
      <c r="RC110" s="115"/>
      <c r="RD110" s="115"/>
      <c r="RE110" s="115"/>
      <c r="RF110" s="115"/>
      <c r="RG110" s="115"/>
      <c r="RH110" s="115"/>
      <c r="RI110" s="115"/>
      <c r="RJ110" s="115"/>
      <c r="RK110" s="115"/>
      <c r="RL110" s="115"/>
      <c r="RM110" s="115"/>
      <c r="RN110" s="115"/>
      <c r="RO110" s="115"/>
      <c r="RP110" s="115"/>
      <c r="RQ110" s="115"/>
      <c r="RR110" s="115"/>
      <c r="RS110" s="115"/>
      <c r="RT110" s="115"/>
      <c r="RU110" s="115"/>
      <c r="RV110" s="115"/>
      <c r="RW110" s="115"/>
      <c r="RX110" s="115"/>
      <c r="RY110" s="115"/>
      <c r="RZ110" s="115"/>
      <c r="SA110" s="115"/>
      <c r="SB110" s="115"/>
      <c r="SC110" s="115"/>
      <c r="SD110" s="115"/>
      <c r="SE110" s="115"/>
      <c r="SF110" s="115"/>
      <c r="SG110" s="115"/>
      <c r="SH110" s="115"/>
      <c r="SI110" s="115"/>
      <c r="SJ110" s="115"/>
      <c r="SK110" s="115"/>
      <c r="SL110" s="115"/>
      <c r="SM110" s="115"/>
      <c r="SN110" s="115"/>
      <c r="SO110" s="115"/>
      <c r="SP110" s="115"/>
      <c r="SQ110" s="115"/>
      <c r="SR110" s="115"/>
      <c r="SS110" s="115"/>
      <c r="ST110" s="115"/>
      <c r="SU110" s="115"/>
      <c r="SV110" s="115"/>
      <c r="SW110" s="115"/>
      <c r="SX110" s="115"/>
      <c r="SY110" s="115"/>
      <c r="SZ110" s="115"/>
      <c r="TA110" s="115"/>
      <c r="TB110" s="115"/>
      <c r="TC110" s="115"/>
      <c r="TD110" s="115"/>
      <c r="TE110" s="115"/>
      <c r="TF110" s="115"/>
      <c r="TG110" s="115"/>
      <c r="TH110" s="115"/>
      <c r="TI110" s="115"/>
      <c r="TJ110" s="115"/>
      <c r="TK110" s="115"/>
      <c r="TL110" s="115"/>
      <c r="TM110" s="115"/>
      <c r="TN110" s="115"/>
      <c r="TO110" s="115"/>
      <c r="TP110" s="115"/>
      <c r="TQ110" s="115"/>
      <c r="TR110" s="115"/>
      <c r="TS110" s="115"/>
      <c r="TT110" s="115"/>
      <c r="TU110" s="115"/>
      <c r="TV110" s="115"/>
      <c r="TW110" s="115"/>
      <c r="TX110" s="115"/>
      <c r="TY110" s="115"/>
      <c r="TZ110" s="115"/>
      <c r="UA110" s="115"/>
      <c r="UB110" s="115"/>
      <c r="UC110" s="115"/>
      <c r="UD110" s="115"/>
      <c r="UE110" s="115"/>
      <c r="UF110" s="115"/>
      <c r="UG110" s="115"/>
      <c r="UH110" s="115"/>
      <c r="UI110" s="115"/>
      <c r="UJ110" s="115"/>
      <c r="UK110" s="115"/>
      <c r="UL110" s="115"/>
      <c r="UM110" s="115"/>
      <c r="UN110" s="115"/>
      <c r="UO110" s="115"/>
      <c r="UP110" s="115"/>
      <c r="UQ110" s="115"/>
      <c r="UR110" s="115"/>
      <c r="US110" s="115"/>
      <c r="UT110" s="115"/>
      <c r="UU110" s="115"/>
      <c r="UV110" s="115"/>
      <c r="UW110" s="115"/>
      <c r="UX110" s="115"/>
      <c r="UY110" s="115"/>
      <c r="UZ110" s="115"/>
      <c r="VA110" s="115"/>
      <c r="VB110" s="115"/>
      <c r="VC110" s="115"/>
      <c r="VD110" s="115"/>
      <c r="VE110" s="115"/>
      <c r="VF110" s="115"/>
      <c r="VG110" s="115"/>
      <c r="VH110" s="115"/>
      <c r="VI110" s="115"/>
      <c r="VJ110" s="115"/>
      <c r="VK110" s="115"/>
      <c r="VL110" s="115"/>
      <c r="VM110" s="115"/>
      <c r="VN110" s="115"/>
      <c r="VO110" s="115"/>
      <c r="VP110" s="115"/>
      <c r="VQ110" s="115"/>
      <c r="VR110" s="115"/>
      <c r="VS110" s="115"/>
      <c r="VT110" s="115"/>
      <c r="VU110" s="115"/>
      <c r="VV110" s="115"/>
      <c r="VW110" s="115"/>
      <c r="VX110" s="115"/>
      <c r="VY110" s="115"/>
      <c r="VZ110" s="115"/>
      <c r="WA110" s="115"/>
      <c r="WB110" s="115"/>
      <c r="WC110" s="115"/>
      <c r="WD110" s="115"/>
      <c r="WE110" s="115"/>
      <c r="WF110" s="115"/>
      <c r="WG110" s="115"/>
      <c r="WH110" s="115"/>
      <c r="WI110" s="115"/>
      <c r="WJ110" s="115"/>
      <c r="WK110" s="115"/>
      <c r="WL110" s="115"/>
      <c r="WM110" s="115"/>
      <c r="WN110" s="115"/>
      <c r="WO110" s="115"/>
      <c r="WP110" s="115"/>
      <c r="WQ110" s="115"/>
      <c r="WR110" s="115"/>
      <c r="WS110" s="115"/>
      <c r="WT110" s="115"/>
      <c r="WU110" s="115"/>
      <c r="WV110" s="115"/>
      <c r="WW110" s="115"/>
      <c r="WX110" s="115"/>
      <c r="WY110" s="115"/>
      <c r="WZ110" s="115"/>
      <c r="XA110" s="115"/>
      <c r="XB110" s="115"/>
      <c r="XC110" s="115"/>
      <c r="XD110" s="115"/>
      <c r="XE110" s="115"/>
      <c r="XF110" s="115"/>
      <c r="XG110" s="115"/>
      <c r="XH110" s="115"/>
      <c r="XI110" s="115"/>
      <c r="XJ110" s="115"/>
      <c r="XK110" s="115"/>
      <c r="XL110" s="115"/>
      <c r="XM110" s="115"/>
      <c r="XN110" s="115"/>
      <c r="XO110" s="115"/>
      <c r="XP110" s="115"/>
      <c r="XQ110" s="115"/>
      <c r="XR110" s="115"/>
      <c r="XS110" s="115"/>
      <c r="XT110" s="115"/>
      <c r="XU110" s="115"/>
      <c r="XV110" s="115"/>
      <c r="XW110" s="115"/>
      <c r="XX110" s="115"/>
      <c r="XY110" s="115"/>
      <c r="XZ110" s="115"/>
      <c r="YA110" s="115"/>
      <c r="YB110" s="115"/>
      <c r="YC110" s="115"/>
      <c r="YD110" s="115"/>
      <c r="YE110" s="115"/>
      <c r="YF110" s="115"/>
      <c r="YG110" s="115"/>
      <c r="YH110" s="115"/>
      <c r="YI110" s="115"/>
      <c r="YJ110" s="115"/>
      <c r="YK110" s="115"/>
      <c r="YL110" s="115"/>
      <c r="YM110" s="115"/>
      <c r="YN110" s="115"/>
      <c r="YO110" s="115"/>
      <c r="YP110" s="115"/>
      <c r="YQ110" s="115"/>
      <c r="YX110" s="22">
        <v>6</v>
      </c>
      <c r="YY110" s="22">
        <f>VLOOKUP(B110,'SCAFFOLDING MATERIAL OVERALL'!B112:S294,18,FALSE)</f>
        <v>3.85</v>
      </c>
      <c r="YZ110" s="22">
        <f t="shared" si="1"/>
        <v>23.1</v>
      </c>
    </row>
    <row r="111" spans="1:676" s="22" customFormat="1" x14ac:dyDescent="0.25">
      <c r="A111" s="17">
        <v>107</v>
      </c>
      <c r="B111" s="15">
        <v>3000001196</v>
      </c>
      <c r="C111" s="16" t="s">
        <v>119</v>
      </c>
      <c r="D111" s="44" t="s">
        <v>12</v>
      </c>
      <c r="MM111" s="22">
        <v>41</v>
      </c>
      <c r="OZ111" s="115"/>
      <c r="PA111" s="115"/>
      <c r="PB111" s="115"/>
      <c r="PC111" s="115"/>
      <c r="PD111" s="115"/>
      <c r="PE111" s="115"/>
      <c r="PF111" s="115"/>
      <c r="PG111" s="115"/>
      <c r="PH111" s="115"/>
      <c r="PI111" s="115"/>
      <c r="PJ111" s="115"/>
      <c r="PK111" s="115"/>
      <c r="PL111" s="115"/>
      <c r="PM111" s="115"/>
      <c r="PN111" s="115"/>
      <c r="PO111" s="115"/>
      <c r="PP111" s="115"/>
      <c r="PQ111" s="115"/>
      <c r="PR111" s="115"/>
      <c r="PS111" s="115"/>
      <c r="PT111" s="115"/>
      <c r="PU111" s="115"/>
      <c r="PV111" s="115"/>
      <c r="PW111" s="115"/>
      <c r="PX111" s="115"/>
      <c r="PY111" s="115"/>
      <c r="PZ111" s="115"/>
      <c r="QA111" s="115"/>
      <c r="QB111" s="115"/>
      <c r="QC111" s="115"/>
      <c r="QD111" s="115"/>
      <c r="QE111" s="115"/>
      <c r="QF111" s="115"/>
      <c r="QG111" s="115"/>
      <c r="QH111" s="115"/>
      <c r="QI111" s="115"/>
      <c r="QJ111" s="115"/>
      <c r="QK111" s="115"/>
      <c r="QL111" s="115"/>
      <c r="QM111" s="115"/>
      <c r="QN111" s="115"/>
      <c r="QO111" s="115"/>
      <c r="QP111" s="115"/>
      <c r="QQ111" s="115"/>
      <c r="QR111" s="115"/>
      <c r="QS111" s="115"/>
      <c r="QT111" s="115"/>
      <c r="QU111" s="115"/>
      <c r="QV111" s="115"/>
      <c r="QW111" s="115"/>
      <c r="QX111" s="115"/>
      <c r="QY111" s="115"/>
      <c r="QZ111" s="115"/>
      <c r="RA111" s="115"/>
      <c r="RB111" s="115"/>
      <c r="RC111" s="115"/>
      <c r="RD111" s="115"/>
      <c r="RE111" s="115"/>
      <c r="RF111" s="115"/>
      <c r="RG111" s="115"/>
      <c r="RH111" s="115"/>
      <c r="RI111" s="115"/>
      <c r="RJ111" s="115"/>
      <c r="RK111" s="115"/>
      <c r="RL111" s="115"/>
      <c r="RM111" s="115"/>
      <c r="RN111" s="115"/>
      <c r="RO111" s="115"/>
      <c r="RP111" s="115"/>
      <c r="RQ111" s="115"/>
      <c r="RR111" s="115"/>
      <c r="RS111" s="115"/>
      <c r="RT111" s="115"/>
      <c r="RU111" s="115"/>
      <c r="RV111" s="115"/>
      <c r="RW111" s="115"/>
      <c r="RX111" s="115"/>
      <c r="RY111" s="115"/>
      <c r="RZ111" s="115"/>
      <c r="SA111" s="115"/>
      <c r="SB111" s="115"/>
      <c r="SC111" s="115"/>
      <c r="SD111" s="115"/>
      <c r="SE111" s="115"/>
      <c r="SF111" s="115"/>
      <c r="SG111" s="115"/>
      <c r="SH111" s="115"/>
      <c r="SI111" s="115"/>
      <c r="SJ111" s="115"/>
      <c r="SK111" s="115"/>
      <c r="SL111" s="115"/>
      <c r="SM111" s="115"/>
      <c r="SN111" s="115"/>
      <c r="SO111" s="115"/>
      <c r="SP111" s="115"/>
      <c r="SQ111" s="115"/>
      <c r="SR111" s="115"/>
      <c r="SS111" s="115"/>
      <c r="ST111" s="115"/>
      <c r="SU111" s="115"/>
      <c r="SV111" s="115"/>
      <c r="SW111" s="115"/>
      <c r="SX111" s="115"/>
      <c r="SY111" s="115"/>
      <c r="SZ111" s="115"/>
      <c r="TA111" s="115"/>
      <c r="TB111" s="115">
        <v>122</v>
      </c>
      <c r="TC111" s="115">
        <v>124</v>
      </c>
      <c r="TD111" s="115"/>
      <c r="TE111" s="115"/>
      <c r="TF111" s="115"/>
      <c r="TG111" s="115"/>
      <c r="TH111" s="115">
        <v>215</v>
      </c>
      <c r="TI111" s="115">
        <v>302</v>
      </c>
      <c r="TJ111" s="115">
        <v>200</v>
      </c>
      <c r="TK111" s="115"/>
      <c r="TL111" s="115"/>
      <c r="TM111" s="115"/>
      <c r="TN111" s="115">
        <v>101</v>
      </c>
      <c r="TO111" s="115">
        <v>89</v>
      </c>
      <c r="TP111" s="115"/>
      <c r="TQ111" s="115">
        <v>35</v>
      </c>
      <c r="TR111" s="115"/>
      <c r="TS111" s="115"/>
      <c r="TT111" s="115"/>
      <c r="TU111" s="115"/>
      <c r="TV111" s="115"/>
      <c r="TW111" s="115"/>
      <c r="TX111" s="115"/>
      <c r="TY111" s="115"/>
      <c r="TZ111" s="115"/>
      <c r="UA111" s="115"/>
      <c r="UB111" s="115"/>
      <c r="UC111" s="115"/>
      <c r="UD111" s="115"/>
      <c r="UE111" s="115"/>
      <c r="UF111" s="115"/>
      <c r="UG111" s="115"/>
      <c r="UH111" s="115"/>
      <c r="UI111" s="115"/>
      <c r="UJ111" s="115"/>
      <c r="UK111" s="115"/>
      <c r="UL111" s="115"/>
      <c r="UM111" s="115"/>
      <c r="UN111" s="115"/>
      <c r="UO111" s="115"/>
      <c r="UP111" s="115"/>
      <c r="UQ111" s="115"/>
      <c r="UR111" s="115"/>
      <c r="US111" s="115"/>
      <c r="UT111" s="115"/>
      <c r="UU111" s="115"/>
      <c r="UV111" s="115"/>
      <c r="UW111" s="115">
        <v>43</v>
      </c>
      <c r="UX111" s="115"/>
      <c r="UY111" s="115"/>
      <c r="UZ111" s="115"/>
      <c r="VA111" s="115"/>
      <c r="VB111" s="115"/>
      <c r="VC111" s="115"/>
      <c r="VD111" s="115"/>
      <c r="VE111" s="115"/>
      <c r="VF111" s="115"/>
      <c r="VG111" s="115"/>
      <c r="VH111" s="115"/>
      <c r="VI111" s="115"/>
      <c r="VJ111" s="115"/>
      <c r="VK111" s="115"/>
      <c r="VL111" s="115"/>
      <c r="VM111" s="115"/>
      <c r="VN111" s="115"/>
      <c r="VO111" s="115"/>
      <c r="VP111" s="115"/>
      <c r="VQ111" s="115"/>
      <c r="VR111" s="115"/>
      <c r="VS111" s="115"/>
      <c r="VT111" s="115"/>
      <c r="VU111" s="115"/>
      <c r="VV111" s="115"/>
      <c r="VW111" s="115"/>
      <c r="VX111" s="115"/>
      <c r="VY111" s="115"/>
      <c r="VZ111" s="115"/>
      <c r="WA111" s="115"/>
      <c r="WB111" s="115"/>
      <c r="WC111" s="115"/>
      <c r="WD111" s="115"/>
      <c r="WE111" s="115"/>
      <c r="WF111" s="115"/>
      <c r="WG111" s="115"/>
      <c r="WH111" s="115"/>
      <c r="WI111" s="115"/>
      <c r="WJ111" s="115"/>
      <c r="WK111" s="115"/>
      <c r="WL111" s="115"/>
      <c r="WM111" s="115"/>
      <c r="WN111" s="115"/>
      <c r="WO111" s="115"/>
      <c r="WP111" s="115"/>
      <c r="WQ111" s="115"/>
      <c r="WR111" s="115"/>
      <c r="WS111" s="115"/>
      <c r="WT111" s="115"/>
      <c r="WU111" s="115"/>
      <c r="WV111" s="115"/>
      <c r="WW111" s="115"/>
      <c r="WX111" s="115"/>
      <c r="WY111" s="115"/>
      <c r="WZ111" s="115"/>
      <c r="XA111" s="115"/>
      <c r="XB111" s="115"/>
      <c r="XC111" s="115"/>
      <c r="XD111" s="115"/>
      <c r="XE111" s="115"/>
      <c r="XF111" s="115"/>
      <c r="XG111" s="115"/>
      <c r="XH111" s="115"/>
      <c r="XI111" s="115"/>
      <c r="XJ111" s="115"/>
      <c r="XK111" s="115"/>
      <c r="XL111" s="115"/>
      <c r="XM111" s="115"/>
      <c r="XN111" s="115"/>
      <c r="XO111" s="115"/>
      <c r="XP111" s="115"/>
      <c r="XQ111" s="115"/>
      <c r="XR111" s="115"/>
      <c r="XS111" s="115"/>
      <c r="XT111" s="115"/>
      <c r="XU111" s="115"/>
      <c r="XV111" s="115"/>
      <c r="XW111" s="115"/>
      <c r="XX111" s="115"/>
      <c r="XY111" s="115"/>
      <c r="XZ111" s="115"/>
      <c r="YA111" s="115"/>
      <c r="YB111" s="115"/>
      <c r="YC111" s="115"/>
      <c r="YD111" s="115"/>
      <c r="YE111" s="115"/>
      <c r="YF111" s="115"/>
      <c r="YG111" s="115"/>
      <c r="YH111" s="115"/>
      <c r="YI111" s="115"/>
      <c r="YJ111" s="115"/>
      <c r="YK111" s="115"/>
      <c r="YL111" s="115"/>
      <c r="YM111" s="115"/>
      <c r="YN111" s="115"/>
      <c r="YO111" s="115"/>
      <c r="YP111" s="115"/>
      <c r="YQ111" s="115"/>
      <c r="YX111" s="22">
        <v>1272</v>
      </c>
      <c r="YY111" s="22">
        <f>VLOOKUP(B111,'SCAFFOLDING MATERIAL OVERALL'!B113:S295,18,FALSE)</f>
        <v>0.81</v>
      </c>
      <c r="YZ111" s="22">
        <f t="shared" si="1"/>
        <v>1030.3200000000002</v>
      </c>
    </row>
    <row r="112" spans="1:676" s="22" customFormat="1" x14ac:dyDescent="0.25">
      <c r="A112" s="14">
        <v>108</v>
      </c>
      <c r="B112" s="15" t="s">
        <v>120</v>
      </c>
      <c r="C112" s="16" t="s">
        <v>121</v>
      </c>
      <c r="D112" s="44" t="s">
        <v>12</v>
      </c>
      <c r="OZ112" s="115"/>
      <c r="PA112" s="115"/>
      <c r="PB112" s="115"/>
      <c r="PC112" s="115"/>
      <c r="PD112" s="115"/>
      <c r="PE112" s="115"/>
      <c r="PF112" s="115"/>
      <c r="PG112" s="115"/>
      <c r="PH112" s="115"/>
      <c r="PI112" s="115"/>
      <c r="PJ112" s="115"/>
      <c r="PK112" s="115"/>
      <c r="PL112" s="115"/>
      <c r="PM112" s="115"/>
      <c r="PN112" s="115"/>
      <c r="PO112" s="115"/>
      <c r="PP112" s="115"/>
      <c r="PQ112" s="115"/>
      <c r="PR112" s="115"/>
      <c r="PS112" s="115"/>
      <c r="PT112" s="115"/>
      <c r="PU112" s="115"/>
      <c r="PV112" s="115"/>
      <c r="PW112" s="115"/>
      <c r="PX112" s="115"/>
      <c r="PY112" s="115"/>
      <c r="PZ112" s="115"/>
      <c r="QA112" s="115"/>
      <c r="QB112" s="115"/>
      <c r="QC112" s="115"/>
      <c r="QD112" s="115"/>
      <c r="QE112" s="115"/>
      <c r="QF112" s="115"/>
      <c r="QG112" s="115"/>
      <c r="QH112" s="115"/>
      <c r="QI112" s="115"/>
      <c r="QJ112" s="115"/>
      <c r="QK112" s="115"/>
      <c r="QL112" s="115"/>
      <c r="QM112" s="115"/>
      <c r="QN112" s="115"/>
      <c r="QO112" s="115"/>
      <c r="QP112" s="115"/>
      <c r="QQ112" s="115"/>
      <c r="QR112" s="115"/>
      <c r="QS112" s="115"/>
      <c r="QT112" s="115"/>
      <c r="QU112" s="115"/>
      <c r="QV112" s="115"/>
      <c r="QW112" s="115"/>
      <c r="QX112" s="115"/>
      <c r="QY112" s="115"/>
      <c r="QZ112" s="115"/>
      <c r="RA112" s="115"/>
      <c r="RB112" s="115"/>
      <c r="RC112" s="115"/>
      <c r="RD112" s="115"/>
      <c r="RE112" s="115"/>
      <c r="RF112" s="115"/>
      <c r="RG112" s="115"/>
      <c r="RH112" s="115"/>
      <c r="RI112" s="115"/>
      <c r="RJ112" s="115"/>
      <c r="RK112" s="115"/>
      <c r="RL112" s="115"/>
      <c r="RM112" s="115"/>
      <c r="RN112" s="115"/>
      <c r="RO112" s="115"/>
      <c r="RP112" s="115"/>
      <c r="RQ112" s="115"/>
      <c r="RR112" s="115"/>
      <c r="RS112" s="115"/>
      <c r="RT112" s="115"/>
      <c r="RU112" s="115"/>
      <c r="RV112" s="115"/>
      <c r="RW112" s="115"/>
      <c r="RX112" s="115"/>
      <c r="RY112" s="115"/>
      <c r="RZ112" s="115"/>
      <c r="SA112" s="115"/>
      <c r="SB112" s="115"/>
      <c r="SC112" s="115"/>
      <c r="SD112" s="115"/>
      <c r="SE112" s="115"/>
      <c r="SF112" s="115"/>
      <c r="SG112" s="115"/>
      <c r="SH112" s="115"/>
      <c r="SI112" s="115"/>
      <c r="SJ112" s="115"/>
      <c r="SK112" s="115"/>
      <c r="SL112" s="115"/>
      <c r="SM112" s="115"/>
      <c r="SN112" s="115"/>
      <c r="SO112" s="115"/>
      <c r="SP112" s="115"/>
      <c r="SQ112" s="115"/>
      <c r="SR112" s="115"/>
      <c r="SS112" s="115"/>
      <c r="ST112" s="115"/>
      <c r="SU112" s="115"/>
      <c r="SV112" s="115"/>
      <c r="SW112" s="115"/>
      <c r="SX112" s="115"/>
      <c r="SY112" s="115"/>
      <c r="SZ112" s="115"/>
      <c r="TA112" s="115"/>
      <c r="TB112" s="115"/>
      <c r="TC112" s="115"/>
      <c r="TD112" s="115"/>
      <c r="TE112" s="115"/>
      <c r="TF112" s="115"/>
      <c r="TG112" s="115"/>
      <c r="TH112" s="115"/>
      <c r="TI112" s="115"/>
      <c r="TJ112" s="115"/>
      <c r="TK112" s="115"/>
      <c r="TL112" s="115"/>
      <c r="TM112" s="115"/>
      <c r="TN112" s="115"/>
      <c r="TO112" s="115"/>
      <c r="TP112" s="115"/>
      <c r="TQ112" s="115"/>
      <c r="TR112" s="115"/>
      <c r="TS112" s="115"/>
      <c r="TT112" s="115"/>
      <c r="TU112" s="115"/>
      <c r="TV112" s="115"/>
      <c r="TW112" s="115"/>
      <c r="TX112" s="115"/>
      <c r="TY112" s="115"/>
      <c r="TZ112" s="115"/>
      <c r="UA112" s="115"/>
      <c r="UB112" s="115"/>
      <c r="UC112" s="115"/>
      <c r="UD112" s="115"/>
      <c r="UE112" s="115"/>
      <c r="UF112" s="115"/>
      <c r="UG112" s="115"/>
      <c r="UH112" s="115"/>
      <c r="UI112" s="115"/>
      <c r="UJ112" s="115"/>
      <c r="UK112" s="115"/>
      <c r="UL112" s="115"/>
      <c r="UM112" s="115"/>
      <c r="UN112" s="115"/>
      <c r="UO112" s="115"/>
      <c r="UP112" s="115"/>
      <c r="UQ112" s="115"/>
      <c r="UR112" s="115"/>
      <c r="US112" s="115"/>
      <c r="UT112" s="115"/>
      <c r="UU112" s="115"/>
      <c r="UV112" s="115"/>
      <c r="UW112" s="115"/>
      <c r="UX112" s="115"/>
      <c r="UY112" s="115"/>
      <c r="UZ112" s="115"/>
      <c r="VA112" s="115"/>
      <c r="VB112" s="115"/>
      <c r="VC112" s="115"/>
      <c r="VD112" s="115"/>
      <c r="VE112" s="115"/>
      <c r="VF112" s="115"/>
      <c r="VG112" s="115"/>
      <c r="VH112" s="115"/>
      <c r="VI112" s="115"/>
      <c r="VJ112" s="115"/>
      <c r="VK112" s="115"/>
      <c r="VL112" s="115"/>
      <c r="VM112" s="115"/>
      <c r="VN112" s="115"/>
      <c r="VO112" s="115"/>
      <c r="VP112" s="115"/>
      <c r="VQ112" s="115"/>
      <c r="VR112" s="115"/>
      <c r="VS112" s="115"/>
      <c r="VT112" s="115"/>
      <c r="VU112" s="115"/>
      <c r="VV112" s="115"/>
      <c r="VW112" s="115"/>
      <c r="VX112" s="115"/>
      <c r="VY112" s="115"/>
      <c r="VZ112" s="115"/>
      <c r="WA112" s="115"/>
      <c r="WB112" s="115"/>
      <c r="WC112" s="115"/>
      <c r="WD112" s="115"/>
      <c r="WE112" s="115"/>
      <c r="WF112" s="115"/>
      <c r="WG112" s="115"/>
      <c r="WH112" s="115"/>
      <c r="WI112" s="115"/>
      <c r="WJ112" s="115"/>
      <c r="WK112" s="115"/>
      <c r="WL112" s="115"/>
      <c r="WM112" s="115"/>
      <c r="WN112" s="115"/>
      <c r="WO112" s="115"/>
      <c r="WP112" s="115"/>
      <c r="WQ112" s="115"/>
      <c r="WR112" s="115"/>
      <c r="WS112" s="115"/>
      <c r="WT112" s="115"/>
      <c r="WU112" s="115"/>
      <c r="WV112" s="115"/>
      <c r="WW112" s="115"/>
      <c r="WX112" s="115"/>
      <c r="WY112" s="115"/>
      <c r="WZ112" s="115"/>
      <c r="XA112" s="115"/>
      <c r="XB112" s="115"/>
      <c r="XC112" s="115"/>
      <c r="XD112" s="115"/>
      <c r="XE112" s="115"/>
      <c r="XF112" s="115"/>
      <c r="XG112" s="115"/>
      <c r="XH112" s="115"/>
      <c r="XI112" s="115"/>
      <c r="XJ112" s="115"/>
      <c r="XK112" s="115"/>
      <c r="XL112" s="115"/>
      <c r="XM112" s="115"/>
      <c r="XN112" s="115"/>
      <c r="XO112" s="115"/>
      <c r="XP112" s="115"/>
      <c r="XQ112" s="115"/>
      <c r="XR112" s="115"/>
      <c r="XS112" s="115"/>
      <c r="XT112" s="115"/>
      <c r="XU112" s="115"/>
      <c r="XV112" s="115"/>
      <c r="XW112" s="115"/>
      <c r="XX112" s="115"/>
      <c r="XY112" s="115"/>
      <c r="XZ112" s="115"/>
      <c r="YA112" s="115"/>
      <c r="YB112" s="115"/>
      <c r="YC112" s="115"/>
      <c r="YD112" s="115"/>
      <c r="YE112" s="115"/>
      <c r="YF112" s="115"/>
      <c r="YG112" s="115"/>
      <c r="YH112" s="115"/>
      <c r="YI112" s="115"/>
      <c r="YJ112" s="115"/>
      <c r="YK112" s="115"/>
      <c r="YL112" s="115"/>
      <c r="YM112" s="115"/>
      <c r="YN112" s="115"/>
      <c r="YO112" s="115"/>
      <c r="YP112" s="115"/>
      <c r="YQ112" s="115"/>
      <c r="YX112" s="22">
        <v>0</v>
      </c>
      <c r="YY112" s="22">
        <f>VLOOKUP(B112,'SCAFFOLDING MATERIAL OVERALL'!B114:S296,18,FALSE)</f>
        <v>0</v>
      </c>
      <c r="YZ112" s="22">
        <f t="shared" si="1"/>
        <v>0</v>
      </c>
    </row>
    <row r="113" spans="1:676" s="22" customFormat="1" x14ac:dyDescent="0.25">
      <c r="A113" s="14">
        <v>109</v>
      </c>
      <c r="B113" s="15">
        <v>3000000316</v>
      </c>
      <c r="C113" s="16" t="s">
        <v>122</v>
      </c>
      <c r="D113" s="44" t="s">
        <v>12</v>
      </c>
      <c r="MO113" s="22">
        <v>84</v>
      </c>
      <c r="OZ113" s="115"/>
      <c r="PA113" s="115"/>
      <c r="PB113" s="115"/>
      <c r="PC113" s="115"/>
      <c r="PD113" s="115"/>
      <c r="PE113" s="115"/>
      <c r="PF113" s="115"/>
      <c r="PG113" s="115"/>
      <c r="PH113" s="115"/>
      <c r="PI113" s="115"/>
      <c r="PJ113" s="115"/>
      <c r="PK113" s="115"/>
      <c r="PL113" s="115"/>
      <c r="PM113" s="115"/>
      <c r="PN113" s="115"/>
      <c r="PO113" s="115"/>
      <c r="PP113" s="115"/>
      <c r="PQ113" s="115"/>
      <c r="PR113" s="115"/>
      <c r="PS113" s="115"/>
      <c r="PT113" s="115"/>
      <c r="PU113" s="115"/>
      <c r="PV113" s="115"/>
      <c r="PW113" s="115"/>
      <c r="PX113" s="115"/>
      <c r="PY113" s="115"/>
      <c r="PZ113" s="115"/>
      <c r="QA113" s="115"/>
      <c r="QB113" s="115"/>
      <c r="QC113" s="115"/>
      <c r="QD113" s="115"/>
      <c r="QE113" s="115"/>
      <c r="QF113" s="115"/>
      <c r="QG113" s="115"/>
      <c r="QH113" s="115"/>
      <c r="QI113" s="115"/>
      <c r="QJ113" s="115"/>
      <c r="QK113" s="115"/>
      <c r="QL113" s="115"/>
      <c r="QM113" s="115"/>
      <c r="QN113" s="115"/>
      <c r="QO113" s="115"/>
      <c r="QP113" s="115"/>
      <c r="QQ113" s="115"/>
      <c r="QR113" s="115"/>
      <c r="QS113" s="115"/>
      <c r="QT113" s="115"/>
      <c r="QU113" s="115"/>
      <c r="QV113" s="115"/>
      <c r="QW113" s="115"/>
      <c r="QX113" s="115"/>
      <c r="QY113" s="115"/>
      <c r="QZ113" s="115"/>
      <c r="RA113" s="115"/>
      <c r="RB113" s="115"/>
      <c r="RC113" s="115"/>
      <c r="RD113" s="115"/>
      <c r="RE113" s="115"/>
      <c r="RF113" s="115"/>
      <c r="RG113" s="115"/>
      <c r="RH113" s="115"/>
      <c r="RI113" s="115"/>
      <c r="RJ113" s="115"/>
      <c r="RK113" s="115"/>
      <c r="RL113" s="115"/>
      <c r="RM113" s="115"/>
      <c r="RN113" s="115"/>
      <c r="RO113" s="115"/>
      <c r="RP113" s="115"/>
      <c r="RQ113" s="115"/>
      <c r="RR113" s="115"/>
      <c r="RS113" s="115"/>
      <c r="RT113" s="115"/>
      <c r="RU113" s="115"/>
      <c r="RV113" s="115"/>
      <c r="RW113" s="115"/>
      <c r="RX113" s="115"/>
      <c r="RY113" s="115"/>
      <c r="RZ113" s="115"/>
      <c r="SA113" s="115"/>
      <c r="SB113" s="115"/>
      <c r="SC113" s="115"/>
      <c r="SD113" s="115"/>
      <c r="SE113" s="115"/>
      <c r="SF113" s="115"/>
      <c r="SG113" s="115"/>
      <c r="SH113" s="115"/>
      <c r="SI113" s="115"/>
      <c r="SJ113" s="115"/>
      <c r="SK113" s="115"/>
      <c r="SL113" s="115"/>
      <c r="SM113" s="115"/>
      <c r="SN113" s="115"/>
      <c r="SO113" s="115"/>
      <c r="SP113" s="115"/>
      <c r="SQ113" s="115"/>
      <c r="SR113" s="115"/>
      <c r="SS113" s="115"/>
      <c r="ST113" s="115"/>
      <c r="SU113" s="115"/>
      <c r="SV113" s="115"/>
      <c r="SW113" s="115"/>
      <c r="SX113" s="115"/>
      <c r="SY113" s="115"/>
      <c r="SZ113" s="115"/>
      <c r="TA113" s="115"/>
      <c r="TB113" s="115"/>
      <c r="TC113" s="115"/>
      <c r="TD113" s="115"/>
      <c r="TE113" s="115"/>
      <c r="TF113" s="115"/>
      <c r="TG113" s="115"/>
      <c r="TH113" s="115">
        <v>90</v>
      </c>
      <c r="TI113" s="115">
        <v>50</v>
      </c>
      <c r="TJ113" s="115"/>
      <c r="TK113" s="115"/>
      <c r="TL113" s="115"/>
      <c r="TM113" s="115"/>
      <c r="TN113" s="115"/>
      <c r="TO113" s="115"/>
      <c r="TP113" s="115"/>
      <c r="TQ113" s="115"/>
      <c r="TR113" s="115"/>
      <c r="TS113" s="115"/>
      <c r="TT113" s="115"/>
      <c r="TU113" s="115"/>
      <c r="TV113" s="115"/>
      <c r="TW113" s="115"/>
      <c r="TX113" s="115"/>
      <c r="TY113" s="115"/>
      <c r="TZ113" s="115"/>
      <c r="UA113" s="115"/>
      <c r="UB113" s="115"/>
      <c r="UC113" s="115"/>
      <c r="UD113" s="115"/>
      <c r="UE113" s="115"/>
      <c r="UF113" s="115"/>
      <c r="UG113" s="115"/>
      <c r="UH113" s="115"/>
      <c r="UI113" s="115"/>
      <c r="UJ113" s="115"/>
      <c r="UK113" s="115"/>
      <c r="UL113" s="115"/>
      <c r="UM113" s="115"/>
      <c r="UN113" s="115"/>
      <c r="UO113" s="115"/>
      <c r="UP113" s="115"/>
      <c r="UQ113" s="115"/>
      <c r="UR113" s="115"/>
      <c r="US113" s="115"/>
      <c r="UT113" s="115"/>
      <c r="UU113" s="115"/>
      <c r="UV113" s="115"/>
      <c r="UW113" s="115"/>
      <c r="UX113" s="115"/>
      <c r="UY113" s="115"/>
      <c r="UZ113" s="115"/>
      <c r="VA113" s="115"/>
      <c r="VB113" s="115"/>
      <c r="VC113" s="115"/>
      <c r="VD113" s="115"/>
      <c r="VE113" s="115"/>
      <c r="VF113" s="115"/>
      <c r="VG113" s="115"/>
      <c r="VH113" s="115"/>
      <c r="VI113" s="115"/>
      <c r="VJ113" s="115"/>
      <c r="VK113" s="115"/>
      <c r="VL113" s="115"/>
      <c r="VM113" s="115"/>
      <c r="VN113" s="115"/>
      <c r="VO113" s="115"/>
      <c r="VP113" s="115"/>
      <c r="VQ113" s="115"/>
      <c r="VR113" s="115"/>
      <c r="VS113" s="115"/>
      <c r="VT113" s="115"/>
      <c r="VU113" s="115"/>
      <c r="VV113" s="115"/>
      <c r="VW113" s="115"/>
      <c r="VX113" s="115"/>
      <c r="VY113" s="115"/>
      <c r="VZ113" s="115"/>
      <c r="WA113" s="115"/>
      <c r="WB113" s="115"/>
      <c r="WC113" s="115"/>
      <c r="WD113" s="115"/>
      <c r="WE113" s="115"/>
      <c r="WF113" s="115"/>
      <c r="WG113" s="115"/>
      <c r="WH113" s="115"/>
      <c r="WI113" s="115"/>
      <c r="WJ113" s="115"/>
      <c r="WK113" s="115"/>
      <c r="WL113" s="115"/>
      <c r="WM113" s="115"/>
      <c r="WN113" s="115"/>
      <c r="WO113" s="115"/>
      <c r="WP113" s="115"/>
      <c r="WQ113" s="115"/>
      <c r="WR113" s="115"/>
      <c r="WS113" s="115"/>
      <c r="WT113" s="115"/>
      <c r="WU113" s="115"/>
      <c r="WV113" s="115"/>
      <c r="WW113" s="115"/>
      <c r="WX113" s="115"/>
      <c r="WY113" s="115"/>
      <c r="WZ113" s="115"/>
      <c r="XA113" s="115"/>
      <c r="XB113" s="115"/>
      <c r="XC113" s="115"/>
      <c r="XD113" s="115"/>
      <c r="XE113" s="115"/>
      <c r="XF113" s="115"/>
      <c r="XG113" s="115"/>
      <c r="XH113" s="115"/>
      <c r="XI113" s="115"/>
      <c r="XJ113" s="115"/>
      <c r="XK113" s="115"/>
      <c r="XL113" s="115"/>
      <c r="XM113" s="115"/>
      <c r="XN113" s="115"/>
      <c r="XO113" s="115"/>
      <c r="XP113" s="115"/>
      <c r="XQ113" s="115"/>
      <c r="XR113" s="115"/>
      <c r="XS113" s="115"/>
      <c r="XT113" s="115"/>
      <c r="XU113" s="115"/>
      <c r="XV113" s="115"/>
      <c r="XW113" s="115"/>
      <c r="XX113" s="115"/>
      <c r="XY113" s="115"/>
      <c r="XZ113" s="115"/>
      <c r="YA113" s="115"/>
      <c r="YB113" s="115"/>
      <c r="YC113" s="115"/>
      <c r="YD113" s="115"/>
      <c r="YE113" s="115"/>
      <c r="YF113" s="115"/>
      <c r="YG113" s="115"/>
      <c r="YH113" s="115"/>
      <c r="YI113" s="115"/>
      <c r="YJ113" s="115"/>
      <c r="YK113" s="115"/>
      <c r="YL113" s="115"/>
      <c r="YM113" s="115"/>
      <c r="YN113" s="115"/>
      <c r="YO113" s="115"/>
      <c r="YP113" s="115"/>
      <c r="YQ113" s="115"/>
      <c r="YX113" s="22">
        <v>224</v>
      </c>
      <c r="YY113" s="22">
        <f>VLOOKUP(B113,'SCAFFOLDING MATERIAL OVERALL'!B115:S297,18,FALSE)</f>
        <v>9.3000000000000007</v>
      </c>
      <c r="YZ113" s="22">
        <f t="shared" si="1"/>
        <v>2083.2000000000003</v>
      </c>
    </row>
    <row r="114" spans="1:676" s="22" customFormat="1" x14ac:dyDescent="0.25">
      <c r="A114" s="17">
        <v>110</v>
      </c>
      <c r="B114" s="15">
        <v>3000000312</v>
      </c>
      <c r="C114" s="16" t="s">
        <v>123</v>
      </c>
      <c r="D114" s="44" t="s">
        <v>12</v>
      </c>
      <c r="CC114" s="22">
        <v>4</v>
      </c>
      <c r="MO114" s="22">
        <v>61</v>
      </c>
      <c r="OZ114" s="115"/>
      <c r="PA114" s="115"/>
      <c r="PB114" s="115"/>
      <c r="PC114" s="115"/>
      <c r="PD114" s="115"/>
      <c r="PE114" s="115"/>
      <c r="PF114" s="115"/>
      <c r="PG114" s="115"/>
      <c r="PH114" s="115"/>
      <c r="PI114" s="115"/>
      <c r="PJ114" s="115"/>
      <c r="PK114" s="115"/>
      <c r="PL114" s="115"/>
      <c r="PM114" s="115"/>
      <c r="PN114" s="115"/>
      <c r="PO114" s="115"/>
      <c r="PP114" s="115"/>
      <c r="PQ114" s="115"/>
      <c r="PR114" s="115"/>
      <c r="PS114" s="115"/>
      <c r="PT114" s="115"/>
      <c r="PU114" s="115"/>
      <c r="PV114" s="115"/>
      <c r="PW114" s="115"/>
      <c r="PX114" s="115"/>
      <c r="PY114" s="115"/>
      <c r="PZ114" s="115"/>
      <c r="QA114" s="115"/>
      <c r="QB114" s="115"/>
      <c r="QC114" s="115"/>
      <c r="QD114" s="115"/>
      <c r="QE114" s="115"/>
      <c r="QF114" s="115"/>
      <c r="QG114" s="115"/>
      <c r="QH114" s="115"/>
      <c r="QI114" s="115"/>
      <c r="QJ114" s="115"/>
      <c r="QK114" s="115"/>
      <c r="QL114" s="115"/>
      <c r="QM114" s="115"/>
      <c r="QN114" s="115"/>
      <c r="QO114" s="115"/>
      <c r="QP114" s="115"/>
      <c r="QQ114" s="115"/>
      <c r="QR114" s="115"/>
      <c r="QS114" s="115"/>
      <c r="QT114" s="115"/>
      <c r="QU114" s="115"/>
      <c r="QV114" s="115"/>
      <c r="QW114" s="115"/>
      <c r="QX114" s="115"/>
      <c r="QY114" s="115"/>
      <c r="QZ114" s="115"/>
      <c r="RA114" s="115"/>
      <c r="RB114" s="115"/>
      <c r="RC114" s="115"/>
      <c r="RD114" s="115"/>
      <c r="RE114" s="115"/>
      <c r="RF114" s="115"/>
      <c r="RG114" s="115"/>
      <c r="RH114" s="115"/>
      <c r="RI114" s="115"/>
      <c r="RJ114" s="115"/>
      <c r="RK114" s="115"/>
      <c r="RL114" s="115"/>
      <c r="RM114" s="115"/>
      <c r="RN114" s="115"/>
      <c r="RO114" s="115"/>
      <c r="RP114" s="115"/>
      <c r="RQ114" s="115"/>
      <c r="RR114" s="115"/>
      <c r="RS114" s="115"/>
      <c r="RT114" s="115"/>
      <c r="RU114" s="115"/>
      <c r="RV114" s="115"/>
      <c r="RW114" s="115"/>
      <c r="RX114" s="115"/>
      <c r="RY114" s="115"/>
      <c r="RZ114" s="115"/>
      <c r="SA114" s="115"/>
      <c r="SB114" s="115"/>
      <c r="SC114" s="115"/>
      <c r="SD114" s="115"/>
      <c r="SE114" s="115"/>
      <c r="SF114" s="115"/>
      <c r="SG114" s="115"/>
      <c r="SH114" s="115"/>
      <c r="SI114" s="115"/>
      <c r="SJ114" s="115"/>
      <c r="SK114" s="115"/>
      <c r="SL114" s="115"/>
      <c r="SM114" s="115"/>
      <c r="SN114" s="115"/>
      <c r="SO114" s="115"/>
      <c r="SP114" s="115"/>
      <c r="SQ114" s="115"/>
      <c r="SR114" s="115"/>
      <c r="SS114" s="115"/>
      <c r="ST114" s="115"/>
      <c r="SU114" s="115"/>
      <c r="SV114" s="115"/>
      <c r="SW114" s="115"/>
      <c r="SX114" s="115"/>
      <c r="SY114" s="115"/>
      <c r="SZ114" s="115"/>
      <c r="TA114" s="115"/>
      <c r="TB114" s="115">
        <v>100</v>
      </c>
      <c r="TC114" s="115"/>
      <c r="TD114" s="115"/>
      <c r="TE114" s="115"/>
      <c r="TF114" s="115"/>
      <c r="TG114" s="115">
        <v>94</v>
      </c>
      <c r="TH114" s="115">
        <v>200</v>
      </c>
      <c r="TI114" s="115"/>
      <c r="TJ114" s="115"/>
      <c r="TK114" s="115">
        <v>100</v>
      </c>
      <c r="TL114" s="115"/>
      <c r="TM114" s="115"/>
      <c r="TN114" s="115"/>
      <c r="TO114" s="115"/>
      <c r="TP114" s="115"/>
      <c r="TQ114" s="115"/>
      <c r="TR114" s="115"/>
      <c r="TS114" s="115"/>
      <c r="TT114" s="115"/>
      <c r="TU114" s="115"/>
      <c r="TV114" s="115"/>
      <c r="TW114" s="115"/>
      <c r="TX114" s="115"/>
      <c r="TY114" s="115"/>
      <c r="TZ114" s="115"/>
      <c r="UA114" s="115"/>
      <c r="UB114" s="115"/>
      <c r="UC114" s="115"/>
      <c r="UD114" s="115"/>
      <c r="UE114" s="115"/>
      <c r="UF114" s="115"/>
      <c r="UG114" s="115"/>
      <c r="UH114" s="115"/>
      <c r="UI114" s="115"/>
      <c r="UJ114" s="115"/>
      <c r="UK114" s="115"/>
      <c r="UL114" s="115"/>
      <c r="UM114" s="115"/>
      <c r="UN114" s="115"/>
      <c r="UO114" s="115"/>
      <c r="UP114" s="115"/>
      <c r="UQ114" s="115"/>
      <c r="UR114" s="115"/>
      <c r="US114" s="115"/>
      <c r="UT114" s="115"/>
      <c r="UU114" s="115"/>
      <c r="UV114" s="115"/>
      <c r="UW114" s="115"/>
      <c r="UX114" s="115"/>
      <c r="UY114" s="115"/>
      <c r="UZ114" s="115"/>
      <c r="VA114" s="115"/>
      <c r="VB114" s="115"/>
      <c r="VC114" s="115"/>
      <c r="VD114" s="115"/>
      <c r="VE114" s="115"/>
      <c r="VF114" s="115"/>
      <c r="VG114" s="115"/>
      <c r="VH114" s="115"/>
      <c r="VI114" s="115"/>
      <c r="VJ114" s="115"/>
      <c r="VK114" s="115"/>
      <c r="VL114" s="115"/>
      <c r="VM114" s="115"/>
      <c r="VN114" s="115"/>
      <c r="VO114" s="115"/>
      <c r="VP114" s="115"/>
      <c r="VQ114" s="115"/>
      <c r="VR114" s="115"/>
      <c r="VS114" s="115"/>
      <c r="VT114" s="115"/>
      <c r="VU114" s="115"/>
      <c r="VV114" s="115"/>
      <c r="VW114" s="115"/>
      <c r="VX114" s="115"/>
      <c r="VY114" s="115"/>
      <c r="VZ114" s="115"/>
      <c r="WA114" s="115"/>
      <c r="WB114" s="115"/>
      <c r="WC114" s="115"/>
      <c r="WD114" s="115"/>
      <c r="WE114" s="115"/>
      <c r="WF114" s="115"/>
      <c r="WG114" s="115"/>
      <c r="WH114" s="115"/>
      <c r="WI114" s="115"/>
      <c r="WJ114" s="115"/>
      <c r="WK114" s="115"/>
      <c r="WL114" s="115"/>
      <c r="WM114" s="115"/>
      <c r="WN114" s="115"/>
      <c r="WO114" s="115"/>
      <c r="WP114" s="115"/>
      <c r="WQ114" s="115"/>
      <c r="WR114" s="115"/>
      <c r="WS114" s="115"/>
      <c r="WT114" s="115"/>
      <c r="WU114" s="115"/>
      <c r="WV114" s="115"/>
      <c r="WW114" s="115"/>
      <c r="WX114" s="115"/>
      <c r="WY114" s="115"/>
      <c r="WZ114" s="115"/>
      <c r="XA114" s="115"/>
      <c r="XB114" s="115"/>
      <c r="XC114" s="115"/>
      <c r="XD114" s="115"/>
      <c r="XE114" s="115"/>
      <c r="XF114" s="115"/>
      <c r="XG114" s="115"/>
      <c r="XH114" s="115"/>
      <c r="XI114" s="115"/>
      <c r="XJ114" s="115"/>
      <c r="XK114" s="115"/>
      <c r="XL114" s="115"/>
      <c r="XM114" s="115"/>
      <c r="XN114" s="115"/>
      <c r="XO114" s="115"/>
      <c r="XP114" s="115"/>
      <c r="XQ114" s="115"/>
      <c r="XR114" s="115"/>
      <c r="XS114" s="115"/>
      <c r="XT114" s="115"/>
      <c r="XU114" s="115"/>
      <c r="XV114" s="115"/>
      <c r="XW114" s="115"/>
      <c r="XX114" s="115"/>
      <c r="XY114" s="115"/>
      <c r="XZ114" s="115"/>
      <c r="YA114" s="115"/>
      <c r="YB114" s="115"/>
      <c r="YC114" s="115"/>
      <c r="YD114" s="115"/>
      <c r="YE114" s="115"/>
      <c r="YF114" s="115"/>
      <c r="YG114" s="115"/>
      <c r="YH114" s="115"/>
      <c r="YI114" s="115"/>
      <c r="YJ114" s="115"/>
      <c r="YK114" s="115"/>
      <c r="YL114" s="115"/>
      <c r="YM114" s="115"/>
      <c r="YN114" s="115"/>
      <c r="YO114" s="115"/>
      <c r="YP114" s="115"/>
      <c r="YQ114" s="115"/>
      <c r="YX114" s="22">
        <v>559</v>
      </c>
      <c r="YY114" s="22">
        <f>VLOOKUP(B114,'SCAFFOLDING MATERIAL OVERALL'!B116:S298,18,FALSE)</f>
        <v>4.5599999999999996</v>
      </c>
      <c r="YZ114" s="22">
        <f t="shared" si="1"/>
        <v>2549.04</v>
      </c>
    </row>
    <row r="115" spans="1:676" s="22" customFormat="1" x14ac:dyDescent="0.25">
      <c r="A115" s="14">
        <v>111</v>
      </c>
      <c r="B115" s="15">
        <v>3000000313</v>
      </c>
      <c r="C115" s="16" t="s">
        <v>124</v>
      </c>
      <c r="D115" s="44" t="s">
        <v>12</v>
      </c>
      <c r="OZ115" s="115"/>
      <c r="PA115" s="115"/>
      <c r="PB115" s="115"/>
      <c r="PC115" s="115"/>
      <c r="PD115" s="115"/>
      <c r="PE115" s="115"/>
      <c r="PF115" s="115"/>
      <c r="PG115" s="115"/>
      <c r="PH115" s="115"/>
      <c r="PI115" s="115"/>
      <c r="PJ115" s="115"/>
      <c r="PK115" s="115"/>
      <c r="PL115" s="115"/>
      <c r="PM115" s="115"/>
      <c r="PN115" s="115"/>
      <c r="PO115" s="115"/>
      <c r="PP115" s="115"/>
      <c r="PQ115" s="115"/>
      <c r="PR115" s="115"/>
      <c r="PS115" s="115"/>
      <c r="PT115" s="115"/>
      <c r="PU115" s="115"/>
      <c r="PV115" s="115"/>
      <c r="PW115" s="115"/>
      <c r="PX115" s="115"/>
      <c r="PY115" s="115"/>
      <c r="PZ115" s="115"/>
      <c r="QA115" s="115"/>
      <c r="QB115" s="115"/>
      <c r="QC115" s="115"/>
      <c r="QD115" s="115"/>
      <c r="QE115" s="115"/>
      <c r="QF115" s="115"/>
      <c r="QG115" s="115"/>
      <c r="QH115" s="115"/>
      <c r="QI115" s="115"/>
      <c r="QJ115" s="115"/>
      <c r="QK115" s="115"/>
      <c r="QL115" s="115"/>
      <c r="QM115" s="115"/>
      <c r="QN115" s="115"/>
      <c r="QO115" s="115"/>
      <c r="QP115" s="115"/>
      <c r="QQ115" s="115"/>
      <c r="QR115" s="115"/>
      <c r="QS115" s="115"/>
      <c r="QT115" s="115"/>
      <c r="QU115" s="115"/>
      <c r="QV115" s="115"/>
      <c r="QW115" s="115"/>
      <c r="QX115" s="115"/>
      <c r="QY115" s="115"/>
      <c r="QZ115" s="115"/>
      <c r="RA115" s="115"/>
      <c r="RB115" s="115"/>
      <c r="RC115" s="115"/>
      <c r="RD115" s="115"/>
      <c r="RE115" s="115"/>
      <c r="RF115" s="115"/>
      <c r="RG115" s="115"/>
      <c r="RH115" s="115"/>
      <c r="RI115" s="115"/>
      <c r="RJ115" s="115"/>
      <c r="RK115" s="115"/>
      <c r="RL115" s="115"/>
      <c r="RM115" s="115"/>
      <c r="RN115" s="115"/>
      <c r="RO115" s="115"/>
      <c r="RP115" s="115"/>
      <c r="RQ115" s="115"/>
      <c r="RR115" s="115"/>
      <c r="RS115" s="115"/>
      <c r="RT115" s="115"/>
      <c r="RU115" s="115"/>
      <c r="RV115" s="115"/>
      <c r="RW115" s="115"/>
      <c r="RX115" s="115"/>
      <c r="RY115" s="115"/>
      <c r="RZ115" s="115"/>
      <c r="SA115" s="115"/>
      <c r="SB115" s="115"/>
      <c r="SC115" s="115"/>
      <c r="SD115" s="115"/>
      <c r="SE115" s="115"/>
      <c r="SF115" s="115"/>
      <c r="SG115" s="115"/>
      <c r="SH115" s="115"/>
      <c r="SI115" s="115"/>
      <c r="SJ115" s="115"/>
      <c r="SK115" s="115"/>
      <c r="SL115" s="115"/>
      <c r="SM115" s="115"/>
      <c r="SN115" s="115"/>
      <c r="SO115" s="115"/>
      <c r="SP115" s="115"/>
      <c r="SQ115" s="115"/>
      <c r="SR115" s="115"/>
      <c r="SS115" s="115"/>
      <c r="ST115" s="115"/>
      <c r="SU115" s="115"/>
      <c r="SV115" s="115"/>
      <c r="SW115" s="115"/>
      <c r="SX115" s="115"/>
      <c r="SY115" s="115"/>
      <c r="SZ115" s="115"/>
      <c r="TA115" s="115"/>
      <c r="TB115" s="115">
        <v>52</v>
      </c>
      <c r="TC115" s="115"/>
      <c r="TD115" s="115"/>
      <c r="TE115" s="115"/>
      <c r="TF115" s="115"/>
      <c r="TG115" s="115"/>
      <c r="TH115" s="115"/>
      <c r="TI115" s="115"/>
      <c r="TJ115" s="115"/>
      <c r="TK115" s="115"/>
      <c r="TL115" s="115">
        <v>500</v>
      </c>
      <c r="TM115" s="115"/>
      <c r="TN115" s="115"/>
      <c r="TO115" s="115"/>
      <c r="TP115" s="115"/>
      <c r="TQ115" s="115"/>
      <c r="TR115" s="115"/>
      <c r="TS115" s="115"/>
      <c r="TT115" s="115"/>
      <c r="TU115" s="115"/>
      <c r="TV115" s="115"/>
      <c r="TW115" s="115"/>
      <c r="TX115" s="115"/>
      <c r="TY115" s="115"/>
      <c r="TZ115" s="115"/>
      <c r="UA115" s="115"/>
      <c r="UB115" s="115"/>
      <c r="UC115" s="115"/>
      <c r="UD115" s="115"/>
      <c r="UE115" s="115"/>
      <c r="UF115" s="115"/>
      <c r="UG115" s="115"/>
      <c r="UH115" s="115"/>
      <c r="UI115" s="115"/>
      <c r="UJ115" s="115"/>
      <c r="UK115" s="115"/>
      <c r="UL115" s="115"/>
      <c r="UM115" s="115"/>
      <c r="UN115" s="115"/>
      <c r="UO115" s="115"/>
      <c r="UP115" s="115"/>
      <c r="UQ115" s="115"/>
      <c r="UR115" s="115"/>
      <c r="US115" s="115"/>
      <c r="UT115" s="115"/>
      <c r="UU115" s="115"/>
      <c r="UV115" s="115"/>
      <c r="UW115" s="115"/>
      <c r="UX115" s="115"/>
      <c r="UY115" s="115"/>
      <c r="UZ115" s="115"/>
      <c r="VA115" s="115"/>
      <c r="VB115" s="115"/>
      <c r="VC115" s="115"/>
      <c r="VD115" s="115"/>
      <c r="VE115" s="115"/>
      <c r="VF115" s="115"/>
      <c r="VG115" s="115"/>
      <c r="VH115" s="115"/>
      <c r="VI115" s="115"/>
      <c r="VJ115" s="115"/>
      <c r="VK115" s="115"/>
      <c r="VL115" s="115"/>
      <c r="VM115" s="115"/>
      <c r="VN115" s="115"/>
      <c r="VO115" s="115"/>
      <c r="VP115" s="115"/>
      <c r="VQ115" s="115"/>
      <c r="VR115" s="115"/>
      <c r="VS115" s="115"/>
      <c r="VT115" s="115"/>
      <c r="VU115" s="115"/>
      <c r="VV115" s="115"/>
      <c r="VW115" s="115"/>
      <c r="VX115" s="115"/>
      <c r="VY115" s="115"/>
      <c r="VZ115" s="115"/>
      <c r="WA115" s="115"/>
      <c r="WB115" s="115"/>
      <c r="WC115" s="115"/>
      <c r="WD115" s="115"/>
      <c r="WE115" s="115"/>
      <c r="WF115" s="115"/>
      <c r="WG115" s="115"/>
      <c r="WH115" s="115"/>
      <c r="WI115" s="115"/>
      <c r="WJ115" s="115"/>
      <c r="WK115" s="115"/>
      <c r="WL115" s="115"/>
      <c r="WM115" s="115"/>
      <c r="WN115" s="115"/>
      <c r="WO115" s="115"/>
      <c r="WP115" s="115"/>
      <c r="WQ115" s="115"/>
      <c r="WR115" s="115"/>
      <c r="WS115" s="115"/>
      <c r="WT115" s="115"/>
      <c r="WU115" s="115"/>
      <c r="WV115" s="115"/>
      <c r="WW115" s="115"/>
      <c r="WX115" s="115"/>
      <c r="WY115" s="115"/>
      <c r="WZ115" s="115"/>
      <c r="XA115" s="115"/>
      <c r="XB115" s="115"/>
      <c r="XC115" s="115"/>
      <c r="XD115" s="115"/>
      <c r="XE115" s="115"/>
      <c r="XF115" s="115"/>
      <c r="XG115" s="115"/>
      <c r="XH115" s="115"/>
      <c r="XI115" s="115"/>
      <c r="XJ115" s="115"/>
      <c r="XK115" s="115"/>
      <c r="XL115" s="115"/>
      <c r="XM115" s="115"/>
      <c r="XN115" s="115"/>
      <c r="XO115" s="115"/>
      <c r="XP115" s="115"/>
      <c r="XQ115" s="115"/>
      <c r="XR115" s="115"/>
      <c r="XS115" s="115"/>
      <c r="XT115" s="115"/>
      <c r="XU115" s="115"/>
      <c r="XV115" s="115"/>
      <c r="XW115" s="115"/>
      <c r="XX115" s="115"/>
      <c r="XY115" s="115"/>
      <c r="XZ115" s="115"/>
      <c r="YA115" s="115"/>
      <c r="YB115" s="115"/>
      <c r="YC115" s="115"/>
      <c r="YD115" s="115"/>
      <c r="YE115" s="115"/>
      <c r="YF115" s="115"/>
      <c r="YG115" s="115"/>
      <c r="YH115" s="115"/>
      <c r="YI115" s="115"/>
      <c r="YJ115" s="115"/>
      <c r="YK115" s="115"/>
      <c r="YL115" s="115"/>
      <c r="YM115" s="115"/>
      <c r="YN115" s="115"/>
      <c r="YO115" s="115"/>
      <c r="YP115" s="115"/>
      <c r="YQ115" s="115"/>
      <c r="YX115" s="22">
        <v>552</v>
      </c>
      <c r="YY115" s="22">
        <f>VLOOKUP(B115,'SCAFFOLDING MATERIAL OVERALL'!B117:S299,18,FALSE)</f>
        <v>6.2149999999999999</v>
      </c>
      <c r="YZ115" s="22">
        <f t="shared" si="1"/>
        <v>3430.68</v>
      </c>
    </row>
    <row r="116" spans="1:676" s="22" customFormat="1" x14ac:dyDescent="0.25">
      <c r="A116" s="14">
        <v>112</v>
      </c>
      <c r="B116" s="15">
        <v>3000000314</v>
      </c>
      <c r="C116" s="16" t="s">
        <v>125</v>
      </c>
      <c r="D116" s="44" t="s">
        <v>12</v>
      </c>
      <c r="BJ116" s="22">
        <v>8</v>
      </c>
      <c r="CC116" s="22">
        <v>4</v>
      </c>
      <c r="FB116" s="22">
        <v>100</v>
      </c>
      <c r="MJ116" s="22">
        <v>69</v>
      </c>
      <c r="MO116" s="22">
        <v>142</v>
      </c>
      <c r="OZ116" s="115"/>
      <c r="PA116" s="115"/>
      <c r="PB116" s="115"/>
      <c r="PC116" s="115"/>
      <c r="PD116" s="115"/>
      <c r="PE116" s="115"/>
      <c r="PF116" s="115"/>
      <c r="PG116" s="115"/>
      <c r="PH116" s="115"/>
      <c r="PI116" s="115"/>
      <c r="PJ116" s="115"/>
      <c r="PK116" s="115"/>
      <c r="PL116" s="115"/>
      <c r="PM116" s="115"/>
      <c r="PN116" s="115"/>
      <c r="PO116" s="115"/>
      <c r="PP116" s="115"/>
      <c r="PQ116" s="115"/>
      <c r="PR116" s="115"/>
      <c r="PS116" s="115"/>
      <c r="PT116" s="115"/>
      <c r="PU116" s="115"/>
      <c r="PV116" s="115"/>
      <c r="PW116" s="115"/>
      <c r="PX116" s="115"/>
      <c r="PY116" s="115"/>
      <c r="PZ116" s="115"/>
      <c r="QA116" s="115"/>
      <c r="QB116" s="115"/>
      <c r="QC116" s="115"/>
      <c r="QD116" s="115"/>
      <c r="QE116" s="115"/>
      <c r="QF116" s="115"/>
      <c r="QG116" s="115"/>
      <c r="QH116" s="115"/>
      <c r="QI116" s="115"/>
      <c r="QJ116" s="115"/>
      <c r="QK116" s="115"/>
      <c r="QL116" s="115"/>
      <c r="QM116" s="115"/>
      <c r="QN116" s="115"/>
      <c r="QO116" s="115"/>
      <c r="QP116" s="115"/>
      <c r="QQ116" s="115"/>
      <c r="QR116" s="115"/>
      <c r="QS116" s="115"/>
      <c r="QT116" s="115"/>
      <c r="QU116" s="115"/>
      <c r="QV116" s="115"/>
      <c r="QW116" s="115"/>
      <c r="QX116" s="115"/>
      <c r="QY116" s="115"/>
      <c r="QZ116" s="115"/>
      <c r="RA116" s="115"/>
      <c r="RB116" s="115"/>
      <c r="RC116" s="115"/>
      <c r="RD116" s="115"/>
      <c r="RE116" s="115"/>
      <c r="RF116" s="115"/>
      <c r="RG116" s="115"/>
      <c r="RH116" s="115"/>
      <c r="RI116" s="115"/>
      <c r="RJ116" s="115"/>
      <c r="RK116" s="115"/>
      <c r="RL116" s="115"/>
      <c r="RM116" s="115"/>
      <c r="RN116" s="115"/>
      <c r="RO116" s="115"/>
      <c r="RP116" s="115"/>
      <c r="RQ116" s="115"/>
      <c r="RR116" s="115"/>
      <c r="RS116" s="115"/>
      <c r="RT116" s="115"/>
      <c r="RU116" s="115"/>
      <c r="RV116" s="115"/>
      <c r="RW116" s="115"/>
      <c r="RX116" s="115"/>
      <c r="RY116" s="115"/>
      <c r="RZ116" s="115"/>
      <c r="SA116" s="115"/>
      <c r="SB116" s="115"/>
      <c r="SC116" s="115"/>
      <c r="SD116" s="115"/>
      <c r="SE116" s="115"/>
      <c r="SF116" s="115"/>
      <c r="SG116" s="115"/>
      <c r="SH116" s="115"/>
      <c r="SI116" s="115"/>
      <c r="SJ116" s="115"/>
      <c r="SK116" s="115"/>
      <c r="SL116" s="115"/>
      <c r="SM116" s="115"/>
      <c r="SN116" s="115"/>
      <c r="SO116" s="115"/>
      <c r="SP116" s="115"/>
      <c r="SQ116" s="115"/>
      <c r="SR116" s="115"/>
      <c r="SS116" s="115"/>
      <c r="ST116" s="115"/>
      <c r="SU116" s="115"/>
      <c r="SV116" s="115"/>
      <c r="SW116" s="115"/>
      <c r="SX116" s="115"/>
      <c r="SY116" s="115"/>
      <c r="SZ116" s="115"/>
      <c r="TA116" s="115"/>
      <c r="TB116" s="115"/>
      <c r="TC116" s="115"/>
      <c r="TD116" s="115"/>
      <c r="TE116" s="115"/>
      <c r="TF116" s="115"/>
      <c r="TG116" s="115"/>
      <c r="TH116" s="115">
        <v>168</v>
      </c>
      <c r="TI116" s="115"/>
      <c r="TJ116" s="115"/>
      <c r="TK116" s="115"/>
      <c r="TL116" s="115"/>
      <c r="TM116" s="115"/>
      <c r="TN116" s="115"/>
      <c r="TO116" s="115"/>
      <c r="TP116" s="115"/>
      <c r="TQ116" s="115"/>
      <c r="TR116" s="115"/>
      <c r="TS116" s="115"/>
      <c r="TT116" s="115"/>
      <c r="TU116" s="115"/>
      <c r="TV116" s="115"/>
      <c r="TW116" s="115"/>
      <c r="TX116" s="115"/>
      <c r="TY116" s="115"/>
      <c r="TZ116" s="115"/>
      <c r="UA116" s="115"/>
      <c r="UB116" s="115"/>
      <c r="UC116" s="115"/>
      <c r="UD116" s="115"/>
      <c r="UE116" s="115"/>
      <c r="UF116" s="115"/>
      <c r="UG116" s="115"/>
      <c r="UH116" s="115"/>
      <c r="UI116" s="115"/>
      <c r="UJ116" s="115"/>
      <c r="UK116" s="115"/>
      <c r="UL116" s="115"/>
      <c r="UM116" s="115"/>
      <c r="UN116" s="115"/>
      <c r="UO116" s="115"/>
      <c r="UP116" s="115"/>
      <c r="UQ116" s="115"/>
      <c r="UR116" s="115"/>
      <c r="US116" s="115"/>
      <c r="UT116" s="115"/>
      <c r="UU116" s="115"/>
      <c r="UV116" s="115"/>
      <c r="UW116" s="115"/>
      <c r="UX116" s="115"/>
      <c r="UY116" s="115"/>
      <c r="UZ116" s="115"/>
      <c r="VA116" s="115"/>
      <c r="VB116" s="115"/>
      <c r="VC116" s="115"/>
      <c r="VD116" s="115"/>
      <c r="VE116" s="115"/>
      <c r="VF116" s="115"/>
      <c r="VG116" s="115"/>
      <c r="VH116" s="115"/>
      <c r="VI116" s="115"/>
      <c r="VJ116" s="115"/>
      <c r="VK116" s="115"/>
      <c r="VL116" s="115"/>
      <c r="VM116" s="115"/>
      <c r="VN116" s="115"/>
      <c r="VO116" s="115"/>
      <c r="VP116" s="115"/>
      <c r="VQ116" s="115"/>
      <c r="VR116" s="115"/>
      <c r="VS116" s="115"/>
      <c r="VT116" s="115"/>
      <c r="VU116" s="115"/>
      <c r="VV116" s="115"/>
      <c r="VW116" s="115"/>
      <c r="VX116" s="115"/>
      <c r="VY116" s="115"/>
      <c r="VZ116" s="115"/>
      <c r="WA116" s="115"/>
      <c r="WB116" s="115"/>
      <c r="WC116" s="115"/>
      <c r="WD116" s="115"/>
      <c r="WE116" s="115"/>
      <c r="WF116" s="115"/>
      <c r="WG116" s="115"/>
      <c r="WH116" s="115"/>
      <c r="WI116" s="115"/>
      <c r="WJ116" s="115"/>
      <c r="WK116" s="115"/>
      <c r="WL116" s="115"/>
      <c r="WM116" s="115"/>
      <c r="WN116" s="115"/>
      <c r="WO116" s="115"/>
      <c r="WP116" s="115"/>
      <c r="WQ116" s="115"/>
      <c r="WR116" s="115"/>
      <c r="WS116" s="115"/>
      <c r="WT116" s="115"/>
      <c r="WU116" s="115"/>
      <c r="WV116" s="115"/>
      <c r="WW116" s="115"/>
      <c r="WX116" s="115"/>
      <c r="WY116" s="115"/>
      <c r="WZ116" s="115"/>
      <c r="XA116" s="115"/>
      <c r="XB116" s="115"/>
      <c r="XC116" s="115"/>
      <c r="XD116" s="115"/>
      <c r="XE116" s="115"/>
      <c r="XF116" s="115"/>
      <c r="XG116" s="115"/>
      <c r="XH116" s="115"/>
      <c r="XI116" s="115"/>
      <c r="XJ116" s="115"/>
      <c r="XK116" s="115"/>
      <c r="XL116" s="115"/>
      <c r="XM116" s="115"/>
      <c r="XN116" s="115"/>
      <c r="XO116" s="115"/>
      <c r="XP116" s="115"/>
      <c r="XQ116" s="115"/>
      <c r="XR116" s="115"/>
      <c r="XS116" s="115"/>
      <c r="XT116" s="115"/>
      <c r="XU116" s="115"/>
      <c r="XV116" s="115"/>
      <c r="XW116" s="115"/>
      <c r="XX116" s="115"/>
      <c r="XY116" s="115"/>
      <c r="XZ116" s="115"/>
      <c r="YA116" s="115"/>
      <c r="YB116" s="115"/>
      <c r="YC116" s="115"/>
      <c r="YD116" s="115"/>
      <c r="YE116" s="115"/>
      <c r="YF116" s="115"/>
      <c r="YG116" s="115"/>
      <c r="YH116" s="115"/>
      <c r="YI116" s="115"/>
      <c r="YJ116" s="115"/>
      <c r="YK116" s="115"/>
      <c r="YL116" s="115"/>
      <c r="YM116" s="115"/>
      <c r="YN116" s="115"/>
      <c r="YO116" s="115"/>
      <c r="YP116" s="115"/>
      <c r="YQ116" s="115"/>
      <c r="YX116" s="22">
        <v>491</v>
      </c>
      <c r="YY116" s="22">
        <f>VLOOKUP(B116,'SCAFFOLDING MATERIAL OVERALL'!B118:S300,18,FALSE)</f>
        <v>6.64</v>
      </c>
      <c r="YZ116" s="22">
        <f t="shared" si="1"/>
        <v>3260.24</v>
      </c>
    </row>
    <row r="117" spans="1:676" s="22" customFormat="1" x14ac:dyDescent="0.25">
      <c r="A117" s="17">
        <v>113</v>
      </c>
      <c r="B117" s="15">
        <v>3000000315</v>
      </c>
      <c r="C117" s="16" t="s">
        <v>126</v>
      </c>
      <c r="D117" s="44" t="s">
        <v>12</v>
      </c>
      <c r="OZ117" s="115"/>
      <c r="PA117" s="115"/>
      <c r="PB117" s="115"/>
      <c r="PC117" s="115"/>
      <c r="PD117" s="115"/>
      <c r="PE117" s="115"/>
      <c r="PF117" s="115"/>
      <c r="PG117" s="115"/>
      <c r="PH117" s="115"/>
      <c r="PI117" s="115"/>
      <c r="PJ117" s="115"/>
      <c r="PK117" s="115"/>
      <c r="PL117" s="115"/>
      <c r="PM117" s="115"/>
      <c r="PN117" s="115"/>
      <c r="PO117" s="115"/>
      <c r="PP117" s="115"/>
      <c r="PQ117" s="115"/>
      <c r="PR117" s="115"/>
      <c r="PS117" s="115"/>
      <c r="PT117" s="115"/>
      <c r="PU117" s="115"/>
      <c r="PV117" s="115"/>
      <c r="PW117" s="115"/>
      <c r="PX117" s="115"/>
      <c r="PY117" s="115"/>
      <c r="PZ117" s="115"/>
      <c r="QA117" s="115"/>
      <c r="QB117" s="115"/>
      <c r="QC117" s="115"/>
      <c r="QD117" s="115"/>
      <c r="QE117" s="115"/>
      <c r="QF117" s="115"/>
      <c r="QG117" s="115"/>
      <c r="QH117" s="115"/>
      <c r="QI117" s="115"/>
      <c r="QJ117" s="115"/>
      <c r="QK117" s="115"/>
      <c r="QL117" s="115"/>
      <c r="QM117" s="115"/>
      <c r="QN117" s="115"/>
      <c r="QO117" s="115"/>
      <c r="QP117" s="115"/>
      <c r="QQ117" s="115"/>
      <c r="QR117" s="115"/>
      <c r="QS117" s="115"/>
      <c r="QT117" s="115"/>
      <c r="QU117" s="115"/>
      <c r="QV117" s="115"/>
      <c r="QW117" s="115"/>
      <c r="QX117" s="115"/>
      <c r="QY117" s="115"/>
      <c r="QZ117" s="115"/>
      <c r="RA117" s="115"/>
      <c r="RB117" s="115"/>
      <c r="RC117" s="115"/>
      <c r="RD117" s="115"/>
      <c r="RE117" s="115"/>
      <c r="RF117" s="115"/>
      <c r="RG117" s="115"/>
      <c r="RH117" s="115"/>
      <c r="RI117" s="115"/>
      <c r="RJ117" s="115"/>
      <c r="RK117" s="115"/>
      <c r="RL117" s="115"/>
      <c r="RM117" s="115"/>
      <c r="RN117" s="115"/>
      <c r="RO117" s="115"/>
      <c r="RP117" s="115"/>
      <c r="RQ117" s="115"/>
      <c r="RR117" s="115"/>
      <c r="RS117" s="115"/>
      <c r="RT117" s="115"/>
      <c r="RU117" s="115"/>
      <c r="RV117" s="115"/>
      <c r="RW117" s="115"/>
      <c r="RX117" s="115"/>
      <c r="RY117" s="115"/>
      <c r="RZ117" s="115"/>
      <c r="SA117" s="115"/>
      <c r="SB117" s="115"/>
      <c r="SC117" s="115"/>
      <c r="SD117" s="115"/>
      <c r="SE117" s="115"/>
      <c r="SF117" s="115"/>
      <c r="SG117" s="115"/>
      <c r="SH117" s="115"/>
      <c r="SI117" s="115"/>
      <c r="SJ117" s="115"/>
      <c r="SK117" s="115"/>
      <c r="SL117" s="115"/>
      <c r="SM117" s="115"/>
      <c r="SN117" s="115"/>
      <c r="SO117" s="115"/>
      <c r="SP117" s="115"/>
      <c r="SQ117" s="115"/>
      <c r="SR117" s="115"/>
      <c r="SS117" s="115"/>
      <c r="ST117" s="115"/>
      <c r="SU117" s="115"/>
      <c r="SV117" s="115"/>
      <c r="SW117" s="115"/>
      <c r="SX117" s="115"/>
      <c r="SY117" s="115"/>
      <c r="SZ117" s="115"/>
      <c r="TA117" s="115"/>
      <c r="TB117" s="115">
        <v>25</v>
      </c>
      <c r="TC117" s="115"/>
      <c r="TD117" s="115"/>
      <c r="TE117" s="115"/>
      <c r="TF117" s="115"/>
      <c r="TG117" s="115"/>
      <c r="TH117" s="115"/>
      <c r="TI117" s="115"/>
      <c r="TJ117" s="115"/>
      <c r="TK117" s="115"/>
      <c r="TL117" s="115"/>
      <c r="TM117" s="115"/>
      <c r="TN117" s="115"/>
      <c r="TO117" s="115"/>
      <c r="TP117" s="115"/>
      <c r="TQ117" s="115"/>
      <c r="TR117" s="115"/>
      <c r="TS117" s="115"/>
      <c r="TT117" s="115"/>
      <c r="TU117" s="115"/>
      <c r="TV117" s="115"/>
      <c r="TW117" s="115"/>
      <c r="TX117" s="115"/>
      <c r="TY117" s="115"/>
      <c r="TZ117" s="115"/>
      <c r="UA117" s="115"/>
      <c r="UB117" s="115"/>
      <c r="UC117" s="115"/>
      <c r="UD117" s="115"/>
      <c r="UE117" s="115"/>
      <c r="UF117" s="115"/>
      <c r="UG117" s="115"/>
      <c r="UH117" s="115"/>
      <c r="UI117" s="115"/>
      <c r="UJ117" s="115"/>
      <c r="UK117" s="115"/>
      <c r="UL117" s="115"/>
      <c r="UM117" s="115"/>
      <c r="UN117" s="115"/>
      <c r="UO117" s="115"/>
      <c r="UP117" s="115"/>
      <c r="UQ117" s="115"/>
      <c r="UR117" s="115"/>
      <c r="US117" s="115"/>
      <c r="UT117" s="115"/>
      <c r="UU117" s="115"/>
      <c r="UV117" s="115"/>
      <c r="UW117" s="115"/>
      <c r="UX117" s="115"/>
      <c r="UY117" s="115"/>
      <c r="UZ117" s="115"/>
      <c r="VA117" s="115"/>
      <c r="VB117" s="115"/>
      <c r="VC117" s="115"/>
      <c r="VD117" s="115"/>
      <c r="VE117" s="115"/>
      <c r="VF117" s="115"/>
      <c r="VG117" s="115"/>
      <c r="VH117" s="115"/>
      <c r="VI117" s="115"/>
      <c r="VJ117" s="115"/>
      <c r="VK117" s="115"/>
      <c r="VL117" s="115"/>
      <c r="VM117" s="115"/>
      <c r="VN117" s="115"/>
      <c r="VO117" s="115"/>
      <c r="VP117" s="115"/>
      <c r="VQ117" s="115"/>
      <c r="VR117" s="115"/>
      <c r="VS117" s="115"/>
      <c r="VT117" s="115"/>
      <c r="VU117" s="115"/>
      <c r="VV117" s="115"/>
      <c r="VW117" s="115"/>
      <c r="VX117" s="115"/>
      <c r="VY117" s="115"/>
      <c r="VZ117" s="115"/>
      <c r="WA117" s="115"/>
      <c r="WB117" s="115"/>
      <c r="WC117" s="115"/>
      <c r="WD117" s="115"/>
      <c r="WE117" s="115"/>
      <c r="WF117" s="115"/>
      <c r="WG117" s="115"/>
      <c r="WH117" s="115"/>
      <c r="WI117" s="115"/>
      <c r="WJ117" s="115"/>
      <c r="WK117" s="115"/>
      <c r="WL117" s="115"/>
      <c r="WM117" s="115"/>
      <c r="WN117" s="115"/>
      <c r="WO117" s="115"/>
      <c r="WP117" s="115"/>
      <c r="WQ117" s="115"/>
      <c r="WR117" s="115"/>
      <c r="WS117" s="115"/>
      <c r="WT117" s="115"/>
      <c r="WU117" s="115"/>
      <c r="WV117" s="115"/>
      <c r="WW117" s="115"/>
      <c r="WX117" s="115"/>
      <c r="WY117" s="115"/>
      <c r="WZ117" s="115"/>
      <c r="XA117" s="115"/>
      <c r="XB117" s="115"/>
      <c r="XC117" s="115"/>
      <c r="XD117" s="115"/>
      <c r="XE117" s="115"/>
      <c r="XF117" s="115"/>
      <c r="XG117" s="115"/>
      <c r="XH117" s="115"/>
      <c r="XI117" s="115"/>
      <c r="XJ117" s="115"/>
      <c r="XK117" s="115"/>
      <c r="XL117" s="115"/>
      <c r="XM117" s="115"/>
      <c r="XN117" s="115"/>
      <c r="XO117" s="115"/>
      <c r="XP117" s="115"/>
      <c r="XQ117" s="115"/>
      <c r="XR117" s="115"/>
      <c r="XS117" s="115"/>
      <c r="XT117" s="115"/>
      <c r="XU117" s="115"/>
      <c r="XV117" s="115"/>
      <c r="XW117" s="115"/>
      <c r="XX117" s="115"/>
      <c r="XY117" s="115"/>
      <c r="XZ117" s="115"/>
      <c r="YA117" s="115"/>
      <c r="YB117" s="115"/>
      <c r="YC117" s="115"/>
      <c r="YD117" s="115"/>
      <c r="YE117" s="115"/>
      <c r="YF117" s="115"/>
      <c r="YG117" s="115"/>
      <c r="YH117" s="115"/>
      <c r="YI117" s="115"/>
      <c r="YJ117" s="115"/>
      <c r="YK117" s="115"/>
      <c r="YL117" s="115"/>
      <c r="YM117" s="115"/>
      <c r="YN117" s="115"/>
      <c r="YO117" s="115"/>
      <c r="YP117" s="115"/>
      <c r="YQ117" s="115"/>
      <c r="YX117" s="22">
        <v>25</v>
      </c>
      <c r="YY117" s="22">
        <f>VLOOKUP(B117,'SCAFFOLDING MATERIAL OVERALL'!B119:S301,18,FALSE)</f>
        <v>9.125</v>
      </c>
      <c r="YZ117" s="22">
        <f t="shared" si="1"/>
        <v>228.125</v>
      </c>
    </row>
    <row r="118" spans="1:676" s="22" customFormat="1" x14ac:dyDescent="0.25">
      <c r="A118" s="14">
        <v>114</v>
      </c>
      <c r="B118" s="15">
        <v>3000000317</v>
      </c>
      <c r="C118" s="16" t="s">
        <v>127</v>
      </c>
      <c r="D118" s="44" t="s">
        <v>12</v>
      </c>
      <c r="OZ118" s="115"/>
      <c r="PA118" s="115"/>
      <c r="PB118" s="115"/>
      <c r="PC118" s="115"/>
      <c r="PD118" s="115"/>
      <c r="PE118" s="115"/>
      <c r="PF118" s="115"/>
      <c r="PG118" s="115"/>
      <c r="PH118" s="115"/>
      <c r="PI118" s="115"/>
      <c r="PJ118" s="115"/>
      <c r="PK118" s="115"/>
      <c r="PL118" s="115"/>
      <c r="PM118" s="115"/>
      <c r="PN118" s="115"/>
      <c r="PO118" s="115"/>
      <c r="PP118" s="115"/>
      <c r="PQ118" s="115"/>
      <c r="PR118" s="115"/>
      <c r="PS118" s="115"/>
      <c r="PT118" s="115"/>
      <c r="PU118" s="115"/>
      <c r="PV118" s="115"/>
      <c r="PW118" s="115"/>
      <c r="PX118" s="115"/>
      <c r="PY118" s="115"/>
      <c r="PZ118" s="115"/>
      <c r="QA118" s="115"/>
      <c r="QB118" s="115"/>
      <c r="QC118" s="115"/>
      <c r="QD118" s="115"/>
      <c r="QE118" s="115"/>
      <c r="QF118" s="115"/>
      <c r="QG118" s="115"/>
      <c r="QH118" s="115"/>
      <c r="QI118" s="115"/>
      <c r="QJ118" s="115"/>
      <c r="QK118" s="115"/>
      <c r="QL118" s="115"/>
      <c r="QM118" s="115"/>
      <c r="QN118" s="115"/>
      <c r="QO118" s="115"/>
      <c r="QP118" s="115"/>
      <c r="QQ118" s="115"/>
      <c r="QR118" s="115"/>
      <c r="QS118" s="115"/>
      <c r="QT118" s="115"/>
      <c r="QU118" s="115"/>
      <c r="QV118" s="115"/>
      <c r="QW118" s="115"/>
      <c r="QX118" s="115"/>
      <c r="QY118" s="115"/>
      <c r="QZ118" s="115"/>
      <c r="RA118" s="115"/>
      <c r="RB118" s="115"/>
      <c r="RC118" s="115"/>
      <c r="RD118" s="115"/>
      <c r="RE118" s="115"/>
      <c r="RF118" s="115"/>
      <c r="RG118" s="115"/>
      <c r="RH118" s="115"/>
      <c r="RI118" s="115"/>
      <c r="RJ118" s="115"/>
      <c r="RK118" s="115"/>
      <c r="RL118" s="115"/>
      <c r="RM118" s="115"/>
      <c r="RN118" s="115"/>
      <c r="RO118" s="115"/>
      <c r="RP118" s="115"/>
      <c r="RQ118" s="115"/>
      <c r="RR118" s="115"/>
      <c r="RS118" s="115"/>
      <c r="RT118" s="115"/>
      <c r="RU118" s="115"/>
      <c r="RV118" s="115"/>
      <c r="RW118" s="115"/>
      <c r="RX118" s="115"/>
      <c r="RY118" s="115"/>
      <c r="RZ118" s="115"/>
      <c r="SA118" s="115"/>
      <c r="SB118" s="115"/>
      <c r="SC118" s="115"/>
      <c r="SD118" s="115"/>
      <c r="SE118" s="115"/>
      <c r="SF118" s="115"/>
      <c r="SG118" s="115"/>
      <c r="SH118" s="115"/>
      <c r="SI118" s="115"/>
      <c r="SJ118" s="115"/>
      <c r="SK118" s="115"/>
      <c r="SL118" s="115"/>
      <c r="SM118" s="115"/>
      <c r="SN118" s="115"/>
      <c r="SO118" s="115"/>
      <c r="SP118" s="115"/>
      <c r="SQ118" s="115"/>
      <c r="SR118" s="115"/>
      <c r="SS118" s="115"/>
      <c r="ST118" s="115"/>
      <c r="SU118" s="115"/>
      <c r="SV118" s="115"/>
      <c r="SW118" s="115"/>
      <c r="SX118" s="115"/>
      <c r="SY118" s="115"/>
      <c r="SZ118" s="115"/>
      <c r="TA118" s="115"/>
      <c r="TB118" s="115"/>
      <c r="TC118" s="115"/>
      <c r="TD118" s="115"/>
      <c r="TE118" s="115"/>
      <c r="TF118" s="115"/>
      <c r="TG118" s="115"/>
      <c r="TH118" s="115"/>
      <c r="TI118" s="115">
        <v>92</v>
      </c>
      <c r="TJ118" s="115"/>
      <c r="TK118" s="115"/>
      <c r="TL118" s="115"/>
      <c r="TM118" s="115"/>
      <c r="TN118" s="115"/>
      <c r="TO118" s="115"/>
      <c r="TP118" s="115"/>
      <c r="TQ118" s="115"/>
      <c r="TR118" s="115"/>
      <c r="TS118" s="115"/>
      <c r="TT118" s="115"/>
      <c r="TU118" s="115"/>
      <c r="TV118" s="115"/>
      <c r="TW118" s="115"/>
      <c r="TX118" s="115"/>
      <c r="TY118" s="115"/>
      <c r="TZ118" s="115"/>
      <c r="UA118" s="115"/>
      <c r="UB118" s="115"/>
      <c r="UC118" s="115"/>
      <c r="UD118" s="115"/>
      <c r="UE118" s="115"/>
      <c r="UF118" s="115"/>
      <c r="UG118" s="115"/>
      <c r="UH118" s="115"/>
      <c r="UI118" s="115"/>
      <c r="UJ118" s="115"/>
      <c r="UK118" s="115"/>
      <c r="UL118" s="115"/>
      <c r="UM118" s="115"/>
      <c r="UN118" s="115"/>
      <c r="UO118" s="115"/>
      <c r="UP118" s="115"/>
      <c r="UQ118" s="115"/>
      <c r="UR118" s="115"/>
      <c r="US118" s="115"/>
      <c r="UT118" s="115"/>
      <c r="UU118" s="115"/>
      <c r="UV118" s="115"/>
      <c r="UW118" s="115"/>
      <c r="UX118" s="115"/>
      <c r="UY118" s="115"/>
      <c r="UZ118" s="115"/>
      <c r="VA118" s="115"/>
      <c r="VB118" s="115"/>
      <c r="VC118" s="115"/>
      <c r="VD118" s="115"/>
      <c r="VE118" s="115"/>
      <c r="VF118" s="115"/>
      <c r="VG118" s="115"/>
      <c r="VH118" s="115"/>
      <c r="VI118" s="115"/>
      <c r="VJ118" s="115"/>
      <c r="VK118" s="115"/>
      <c r="VL118" s="115"/>
      <c r="VM118" s="115"/>
      <c r="VN118" s="115"/>
      <c r="VO118" s="115"/>
      <c r="VP118" s="115"/>
      <c r="VQ118" s="115"/>
      <c r="VR118" s="115"/>
      <c r="VS118" s="115"/>
      <c r="VT118" s="115"/>
      <c r="VU118" s="115"/>
      <c r="VV118" s="115"/>
      <c r="VW118" s="115"/>
      <c r="VX118" s="115"/>
      <c r="VY118" s="115"/>
      <c r="VZ118" s="115"/>
      <c r="WA118" s="115"/>
      <c r="WB118" s="115"/>
      <c r="WC118" s="115"/>
      <c r="WD118" s="115"/>
      <c r="WE118" s="115"/>
      <c r="WF118" s="115"/>
      <c r="WG118" s="115"/>
      <c r="WH118" s="115"/>
      <c r="WI118" s="115"/>
      <c r="WJ118" s="115"/>
      <c r="WK118" s="115"/>
      <c r="WL118" s="115"/>
      <c r="WM118" s="115"/>
      <c r="WN118" s="115"/>
      <c r="WO118" s="115"/>
      <c r="WP118" s="115"/>
      <c r="WQ118" s="115"/>
      <c r="WR118" s="115"/>
      <c r="WS118" s="115"/>
      <c r="WT118" s="115"/>
      <c r="WU118" s="115"/>
      <c r="WV118" s="115"/>
      <c r="WW118" s="115"/>
      <c r="WX118" s="115"/>
      <c r="WY118" s="115"/>
      <c r="WZ118" s="115"/>
      <c r="XA118" s="115"/>
      <c r="XB118" s="115"/>
      <c r="XC118" s="115"/>
      <c r="XD118" s="115"/>
      <c r="XE118" s="115"/>
      <c r="XF118" s="115"/>
      <c r="XG118" s="115"/>
      <c r="XH118" s="115"/>
      <c r="XI118" s="115"/>
      <c r="XJ118" s="115"/>
      <c r="XK118" s="115"/>
      <c r="XL118" s="115"/>
      <c r="XM118" s="115"/>
      <c r="XN118" s="115"/>
      <c r="XO118" s="115"/>
      <c r="XP118" s="115"/>
      <c r="XQ118" s="115"/>
      <c r="XR118" s="115"/>
      <c r="XS118" s="115"/>
      <c r="XT118" s="115"/>
      <c r="XU118" s="115"/>
      <c r="XV118" s="115"/>
      <c r="XW118" s="115"/>
      <c r="XX118" s="115"/>
      <c r="XY118" s="115"/>
      <c r="XZ118" s="115"/>
      <c r="YA118" s="115"/>
      <c r="YB118" s="115"/>
      <c r="YC118" s="115"/>
      <c r="YD118" s="115"/>
      <c r="YE118" s="115"/>
      <c r="YF118" s="115"/>
      <c r="YG118" s="115"/>
      <c r="YH118" s="115"/>
      <c r="YI118" s="115"/>
      <c r="YJ118" s="115"/>
      <c r="YK118" s="115"/>
      <c r="YL118" s="115"/>
      <c r="YM118" s="115"/>
      <c r="YN118" s="115"/>
      <c r="YO118" s="115"/>
      <c r="YP118" s="115"/>
      <c r="YQ118" s="115"/>
      <c r="YX118" s="22">
        <v>92</v>
      </c>
      <c r="YY118" s="22">
        <f>VLOOKUP(B118,'SCAFFOLDING MATERIAL OVERALL'!B120:S302,18,FALSE)</f>
        <v>11.29</v>
      </c>
      <c r="YZ118" s="22">
        <f t="shared" si="1"/>
        <v>1038.6799999999998</v>
      </c>
    </row>
    <row r="119" spans="1:676" s="22" customFormat="1" x14ac:dyDescent="0.25">
      <c r="A119" s="14">
        <v>115</v>
      </c>
      <c r="B119" s="15">
        <v>3000000318</v>
      </c>
      <c r="C119" s="16" t="s">
        <v>128</v>
      </c>
      <c r="D119" s="44" t="s">
        <v>12</v>
      </c>
      <c r="BJ119" s="22">
        <v>50</v>
      </c>
      <c r="CC119" s="22">
        <v>142</v>
      </c>
      <c r="EG119" s="22">
        <v>100</v>
      </c>
      <c r="FB119" s="22">
        <v>155</v>
      </c>
      <c r="LA119" s="22">
        <v>36</v>
      </c>
      <c r="MJ119" s="22">
        <v>284</v>
      </c>
      <c r="MM119" s="22">
        <v>200</v>
      </c>
      <c r="MO119" s="22">
        <v>388</v>
      </c>
      <c r="OZ119" s="115"/>
      <c r="PA119" s="115"/>
      <c r="PB119" s="115"/>
      <c r="PC119" s="115"/>
      <c r="PD119" s="115"/>
      <c r="PE119" s="115"/>
      <c r="PF119" s="115"/>
      <c r="PG119" s="115"/>
      <c r="PH119" s="115"/>
      <c r="PI119" s="115"/>
      <c r="PJ119" s="115"/>
      <c r="PK119" s="115"/>
      <c r="PL119" s="115"/>
      <c r="PM119" s="115"/>
      <c r="PN119" s="115"/>
      <c r="PO119" s="115"/>
      <c r="PP119" s="115"/>
      <c r="PQ119" s="115"/>
      <c r="PR119" s="115"/>
      <c r="PS119" s="115"/>
      <c r="PT119" s="115"/>
      <c r="PU119" s="115"/>
      <c r="PV119" s="115"/>
      <c r="PW119" s="115"/>
      <c r="PX119" s="115"/>
      <c r="PY119" s="115"/>
      <c r="PZ119" s="115"/>
      <c r="QA119" s="115"/>
      <c r="QB119" s="115"/>
      <c r="QC119" s="115"/>
      <c r="QD119" s="115"/>
      <c r="QE119" s="115"/>
      <c r="QF119" s="115"/>
      <c r="QG119" s="115"/>
      <c r="QH119" s="115"/>
      <c r="QI119" s="115"/>
      <c r="QJ119" s="115"/>
      <c r="QK119" s="115"/>
      <c r="QL119" s="115"/>
      <c r="QM119" s="115"/>
      <c r="QN119" s="115"/>
      <c r="QO119" s="115"/>
      <c r="QP119" s="115"/>
      <c r="QQ119" s="115"/>
      <c r="QR119" s="115"/>
      <c r="QS119" s="115"/>
      <c r="QT119" s="115"/>
      <c r="QU119" s="115"/>
      <c r="QV119" s="115"/>
      <c r="QW119" s="115"/>
      <c r="QX119" s="115"/>
      <c r="QY119" s="115"/>
      <c r="QZ119" s="115"/>
      <c r="RA119" s="115"/>
      <c r="RB119" s="115"/>
      <c r="RC119" s="115"/>
      <c r="RD119" s="115"/>
      <c r="RE119" s="115"/>
      <c r="RF119" s="115"/>
      <c r="RG119" s="115"/>
      <c r="RH119" s="115"/>
      <c r="RI119" s="115"/>
      <c r="RJ119" s="115"/>
      <c r="RK119" s="115"/>
      <c r="RL119" s="115"/>
      <c r="RM119" s="115"/>
      <c r="RN119" s="115"/>
      <c r="RO119" s="115"/>
      <c r="RP119" s="115"/>
      <c r="RQ119" s="115"/>
      <c r="RR119" s="115"/>
      <c r="RS119" s="115"/>
      <c r="RT119" s="115"/>
      <c r="RU119" s="115"/>
      <c r="RV119" s="115"/>
      <c r="RW119" s="115"/>
      <c r="RX119" s="115"/>
      <c r="RY119" s="115"/>
      <c r="RZ119" s="115"/>
      <c r="SA119" s="115"/>
      <c r="SB119" s="115"/>
      <c r="SC119" s="115"/>
      <c r="SD119" s="115"/>
      <c r="SE119" s="115"/>
      <c r="SF119" s="115"/>
      <c r="SG119" s="115"/>
      <c r="SH119" s="115"/>
      <c r="SI119" s="115"/>
      <c r="SJ119" s="115"/>
      <c r="SK119" s="115"/>
      <c r="SL119" s="115"/>
      <c r="SM119" s="115"/>
      <c r="SN119" s="115"/>
      <c r="SO119" s="115"/>
      <c r="SP119" s="115"/>
      <c r="SQ119" s="115"/>
      <c r="SR119" s="115"/>
      <c r="SS119" s="115"/>
      <c r="ST119" s="115"/>
      <c r="SU119" s="115"/>
      <c r="SV119" s="115"/>
      <c r="SW119" s="115"/>
      <c r="SX119" s="115"/>
      <c r="SY119" s="115"/>
      <c r="SZ119" s="115"/>
      <c r="TA119" s="115"/>
      <c r="TB119" s="115">
        <v>200</v>
      </c>
      <c r="TC119" s="115">
        <v>200</v>
      </c>
      <c r="TD119" s="115"/>
      <c r="TE119" s="115"/>
      <c r="TF119" s="115"/>
      <c r="TG119" s="115"/>
      <c r="TH119" s="115">
        <v>199</v>
      </c>
      <c r="TI119" s="115">
        <v>200</v>
      </c>
      <c r="TJ119" s="115">
        <v>100</v>
      </c>
      <c r="TK119" s="115">
        <v>196</v>
      </c>
      <c r="TL119" s="115"/>
      <c r="TM119" s="115"/>
      <c r="TN119" s="115">
        <v>195</v>
      </c>
      <c r="TO119" s="115">
        <v>200</v>
      </c>
      <c r="TP119" s="115"/>
      <c r="TQ119" s="115">
        <v>100</v>
      </c>
      <c r="TR119" s="115"/>
      <c r="TS119" s="115"/>
      <c r="TT119" s="115"/>
      <c r="TU119" s="115"/>
      <c r="TV119" s="115"/>
      <c r="TW119" s="115"/>
      <c r="TX119" s="115"/>
      <c r="TY119" s="115"/>
      <c r="TZ119" s="115"/>
      <c r="UA119" s="115"/>
      <c r="UB119" s="115"/>
      <c r="UC119" s="115"/>
      <c r="UD119" s="115"/>
      <c r="UE119" s="115"/>
      <c r="UF119" s="115"/>
      <c r="UG119" s="115"/>
      <c r="UH119" s="115"/>
      <c r="UI119" s="115"/>
      <c r="UJ119" s="115"/>
      <c r="UK119" s="115"/>
      <c r="UL119" s="115"/>
      <c r="UM119" s="115"/>
      <c r="UN119" s="115"/>
      <c r="UO119" s="115"/>
      <c r="UP119" s="115"/>
      <c r="UQ119" s="115"/>
      <c r="UR119" s="115"/>
      <c r="US119" s="115"/>
      <c r="UT119" s="115"/>
      <c r="UU119" s="115"/>
      <c r="UV119" s="115"/>
      <c r="UW119" s="115">
        <v>100</v>
      </c>
      <c r="UX119" s="115"/>
      <c r="UY119" s="115"/>
      <c r="UZ119" s="115"/>
      <c r="VA119" s="115"/>
      <c r="VB119" s="115"/>
      <c r="VC119" s="115"/>
      <c r="VD119" s="115"/>
      <c r="VE119" s="115"/>
      <c r="VF119" s="115"/>
      <c r="VG119" s="115"/>
      <c r="VH119" s="115"/>
      <c r="VI119" s="115"/>
      <c r="VJ119" s="115"/>
      <c r="VK119" s="115"/>
      <c r="VL119" s="115"/>
      <c r="VM119" s="115"/>
      <c r="VN119" s="115"/>
      <c r="VO119" s="115"/>
      <c r="VP119" s="115"/>
      <c r="VQ119" s="115"/>
      <c r="VR119" s="115"/>
      <c r="VS119" s="115"/>
      <c r="VT119" s="115"/>
      <c r="VU119" s="115"/>
      <c r="VV119" s="115"/>
      <c r="VW119" s="115"/>
      <c r="VX119" s="115"/>
      <c r="VY119" s="115"/>
      <c r="VZ119" s="115"/>
      <c r="WA119" s="115"/>
      <c r="WB119" s="115"/>
      <c r="WC119" s="115"/>
      <c r="WD119" s="115"/>
      <c r="WE119" s="115"/>
      <c r="WF119" s="115"/>
      <c r="WG119" s="115"/>
      <c r="WH119" s="115"/>
      <c r="WI119" s="115"/>
      <c r="WJ119" s="115"/>
      <c r="WK119" s="115"/>
      <c r="WL119" s="115"/>
      <c r="WM119" s="115"/>
      <c r="WN119" s="115"/>
      <c r="WO119" s="115"/>
      <c r="WP119" s="115"/>
      <c r="WQ119" s="115"/>
      <c r="WR119" s="115"/>
      <c r="WS119" s="115"/>
      <c r="WT119" s="115"/>
      <c r="WU119" s="115"/>
      <c r="WV119" s="115"/>
      <c r="WW119" s="115"/>
      <c r="WX119" s="115"/>
      <c r="WY119" s="115"/>
      <c r="WZ119" s="115"/>
      <c r="XA119" s="115"/>
      <c r="XB119" s="115"/>
      <c r="XC119" s="115"/>
      <c r="XD119" s="115"/>
      <c r="XE119" s="115"/>
      <c r="XF119" s="115"/>
      <c r="XG119" s="115"/>
      <c r="XH119" s="115"/>
      <c r="XI119" s="115"/>
      <c r="XJ119" s="115"/>
      <c r="XK119" s="115"/>
      <c r="XL119" s="115"/>
      <c r="XM119" s="115"/>
      <c r="XN119" s="115"/>
      <c r="XO119" s="115"/>
      <c r="XP119" s="115"/>
      <c r="XQ119" s="115"/>
      <c r="XR119" s="115"/>
      <c r="XS119" s="115"/>
      <c r="XT119" s="115"/>
      <c r="XU119" s="115"/>
      <c r="XV119" s="115"/>
      <c r="XW119" s="115"/>
      <c r="XX119" s="115"/>
      <c r="XY119" s="115"/>
      <c r="XZ119" s="115"/>
      <c r="YA119" s="115"/>
      <c r="YB119" s="115"/>
      <c r="YC119" s="115"/>
      <c r="YD119" s="115"/>
      <c r="YE119" s="115"/>
      <c r="YF119" s="115"/>
      <c r="YG119" s="115"/>
      <c r="YH119" s="115"/>
      <c r="YI119" s="115"/>
      <c r="YJ119" s="115"/>
      <c r="YK119" s="115"/>
      <c r="YL119" s="115"/>
      <c r="YM119" s="115"/>
      <c r="YN119" s="115"/>
      <c r="YO119" s="115"/>
      <c r="YP119" s="115"/>
      <c r="YQ119" s="115"/>
      <c r="YX119" s="22">
        <v>3045</v>
      </c>
      <c r="YY119" s="22">
        <f>VLOOKUP(B119,'SCAFFOLDING MATERIAL OVERALL'!B121:S303,18,FALSE)</f>
        <v>14.305</v>
      </c>
      <c r="YZ119" s="22">
        <f t="shared" si="1"/>
        <v>43558.724999999999</v>
      </c>
    </row>
    <row r="120" spans="1:676" s="22" customFormat="1" x14ac:dyDescent="0.25">
      <c r="A120" s="17">
        <v>116</v>
      </c>
      <c r="B120" s="15">
        <v>5000000010</v>
      </c>
      <c r="C120" s="16" t="s">
        <v>129</v>
      </c>
      <c r="D120" s="44" t="s">
        <v>12</v>
      </c>
      <c r="OZ120" s="115"/>
      <c r="PA120" s="115"/>
      <c r="PB120" s="115"/>
      <c r="PC120" s="115"/>
      <c r="PD120" s="115"/>
      <c r="PE120" s="115"/>
      <c r="PF120" s="115"/>
      <c r="PG120" s="115"/>
      <c r="PH120" s="115"/>
      <c r="PI120" s="115"/>
      <c r="PJ120" s="115"/>
      <c r="PK120" s="115"/>
      <c r="PL120" s="115"/>
      <c r="PM120" s="115"/>
      <c r="PN120" s="115"/>
      <c r="PO120" s="115"/>
      <c r="PP120" s="115"/>
      <c r="PQ120" s="115"/>
      <c r="PR120" s="115"/>
      <c r="PS120" s="115"/>
      <c r="PT120" s="115"/>
      <c r="PU120" s="115"/>
      <c r="PV120" s="115"/>
      <c r="PW120" s="115"/>
      <c r="PX120" s="115"/>
      <c r="PY120" s="115"/>
      <c r="PZ120" s="115"/>
      <c r="QA120" s="115"/>
      <c r="QB120" s="115"/>
      <c r="QC120" s="115"/>
      <c r="QD120" s="115"/>
      <c r="QE120" s="115"/>
      <c r="QF120" s="115"/>
      <c r="QG120" s="115"/>
      <c r="QH120" s="115"/>
      <c r="QI120" s="115"/>
      <c r="QJ120" s="115"/>
      <c r="QK120" s="115"/>
      <c r="QL120" s="115"/>
      <c r="QM120" s="115"/>
      <c r="QN120" s="115"/>
      <c r="QO120" s="115"/>
      <c r="QP120" s="115"/>
      <c r="QQ120" s="115"/>
      <c r="QR120" s="115"/>
      <c r="QS120" s="115"/>
      <c r="QT120" s="115"/>
      <c r="QU120" s="115"/>
      <c r="QV120" s="115"/>
      <c r="QW120" s="115"/>
      <c r="QX120" s="115"/>
      <c r="QY120" s="115"/>
      <c r="QZ120" s="115"/>
      <c r="RA120" s="115"/>
      <c r="RB120" s="115"/>
      <c r="RC120" s="115"/>
      <c r="RD120" s="115"/>
      <c r="RE120" s="115"/>
      <c r="RF120" s="115"/>
      <c r="RG120" s="115"/>
      <c r="RH120" s="115"/>
      <c r="RI120" s="115"/>
      <c r="RJ120" s="115"/>
      <c r="RK120" s="115"/>
      <c r="RL120" s="115"/>
      <c r="RM120" s="115"/>
      <c r="RN120" s="115"/>
      <c r="RO120" s="115"/>
      <c r="RP120" s="115"/>
      <c r="RQ120" s="115"/>
      <c r="RR120" s="115"/>
      <c r="RS120" s="115"/>
      <c r="RT120" s="115"/>
      <c r="RU120" s="115"/>
      <c r="RV120" s="115"/>
      <c r="RW120" s="115"/>
      <c r="RX120" s="115"/>
      <c r="RY120" s="115"/>
      <c r="RZ120" s="115"/>
      <c r="SA120" s="115"/>
      <c r="SB120" s="115"/>
      <c r="SC120" s="115"/>
      <c r="SD120" s="115"/>
      <c r="SE120" s="115"/>
      <c r="SF120" s="115"/>
      <c r="SG120" s="115"/>
      <c r="SH120" s="115"/>
      <c r="SI120" s="115"/>
      <c r="SJ120" s="115"/>
      <c r="SK120" s="115"/>
      <c r="SL120" s="115"/>
      <c r="SM120" s="115"/>
      <c r="SN120" s="115"/>
      <c r="SO120" s="115"/>
      <c r="SP120" s="115"/>
      <c r="SQ120" s="115"/>
      <c r="SR120" s="115"/>
      <c r="SS120" s="115"/>
      <c r="ST120" s="115"/>
      <c r="SU120" s="115"/>
      <c r="SV120" s="115"/>
      <c r="SW120" s="115"/>
      <c r="SX120" s="115"/>
      <c r="SY120" s="115"/>
      <c r="SZ120" s="115"/>
      <c r="TA120" s="115"/>
      <c r="TB120" s="115"/>
      <c r="TC120" s="115"/>
      <c r="TD120" s="115"/>
      <c r="TE120" s="115"/>
      <c r="TF120" s="115"/>
      <c r="TG120" s="115"/>
      <c r="TH120" s="115"/>
      <c r="TI120" s="115"/>
      <c r="TJ120" s="115"/>
      <c r="TK120" s="115"/>
      <c r="TL120" s="115"/>
      <c r="TM120" s="115"/>
      <c r="TN120" s="115"/>
      <c r="TO120" s="115"/>
      <c r="TP120" s="115"/>
      <c r="TQ120" s="115"/>
      <c r="TR120" s="115"/>
      <c r="TS120" s="115"/>
      <c r="TT120" s="115"/>
      <c r="TU120" s="115"/>
      <c r="TV120" s="115"/>
      <c r="TW120" s="115"/>
      <c r="TX120" s="115"/>
      <c r="TY120" s="115"/>
      <c r="TZ120" s="115"/>
      <c r="UA120" s="115"/>
      <c r="UB120" s="115"/>
      <c r="UC120" s="115"/>
      <c r="UD120" s="115"/>
      <c r="UE120" s="115"/>
      <c r="UF120" s="115"/>
      <c r="UG120" s="115"/>
      <c r="UH120" s="115"/>
      <c r="UI120" s="115"/>
      <c r="UJ120" s="115"/>
      <c r="UK120" s="115"/>
      <c r="UL120" s="115"/>
      <c r="UM120" s="115"/>
      <c r="UN120" s="115"/>
      <c r="UO120" s="115"/>
      <c r="UP120" s="115"/>
      <c r="UQ120" s="115"/>
      <c r="UR120" s="115"/>
      <c r="US120" s="115"/>
      <c r="UT120" s="115"/>
      <c r="UU120" s="115"/>
      <c r="UV120" s="115"/>
      <c r="UW120" s="115"/>
      <c r="UX120" s="115"/>
      <c r="UY120" s="115"/>
      <c r="UZ120" s="115"/>
      <c r="VA120" s="115"/>
      <c r="VB120" s="115"/>
      <c r="VC120" s="115"/>
      <c r="VD120" s="115"/>
      <c r="VE120" s="115"/>
      <c r="VF120" s="115"/>
      <c r="VG120" s="115"/>
      <c r="VH120" s="115"/>
      <c r="VI120" s="115"/>
      <c r="VJ120" s="115"/>
      <c r="VK120" s="115"/>
      <c r="VL120" s="115"/>
      <c r="VM120" s="115"/>
      <c r="VN120" s="115"/>
      <c r="VO120" s="115"/>
      <c r="VP120" s="115"/>
      <c r="VQ120" s="115"/>
      <c r="VR120" s="115"/>
      <c r="VS120" s="115"/>
      <c r="VT120" s="115"/>
      <c r="VU120" s="115"/>
      <c r="VV120" s="115"/>
      <c r="VW120" s="115"/>
      <c r="VX120" s="115"/>
      <c r="VY120" s="115"/>
      <c r="VZ120" s="115"/>
      <c r="WA120" s="115"/>
      <c r="WB120" s="115"/>
      <c r="WC120" s="115"/>
      <c r="WD120" s="115"/>
      <c r="WE120" s="115"/>
      <c r="WF120" s="115"/>
      <c r="WG120" s="115"/>
      <c r="WH120" s="115"/>
      <c r="WI120" s="115"/>
      <c r="WJ120" s="115"/>
      <c r="WK120" s="115"/>
      <c r="WL120" s="115"/>
      <c r="WM120" s="115"/>
      <c r="WN120" s="115"/>
      <c r="WO120" s="115"/>
      <c r="WP120" s="115"/>
      <c r="WQ120" s="115"/>
      <c r="WR120" s="115"/>
      <c r="WS120" s="115"/>
      <c r="WT120" s="115"/>
      <c r="WU120" s="115"/>
      <c r="WV120" s="115"/>
      <c r="WW120" s="115"/>
      <c r="WX120" s="115"/>
      <c r="WY120" s="115"/>
      <c r="WZ120" s="115"/>
      <c r="XA120" s="115"/>
      <c r="XB120" s="115"/>
      <c r="XC120" s="115"/>
      <c r="XD120" s="115"/>
      <c r="XE120" s="115"/>
      <c r="XF120" s="115"/>
      <c r="XG120" s="115"/>
      <c r="XH120" s="115"/>
      <c r="XI120" s="115"/>
      <c r="XJ120" s="115"/>
      <c r="XK120" s="115"/>
      <c r="XL120" s="115"/>
      <c r="XM120" s="115"/>
      <c r="XN120" s="115"/>
      <c r="XO120" s="115"/>
      <c r="XP120" s="115"/>
      <c r="XQ120" s="115"/>
      <c r="XR120" s="115"/>
      <c r="XS120" s="115"/>
      <c r="XT120" s="115"/>
      <c r="XU120" s="115"/>
      <c r="XV120" s="115"/>
      <c r="XW120" s="115"/>
      <c r="XX120" s="115"/>
      <c r="XY120" s="115"/>
      <c r="XZ120" s="115"/>
      <c r="YA120" s="115"/>
      <c r="YB120" s="115"/>
      <c r="YC120" s="115"/>
      <c r="YD120" s="115"/>
      <c r="YE120" s="115"/>
      <c r="YF120" s="115"/>
      <c r="YG120" s="115"/>
      <c r="YH120" s="115"/>
      <c r="YI120" s="115"/>
      <c r="YJ120" s="115"/>
      <c r="YK120" s="115"/>
      <c r="YL120" s="115"/>
      <c r="YM120" s="115"/>
      <c r="YN120" s="115"/>
      <c r="YO120" s="115"/>
      <c r="YP120" s="115"/>
      <c r="YQ120" s="115"/>
      <c r="YX120" s="22">
        <v>0</v>
      </c>
      <c r="YY120" s="22">
        <f>VLOOKUP(B120,'SCAFFOLDING MATERIAL OVERALL'!B122:S304,18,FALSE)</f>
        <v>0</v>
      </c>
      <c r="YZ120" s="22">
        <f t="shared" si="1"/>
        <v>0</v>
      </c>
    </row>
    <row r="121" spans="1:676" s="22" customFormat="1" x14ac:dyDescent="0.25">
      <c r="A121" s="14">
        <v>117</v>
      </c>
      <c r="B121" s="15">
        <v>5000000016</v>
      </c>
      <c r="C121" s="16" t="s">
        <v>130</v>
      </c>
      <c r="D121" s="44" t="s">
        <v>12</v>
      </c>
      <c r="OZ121" s="115"/>
      <c r="PA121" s="115"/>
      <c r="PB121" s="115"/>
      <c r="PC121" s="115"/>
      <c r="PD121" s="115"/>
      <c r="PE121" s="115"/>
      <c r="PF121" s="115"/>
      <c r="PG121" s="115"/>
      <c r="PH121" s="115"/>
      <c r="PI121" s="115"/>
      <c r="PJ121" s="115"/>
      <c r="PK121" s="115"/>
      <c r="PL121" s="115"/>
      <c r="PM121" s="115"/>
      <c r="PN121" s="115"/>
      <c r="PO121" s="115"/>
      <c r="PP121" s="115"/>
      <c r="PQ121" s="115"/>
      <c r="PR121" s="115"/>
      <c r="PS121" s="115"/>
      <c r="PT121" s="115"/>
      <c r="PU121" s="115"/>
      <c r="PV121" s="115"/>
      <c r="PW121" s="115"/>
      <c r="PX121" s="115"/>
      <c r="PY121" s="115"/>
      <c r="PZ121" s="115"/>
      <c r="QA121" s="115"/>
      <c r="QB121" s="115"/>
      <c r="QC121" s="115"/>
      <c r="QD121" s="115"/>
      <c r="QE121" s="115"/>
      <c r="QF121" s="115"/>
      <c r="QG121" s="115"/>
      <c r="QH121" s="115"/>
      <c r="QI121" s="115"/>
      <c r="QJ121" s="115"/>
      <c r="QK121" s="115"/>
      <c r="QL121" s="115"/>
      <c r="QM121" s="115"/>
      <c r="QN121" s="115"/>
      <c r="QO121" s="115"/>
      <c r="QP121" s="115"/>
      <c r="QQ121" s="115"/>
      <c r="QR121" s="115"/>
      <c r="QS121" s="115"/>
      <c r="QT121" s="115"/>
      <c r="QU121" s="115"/>
      <c r="QV121" s="115"/>
      <c r="QW121" s="115"/>
      <c r="QX121" s="115"/>
      <c r="QY121" s="115"/>
      <c r="QZ121" s="115"/>
      <c r="RA121" s="115"/>
      <c r="RB121" s="115"/>
      <c r="RC121" s="115"/>
      <c r="RD121" s="115"/>
      <c r="RE121" s="115"/>
      <c r="RF121" s="115"/>
      <c r="RG121" s="115"/>
      <c r="RH121" s="115"/>
      <c r="RI121" s="115"/>
      <c r="RJ121" s="115"/>
      <c r="RK121" s="115"/>
      <c r="RL121" s="115"/>
      <c r="RM121" s="115"/>
      <c r="RN121" s="115"/>
      <c r="RO121" s="115"/>
      <c r="RP121" s="115"/>
      <c r="RQ121" s="115"/>
      <c r="RR121" s="115"/>
      <c r="RS121" s="115"/>
      <c r="RT121" s="115"/>
      <c r="RU121" s="115"/>
      <c r="RV121" s="115"/>
      <c r="RW121" s="115"/>
      <c r="RX121" s="115"/>
      <c r="RY121" s="115"/>
      <c r="RZ121" s="115"/>
      <c r="SA121" s="115"/>
      <c r="SB121" s="115"/>
      <c r="SC121" s="115"/>
      <c r="SD121" s="115"/>
      <c r="SE121" s="115"/>
      <c r="SF121" s="115"/>
      <c r="SG121" s="115"/>
      <c r="SH121" s="115"/>
      <c r="SI121" s="115"/>
      <c r="SJ121" s="115"/>
      <c r="SK121" s="115"/>
      <c r="SL121" s="115"/>
      <c r="SM121" s="115"/>
      <c r="SN121" s="115"/>
      <c r="SO121" s="115"/>
      <c r="SP121" s="115"/>
      <c r="SQ121" s="115"/>
      <c r="SR121" s="115"/>
      <c r="SS121" s="115"/>
      <c r="ST121" s="115"/>
      <c r="SU121" s="115"/>
      <c r="SV121" s="115"/>
      <c r="SW121" s="115"/>
      <c r="SX121" s="115"/>
      <c r="SY121" s="115"/>
      <c r="SZ121" s="115"/>
      <c r="TA121" s="115"/>
      <c r="TB121" s="115"/>
      <c r="TC121" s="115"/>
      <c r="TD121" s="115"/>
      <c r="TE121" s="115"/>
      <c r="TF121" s="115"/>
      <c r="TG121" s="115"/>
      <c r="TH121" s="115"/>
      <c r="TI121" s="115"/>
      <c r="TJ121" s="115"/>
      <c r="TK121" s="115"/>
      <c r="TL121" s="115"/>
      <c r="TM121" s="115"/>
      <c r="TN121" s="115"/>
      <c r="TO121" s="115"/>
      <c r="TP121" s="115"/>
      <c r="TQ121" s="115"/>
      <c r="TR121" s="115"/>
      <c r="TS121" s="115"/>
      <c r="TT121" s="115"/>
      <c r="TU121" s="115"/>
      <c r="TV121" s="115"/>
      <c r="TW121" s="115"/>
      <c r="TX121" s="115"/>
      <c r="TY121" s="115"/>
      <c r="TZ121" s="115"/>
      <c r="UA121" s="115"/>
      <c r="UB121" s="115"/>
      <c r="UC121" s="115"/>
      <c r="UD121" s="115"/>
      <c r="UE121" s="115"/>
      <c r="UF121" s="115"/>
      <c r="UG121" s="115"/>
      <c r="UH121" s="115"/>
      <c r="UI121" s="115"/>
      <c r="UJ121" s="115"/>
      <c r="UK121" s="115"/>
      <c r="UL121" s="115"/>
      <c r="UM121" s="115"/>
      <c r="UN121" s="115"/>
      <c r="UO121" s="115"/>
      <c r="UP121" s="115"/>
      <c r="UQ121" s="115"/>
      <c r="UR121" s="115"/>
      <c r="US121" s="115"/>
      <c r="UT121" s="115"/>
      <c r="UU121" s="115"/>
      <c r="UV121" s="115"/>
      <c r="UW121" s="115"/>
      <c r="UX121" s="115"/>
      <c r="UY121" s="115"/>
      <c r="UZ121" s="115"/>
      <c r="VA121" s="115"/>
      <c r="VB121" s="115"/>
      <c r="VC121" s="115"/>
      <c r="VD121" s="115"/>
      <c r="VE121" s="115"/>
      <c r="VF121" s="115"/>
      <c r="VG121" s="115"/>
      <c r="VH121" s="115"/>
      <c r="VI121" s="115"/>
      <c r="VJ121" s="115"/>
      <c r="VK121" s="115"/>
      <c r="VL121" s="115"/>
      <c r="VM121" s="115"/>
      <c r="VN121" s="115"/>
      <c r="VO121" s="115"/>
      <c r="VP121" s="115"/>
      <c r="VQ121" s="115"/>
      <c r="VR121" s="115"/>
      <c r="VS121" s="115"/>
      <c r="VT121" s="115"/>
      <c r="VU121" s="115"/>
      <c r="VV121" s="115"/>
      <c r="VW121" s="115"/>
      <c r="VX121" s="115"/>
      <c r="VY121" s="115"/>
      <c r="VZ121" s="115"/>
      <c r="WA121" s="115"/>
      <c r="WB121" s="115"/>
      <c r="WC121" s="115"/>
      <c r="WD121" s="115"/>
      <c r="WE121" s="115"/>
      <c r="WF121" s="115"/>
      <c r="WG121" s="115"/>
      <c r="WH121" s="115"/>
      <c r="WI121" s="115"/>
      <c r="WJ121" s="115"/>
      <c r="WK121" s="115"/>
      <c r="WL121" s="115"/>
      <c r="WM121" s="115"/>
      <c r="WN121" s="115"/>
      <c r="WO121" s="115"/>
      <c r="WP121" s="115"/>
      <c r="WQ121" s="115"/>
      <c r="WR121" s="115"/>
      <c r="WS121" s="115"/>
      <c r="WT121" s="115"/>
      <c r="WU121" s="115"/>
      <c r="WV121" s="115"/>
      <c r="WW121" s="115"/>
      <c r="WX121" s="115"/>
      <c r="WY121" s="115"/>
      <c r="WZ121" s="115"/>
      <c r="XA121" s="115"/>
      <c r="XB121" s="115"/>
      <c r="XC121" s="115"/>
      <c r="XD121" s="115"/>
      <c r="XE121" s="115"/>
      <c r="XF121" s="115"/>
      <c r="XG121" s="115"/>
      <c r="XH121" s="115"/>
      <c r="XI121" s="115"/>
      <c r="XJ121" s="115"/>
      <c r="XK121" s="115"/>
      <c r="XL121" s="115"/>
      <c r="XM121" s="115"/>
      <c r="XN121" s="115"/>
      <c r="XO121" s="115"/>
      <c r="XP121" s="115"/>
      <c r="XQ121" s="115"/>
      <c r="XR121" s="115"/>
      <c r="XS121" s="115"/>
      <c r="XT121" s="115"/>
      <c r="XU121" s="115"/>
      <c r="XV121" s="115"/>
      <c r="XW121" s="115"/>
      <c r="XX121" s="115"/>
      <c r="XY121" s="115"/>
      <c r="XZ121" s="115"/>
      <c r="YA121" s="115"/>
      <c r="YB121" s="115"/>
      <c r="YC121" s="115"/>
      <c r="YD121" s="115"/>
      <c r="YE121" s="115"/>
      <c r="YF121" s="115"/>
      <c r="YG121" s="115"/>
      <c r="YH121" s="115"/>
      <c r="YI121" s="115"/>
      <c r="YJ121" s="115"/>
      <c r="YK121" s="115"/>
      <c r="YL121" s="115"/>
      <c r="YM121" s="115"/>
      <c r="YN121" s="115"/>
      <c r="YO121" s="115"/>
      <c r="YP121" s="115"/>
      <c r="YQ121" s="115"/>
      <c r="YX121" s="22">
        <v>0</v>
      </c>
      <c r="YY121" s="22">
        <f>VLOOKUP(B121,'SCAFFOLDING MATERIAL OVERALL'!B123:S305,18,FALSE)</f>
        <v>0</v>
      </c>
      <c r="YZ121" s="22">
        <f t="shared" si="1"/>
        <v>0</v>
      </c>
    </row>
    <row r="122" spans="1:676" s="22" customFormat="1" x14ac:dyDescent="0.25">
      <c r="A122" s="14">
        <v>118</v>
      </c>
      <c r="B122" s="15">
        <v>5000000015</v>
      </c>
      <c r="C122" s="16" t="s">
        <v>131</v>
      </c>
      <c r="D122" s="44" t="s">
        <v>12</v>
      </c>
      <c r="OZ122" s="115"/>
      <c r="PA122" s="115"/>
      <c r="PB122" s="115"/>
      <c r="PC122" s="115"/>
      <c r="PD122" s="115"/>
      <c r="PE122" s="115"/>
      <c r="PF122" s="115"/>
      <c r="PG122" s="115"/>
      <c r="PH122" s="115"/>
      <c r="PI122" s="115"/>
      <c r="PJ122" s="115"/>
      <c r="PK122" s="115"/>
      <c r="PL122" s="115"/>
      <c r="PM122" s="115"/>
      <c r="PN122" s="115"/>
      <c r="PO122" s="115"/>
      <c r="PP122" s="115"/>
      <c r="PQ122" s="115"/>
      <c r="PR122" s="115"/>
      <c r="PS122" s="115"/>
      <c r="PT122" s="115"/>
      <c r="PU122" s="115"/>
      <c r="PV122" s="115"/>
      <c r="PW122" s="115"/>
      <c r="PX122" s="115"/>
      <c r="PY122" s="115"/>
      <c r="PZ122" s="115"/>
      <c r="QA122" s="115"/>
      <c r="QB122" s="115"/>
      <c r="QC122" s="115"/>
      <c r="QD122" s="115"/>
      <c r="QE122" s="115"/>
      <c r="QF122" s="115"/>
      <c r="QG122" s="115"/>
      <c r="QH122" s="115"/>
      <c r="QI122" s="115"/>
      <c r="QJ122" s="115"/>
      <c r="QK122" s="115"/>
      <c r="QL122" s="115"/>
      <c r="QM122" s="115"/>
      <c r="QN122" s="115"/>
      <c r="QO122" s="115"/>
      <c r="QP122" s="115"/>
      <c r="QQ122" s="115"/>
      <c r="QR122" s="115"/>
      <c r="QS122" s="115"/>
      <c r="QT122" s="115"/>
      <c r="QU122" s="115"/>
      <c r="QV122" s="115"/>
      <c r="QW122" s="115"/>
      <c r="QX122" s="115"/>
      <c r="QY122" s="115"/>
      <c r="QZ122" s="115"/>
      <c r="RA122" s="115"/>
      <c r="RB122" s="115"/>
      <c r="RC122" s="115"/>
      <c r="RD122" s="115"/>
      <c r="RE122" s="115"/>
      <c r="RF122" s="115"/>
      <c r="RG122" s="115"/>
      <c r="RH122" s="115"/>
      <c r="RI122" s="115"/>
      <c r="RJ122" s="115"/>
      <c r="RK122" s="115"/>
      <c r="RL122" s="115"/>
      <c r="RM122" s="115"/>
      <c r="RN122" s="115"/>
      <c r="RO122" s="115"/>
      <c r="RP122" s="115"/>
      <c r="RQ122" s="115"/>
      <c r="RR122" s="115"/>
      <c r="RS122" s="115"/>
      <c r="RT122" s="115"/>
      <c r="RU122" s="115"/>
      <c r="RV122" s="115"/>
      <c r="RW122" s="115"/>
      <c r="RX122" s="115"/>
      <c r="RY122" s="115"/>
      <c r="RZ122" s="115"/>
      <c r="SA122" s="115"/>
      <c r="SB122" s="115"/>
      <c r="SC122" s="115"/>
      <c r="SD122" s="115"/>
      <c r="SE122" s="115"/>
      <c r="SF122" s="115"/>
      <c r="SG122" s="115"/>
      <c r="SH122" s="115"/>
      <c r="SI122" s="115"/>
      <c r="SJ122" s="115"/>
      <c r="SK122" s="115"/>
      <c r="SL122" s="115"/>
      <c r="SM122" s="115"/>
      <c r="SN122" s="115"/>
      <c r="SO122" s="115"/>
      <c r="SP122" s="115"/>
      <c r="SQ122" s="115"/>
      <c r="SR122" s="115"/>
      <c r="SS122" s="115"/>
      <c r="ST122" s="115"/>
      <c r="SU122" s="115"/>
      <c r="SV122" s="115"/>
      <c r="SW122" s="115"/>
      <c r="SX122" s="115"/>
      <c r="SY122" s="115"/>
      <c r="SZ122" s="115"/>
      <c r="TA122" s="115"/>
      <c r="TB122" s="115"/>
      <c r="TC122" s="115"/>
      <c r="TD122" s="115"/>
      <c r="TE122" s="115"/>
      <c r="TF122" s="115"/>
      <c r="TG122" s="115"/>
      <c r="TH122" s="115"/>
      <c r="TI122" s="115"/>
      <c r="TJ122" s="115"/>
      <c r="TK122" s="115"/>
      <c r="TL122" s="115"/>
      <c r="TM122" s="115"/>
      <c r="TN122" s="115"/>
      <c r="TO122" s="115"/>
      <c r="TP122" s="115"/>
      <c r="TQ122" s="115"/>
      <c r="TR122" s="115"/>
      <c r="TS122" s="115"/>
      <c r="TT122" s="115"/>
      <c r="TU122" s="115"/>
      <c r="TV122" s="115"/>
      <c r="TW122" s="115"/>
      <c r="TX122" s="115"/>
      <c r="TY122" s="115"/>
      <c r="TZ122" s="115"/>
      <c r="UA122" s="115"/>
      <c r="UB122" s="115"/>
      <c r="UC122" s="115"/>
      <c r="UD122" s="115"/>
      <c r="UE122" s="115"/>
      <c r="UF122" s="115"/>
      <c r="UG122" s="115"/>
      <c r="UH122" s="115"/>
      <c r="UI122" s="115"/>
      <c r="UJ122" s="115"/>
      <c r="UK122" s="115"/>
      <c r="UL122" s="115"/>
      <c r="UM122" s="115"/>
      <c r="UN122" s="115"/>
      <c r="UO122" s="115"/>
      <c r="UP122" s="115"/>
      <c r="UQ122" s="115"/>
      <c r="UR122" s="115"/>
      <c r="US122" s="115"/>
      <c r="UT122" s="115"/>
      <c r="UU122" s="115"/>
      <c r="UV122" s="115"/>
      <c r="UW122" s="115"/>
      <c r="UX122" s="115"/>
      <c r="UY122" s="115"/>
      <c r="UZ122" s="115"/>
      <c r="VA122" s="115"/>
      <c r="VB122" s="115"/>
      <c r="VC122" s="115"/>
      <c r="VD122" s="115"/>
      <c r="VE122" s="115"/>
      <c r="VF122" s="115"/>
      <c r="VG122" s="115"/>
      <c r="VH122" s="115"/>
      <c r="VI122" s="115"/>
      <c r="VJ122" s="115"/>
      <c r="VK122" s="115"/>
      <c r="VL122" s="115"/>
      <c r="VM122" s="115"/>
      <c r="VN122" s="115"/>
      <c r="VO122" s="115"/>
      <c r="VP122" s="115"/>
      <c r="VQ122" s="115"/>
      <c r="VR122" s="115"/>
      <c r="VS122" s="115"/>
      <c r="VT122" s="115"/>
      <c r="VU122" s="115"/>
      <c r="VV122" s="115"/>
      <c r="VW122" s="115"/>
      <c r="VX122" s="115"/>
      <c r="VY122" s="115"/>
      <c r="VZ122" s="115"/>
      <c r="WA122" s="115"/>
      <c r="WB122" s="115"/>
      <c r="WC122" s="115"/>
      <c r="WD122" s="115"/>
      <c r="WE122" s="115"/>
      <c r="WF122" s="115"/>
      <c r="WG122" s="115"/>
      <c r="WH122" s="115"/>
      <c r="WI122" s="115"/>
      <c r="WJ122" s="115"/>
      <c r="WK122" s="115"/>
      <c r="WL122" s="115"/>
      <c r="WM122" s="115"/>
      <c r="WN122" s="115"/>
      <c r="WO122" s="115"/>
      <c r="WP122" s="115"/>
      <c r="WQ122" s="115"/>
      <c r="WR122" s="115"/>
      <c r="WS122" s="115"/>
      <c r="WT122" s="115"/>
      <c r="WU122" s="115"/>
      <c r="WV122" s="115"/>
      <c r="WW122" s="115"/>
      <c r="WX122" s="115"/>
      <c r="WY122" s="115"/>
      <c r="WZ122" s="115"/>
      <c r="XA122" s="115"/>
      <c r="XB122" s="115"/>
      <c r="XC122" s="115"/>
      <c r="XD122" s="115"/>
      <c r="XE122" s="115"/>
      <c r="XF122" s="115"/>
      <c r="XG122" s="115"/>
      <c r="XH122" s="115"/>
      <c r="XI122" s="115"/>
      <c r="XJ122" s="115"/>
      <c r="XK122" s="115"/>
      <c r="XL122" s="115"/>
      <c r="XM122" s="115"/>
      <c r="XN122" s="115"/>
      <c r="XO122" s="115"/>
      <c r="XP122" s="115"/>
      <c r="XQ122" s="115"/>
      <c r="XR122" s="115"/>
      <c r="XS122" s="115"/>
      <c r="XT122" s="115"/>
      <c r="XU122" s="115"/>
      <c r="XV122" s="115"/>
      <c r="XW122" s="115"/>
      <c r="XX122" s="115"/>
      <c r="XY122" s="115"/>
      <c r="XZ122" s="115"/>
      <c r="YA122" s="115"/>
      <c r="YB122" s="115"/>
      <c r="YC122" s="115"/>
      <c r="YD122" s="115"/>
      <c r="YE122" s="115"/>
      <c r="YF122" s="115"/>
      <c r="YG122" s="115"/>
      <c r="YH122" s="115"/>
      <c r="YI122" s="115"/>
      <c r="YJ122" s="115"/>
      <c r="YK122" s="115"/>
      <c r="YL122" s="115"/>
      <c r="YM122" s="115"/>
      <c r="YN122" s="115"/>
      <c r="YO122" s="115"/>
      <c r="YP122" s="115"/>
      <c r="YQ122" s="115"/>
      <c r="YX122" s="22">
        <v>0</v>
      </c>
      <c r="YY122" s="22">
        <f>VLOOKUP(B122,'SCAFFOLDING MATERIAL OVERALL'!B124:S306,18,FALSE)</f>
        <v>0</v>
      </c>
      <c r="YZ122" s="22">
        <f t="shared" si="1"/>
        <v>0</v>
      </c>
    </row>
    <row r="123" spans="1:676" s="22" customFormat="1" x14ac:dyDescent="0.25">
      <c r="A123" s="17">
        <v>119</v>
      </c>
      <c r="B123" s="15">
        <v>3000002701</v>
      </c>
      <c r="C123" s="16" t="s">
        <v>132</v>
      </c>
      <c r="D123" s="44" t="s">
        <v>12</v>
      </c>
      <c r="G123" s="22">
        <v>400</v>
      </c>
      <c r="AK123" s="22">
        <v>282</v>
      </c>
      <c r="CC123" s="22">
        <v>300</v>
      </c>
      <c r="CD123" s="22">
        <v>600</v>
      </c>
      <c r="EM123" s="22">
        <v>300</v>
      </c>
      <c r="ET123" s="22">
        <v>600</v>
      </c>
      <c r="FK123" s="22">
        <v>600</v>
      </c>
      <c r="FM123" s="22">
        <v>600</v>
      </c>
      <c r="GB123" s="22">
        <v>600</v>
      </c>
      <c r="GI123" s="22">
        <v>600</v>
      </c>
      <c r="GL123" s="22">
        <v>600</v>
      </c>
      <c r="GM123" s="22">
        <v>600</v>
      </c>
      <c r="GO123" s="22">
        <v>300</v>
      </c>
      <c r="GP123" s="22">
        <v>600</v>
      </c>
      <c r="GR123" s="22">
        <v>600</v>
      </c>
      <c r="GZ123" s="22">
        <v>600</v>
      </c>
      <c r="HI123" s="22">
        <v>600</v>
      </c>
      <c r="HL123" s="22">
        <v>600</v>
      </c>
      <c r="HV123" s="22">
        <v>600</v>
      </c>
      <c r="HY123" s="22">
        <v>300</v>
      </c>
      <c r="IB123" s="22">
        <v>600</v>
      </c>
      <c r="IF123" s="22">
        <v>600</v>
      </c>
      <c r="IN123" s="22">
        <v>1200</v>
      </c>
      <c r="JG123" s="22">
        <v>600</v>
      </c>
      <c r="JK123" s="22">
        <v>600</v>
      </c>
      <c r="JP123" s="22">
        <v>600</v>
      </c>
      <c r="KJ123" s="22">
        <v>600</v>
      </c>
      <c r="KL123" s="22">
        <v>600</v>
      </c>
      <c r="KO123" s="22">
        <v>300</v>
      </c>
      <c r="LZ123" s="22">
        <v>298</v>
      </c>
      <c r="MS123" s="22">
        <v>600</v>
      </c>
      <c r="MV123" s="22">
        <v>300</v>
      </c>
      <c r="MY123" s="22">
        <v>266</v>
      </c>
      <c r="NE123" s="22">
        <v>391</v>
      </c>
      <c r="NI123" s="22">
        <v>433</v>
      </c>
      <c r="NJ123" s="22">
        <v>265</v>
      </c>
      <c r="NK123" s="22">
        <v>600</v>
      </c>
      <c r="OJ123" s="22">
        <v>420</v>
      </c>
      <c r="OY123" s="22">
        <v>300</v>
      </c>
      <c r="OZ123" s="115"/>
      <c r="PA123" s="115"/>
      <c r="PB123" s="115"/>
      <c r="PC123" s="115"/>
      <c r="PD123" s="115"/>
      <c r="PE123" s="115"/>
      <c r="PF123" s="115"/>
      <c r="PG123" s="115"/>
      <c r="PH123" s="115"/>
      <c r="PI123" s="115"/>
      <c r="PJ123" s="115"/>
      <c r="PK123" s="115"/>
      <c r="PL123" s="115"/>
      <c r="PM123" s="115"/>
      <c r="PN123" s="115"/>
      <c r="PO123" s="115"/>
      <c r="PP123" s="115"/>
      <c r="PQ123" s="115"/>
      <c r="PR123" s="115"/>
      <c r="PS123" s="115"/>
      <c r="PT123" s="115"/>
      <c r="PU123" s="115"/>
      <c r="PV123" s="115"/>
      <c r="PW123" s="115"/>
      <c r="PX123" s="115"/>
      <c r="PY123" s="115"/>
      <c r="PZ123" s="115"/>
      <c r="QA123" s="115"/>
      <c r="QB123" s="115"/>
      <c r="QC123" s="115"/>
      <c r="QD123" s="115"/>
      <c r="QE123" s="115"/>
      <c r="QF123" s="115"/>
      <c r="QG123" s="115"/>
      <c r="QH123" s="115"/>
      <c r="QI123" s="115"/>
      <c r="QJ123" s="115"/>
      <c r="QK123" s="115"/>
      <c r="QL123" s="115"/>
      <c r="QM123" s="115"/>
      <c r="QN123" s="115"/>
      <c r="QO123" s="115"/>
      <c r="QP123" s="115"/>
      <c r="QQ123" s="115"/>
      <c r="QR123" s="115"/>
      <c r="QS123" s="115"/>
      <c r="QT123" s="115"/>
      <c r="QU123" s="115"/>
      <c r="QV123" s="115"/>
      <c r="QW123" s="115"/>
      <c r="QX123" s="115"/>
      <c r="QY123" s="115"/>
      <c r="QZ123" s="115"/>
      <c r="RA123" s="115"/>
      <c r="RB123" s="115"/>
      <c r="RC123" s="115"/>
      <c r="RD123" s="115"/>
      <c r="RE123" s="115"/>
      <c r="RF123" s="115"/>
      <c r="RG123" s="115"/>
      <c r="RH123" s="115"/>
      <c r="RI123" s="115"/>
      <c r="RJ123" s="115"/>
      <c r="RK123" s="115"/>
      <c r="RL123" s="115"/>
      <c r="RM123" s="115"/>
      <c r="RN123" s="115"/>
      <c r="RO123" s="115"/>
      <c r="RP123" s="115"/>
      <c r="RQ123" s="115"/>
      <c r="RR123" s="115"/>
      <c r="RS123" s="115"/>
      <c r="RT123" s="115"/>
      <c r="RU123" s="115"/>
      <c r="RV123" s="115"/>
      <c r="RW123" s="115"/>
      <c r="RX123" s="115"/>
      <c r="RY123" s="115"/>
      <c r="RZ123" s="115"/>
      <c r="SA123" s="115"/>
      <c r="SB123" s="115"/>
      <c r="SC123" s="115"/>
      <c r="SD123" s="115"/>
      <c r="SE123" s="115"/>
      <c r="SF123" s="115"/>
      <c r="SG123" s="115"/>
      <c r="SH123" s="115"/>
      <c r="SI123" s="115"/>
      <c r="SJ123" s="115"/>
      <c r="SK123" s="115"/>
      <c r="SL123" s="115"/>
      <c r="SM123" s="115"/>
      <c r="SN123" s="115"/>
      <c r="SO123" s="115"/>
      <c r="SP123" s="115"/>
      <c r="SQ123" s="115"/>
      <c r="SR123" s="115"/>
      <c r="SS123" s="115"/>
      <c r="ST123" s="115"/>
      <c r="SU123" s="115"/>
      <c r="SV123" s="115"/>
      <c r="SW123" s="115"/>
      <c r="SX123" s="115"/>
      <c r="SY123" s="115"/>
      <c r="SZ123" s="115"/>
      <c r="TA123" s="115"/>
      <c r="TB123" s="115"/>
      <c r="TC123" s="115"/>
      <c r="TD123" s="115"/>
      <c r="TE123" s="115"/>
      <c r="TF123" s="115"/>
      <c r="TG123" s="115"/>
      <c r="TH123" s="115"/>
      <c r="TI123" s="115"/>
      <c r="TJ123" s="115"/>
      <c r="TK123" s="115"/>
      <c r="TL123" s="115"/>
      <c r="TM123" s="115"/>
      <c r="TN123" s="115"/>
      <c r="TO123" s="115"/>
      <c r="TP123" s="115"/>
      <c r="TQ123" s="115"/>
      <c r="TR123" s="115"/>
      <c r="TS123" s="115"/>
      <c r="TT123" s="115"/>
      <c r="TU123" s="115"/>
      <c r="TV123" s="115"/>
      <c r="TW123" s="115"/>
      <c r="TX123" s="115"/>
      <c r="TY123" s="115"/>
      <c r="TZ123" s="115"/>
      <c r="UA123" s="115"/>
      <c r="UB123" s="115"/>
      <c r="UC123" s="115"/>
      <c r="UD123" s="115"/>
      <c r="UE123" s="115"/>
      <c r="UF123" s="115"/>
      <c r="UG123" s="115"/>
      <c r="UH123" s="115"/>
      <c r="UI123" s="115"/>
      <c r="UJ123" s="115"/>
      <c r="UK123" s="115"/>
      <c r="UL123" s="115"/>
      <c r="UM123" s="115"/>
      <c r="UN123" s="115"/>
      <c r="UO123" s="115"/>
      <c r="UP123" s="115"/>
      <c r="UQ123" s="115"/>
      <c r="UR123" s="115"/>
      <c r="US123" s="115"/>
      <c r="UT123" s="115"/>
      <c r="UU123" s="115"/>
      <c r="UV123" s="115"/>
      <c r="UW123" s="115"/>
      <c r="UX123" s="115"/>
      <c r="UY123" s="115"/>
      <c r="UZ123" s="115"/>
      <c r="VA123" s="115"/>
      <c r="VB123" s="115"/>
      <c r="VC123" s="115"/>
      <c r="VD123" s="115"/>
      <c r="VE123" s="115"/>
      <c r="VF123" s="115"/>
      <c r="VG123" s="115"/>
      <c r="VH123" s="115"/>
      <c r="VI123" s="115"/>
      <c r="VJ123" s="115"/>
      <c r="VK123" s="115"/>
      <c r="VL123" s="115"/>
      <c r="VM123" s="115"/>
      <c r="VN123" s="115"/>
      <c r="VO123" s="115"/>
      <c r="VP123" s="115"/>
      <c r="VQ123" s="115"/>
      <c r="VR123" s="115"/>
      <c r="VS123" s="115"/>
      <c r="VT123" s="115"/>
      <c r="VU123" s="115"/>
      <c r="VV123" s="115"/>
      <c r="VW123" s="115"/>
      <c r="VX123" s="115"/>
      <c r="VY123" s="115"/>
      <c r="VZ123" s="115"/>
      <c r="WA123" s="115"/>
      <c r="WB123" s="115"/>
      <c r="WC123" s="115"/>
      <c r="WD123" s="115"/>
      <c r="WE123" s="115"/>
      <c r="WF123" s="115"/>
      <c r="WG123" s="115"/>
      <c r="WH123" s="115"/>
      <c r="WI123" s="115"/>
      <c r="WJ123" s="115"/>
      <c r="WK123" s="115"/>
      <c r="WL123" s="115"/>
      <c r="WM123" s="115"/>
      <c r="WN123" s="115"/>
      <c r="WO123" s="115"/>
      <c r="WP123" s="115"/>
      <c r="WQ123" s="115"/>
      <c r="WR123" s="115"/>
      <c r="WS123" s="115"/>
      <c r="WT123" s="115"/>
      <c r="WU123" s="115"/>
      <c r="WV123" s="115"/>
      <c r="WW123" s="115"/>
      <c r="WX123" s="115"/>
      <c r="WY123" s="115"/>
      <c r="WZ123" s="115"/>
      <c r="XA123" s="115"/>
      <c r="XB123" s="115"/>
      <c r="XC123" s="115"/>
      <c r="XD123" s="115"/>
      <c r="XE123" s="115"/>
      <c r="XF123" s="115"/>
      <c r="XG123" s="115"/>
      <c r="XH123" s="115"/>
      <c r="XI123" s="115"/>
      <c r="XJ123" s="115"/>
      <c r="XK123" s="115"/>
      <c r="XL123" s="115"/>
      <c r="XM123" s="115"/>
      <c r="XN123" s="115"/>
      <c r="XO123" s="115"/>
      <c r="XP123" s="115"/>
      <c r="XQ123" s="115"/>
      <c r="XR123" s="115"/>
      <c r="XS123" s="115"/>
      <c r="XT123" s="115"/>
      <c r="XU123" s="115"/>
      <c r="XV123" s="115"/>
      <c r="XW123" s="115"/>
      <c r="XX123" s="115"/>
      <c r="XY123" s="115"/>
      <c r="XZ123" s="115"/>
      <c r="YA123" s="115"/>
      <c r="YB123" s="115"/>
      <c r="YC123" s="115"/>
      <c r="YD123" s="115"/>
      <c r="YE123" s="115"/>
      <c r="YF123" s="115"/>
      <c r="YG123" s="115"/>
      <c r="YH123" s="115"/>
      <c r="YI123" s="115"/>
      <c r="YJ123" s="115"/>
      <c r="YK123" s="115"/>
      <c r="YL123" s="115"/>
      <c r="YM123" s="115"/>
      <c r="YN123" s="115"/>
      <c r="YO123" s="115"/>
      <c r="YP123" s="115"/>
      <c r="YQ123" s="115"/>
      <c r="YX123" s="22">
        <v>19855</v>
      </c>
      <c r="YY123" s="22">
        <f>VLOOKUP(B123,'SCAFFOLDING MATERIAL OVERALL'!B125:S307,18,FALSE)</f>
        <v>2.1549999999999998</v>
      </c>
      <c r="YZ123" s="22">
        <f t="shared" si="1"/>
        <v>42787.524999999994</v>
      </c>
    </row>
    <row r="124" spans="1:676" s="22" customFormat="1" x14ac:dyDescent="0.25">
      <c r="A124" s="14">
        <v>120</v>
      </c>
      <c r="B124" s="15">
        <v>3000002771</v>
      </c>
      <c r="C124" s="16" t="s">
        <v>133</v>
      </c>
      <c r="D124" s="44" t="s">
        <v>12</v>
      </c>
      <c r="W124" s="22">
        <v>274</v>
      </c>
      <c r="AE124" s="22">
        <v>590</v>
      </c>
      <c r="AL124" s="22">
        <v>828</v>
      </c>
      <c r="AO124" s="22">
        <v>278</v>
      </c>
      <c r="AP124" s="22">
        <v>298</v>
      </c>
      <c r="AS124" s="22">
        <v>588</v>
      </c>
      <c r="AW124" s="22">
        <v>604</v>
      </c>
      <c r="AY124" s="22">
        <v>300</v>
      </c>
      <c r="BY124" s="22">
        <v>602</v>
      </c>
      <c r="CD124" s="22">
        <v>600</v>
      </c>
      <c r="CG124" s="22">
        <v>603</v>
      </c>
      <c r="DB124" s="22">
        <v>600</v>
      </c>
      <c r="DF124" s="22">
        <v>600</v>
      </c>
      <c r="DJ124" s="22">
        <v>300</v>
      </c>
      <c r="DN124" s="22">
        <v>1200</v>
      </c>
      <c r="DS124" s="22">
        <v>1200</v>
      </c>
      <c r="DX124" s="22">
        <v>600</v>
      </c>
      <c r="EE124" s="22">
        <v>1200</v>
      </c>
      <c r="EG124" s="22">
        <v>1200</v>
      </c>
      <c r="EK124" s="22">
        <v>1200</v>
      </c>
      <c r="EM124" s="22">
        <v>300</v>
      </c>
      <c r="EN124" s="22">
        <v>600</v>
      </c>
      <c r="ET124" s="22">
        <v>600</v>
      </c>
      <c r="FK124" s="22">
        <v>600</v>
      </c>
      <c r="GB124" s="22">
        <v>600</v>
      </c>
      <c r="GI124" s="22">
        <v>600</v>
      </c>
      <c r="GL124" s="22">
        <v>1200</v>
      </c>
      <c r="GO124" s="22">
        <v>300</v>
      </c>
      <c r="GP124" s="22">
        <v>600</v>
      </c>
      <c r="GR124" s="22">
        <v>600</v>
      </c>
      <c r="GT124" s="22">
        <v>1200</v>
      </c>
      <c r="GZ124" s="22">
        <v>900</v>
      </c>
      <c r="HF124" s="22">
        <v>300</v>
      </c>
      <c r="HH124" s="22">
        <v>600</v>
      </c>
      <c r="HI124" s="22">
        <v>600</v>
      </c>
      <c r="HJ124" s="22">
        <v>1200</v>
      </c>
      <c r="HK124" s="22">
        <v>1200</v>
      </c>
      <c r="HV124" s="22">
        <v>600</v>
      </c>
      <c r="HY124" s="22">
        <v>300</v>
      </c>
      <c r="IB124" s="22">
        <v>600</v>
      </c>
      <c r="ID124" s="22">
        <v>1200</v>
      </c>
      <c r="IF124" s="22">
        <v>600</v>
      </c>
      <c r="IL124" s="22">
        <v>600</v>
      </c>
      <c r="IR124" s="22">
        <v>600</v>
      </c>
      <c r="JC124" s="22">
        <v>600</v>
      </c>
      <c r="JG124" s="22">
        <v>300</v>
      </c>
      <c r="JI124" s="22">
        <v>600</v>
      </c>
      <c r="JM124" s="22">
        <v>300</v>
      </c>
      <c r="JP124" s="22">
        <v>600</v>
      </c>
      <c r="JU124" s="22">
        <v>600</v>
      </c>
      <c r="JW124" s="22">
        <v>600</v>
      </c>
      <c r="KB124" s="22">
        <v>1200</v>
      </c>
      <c r="KD124" s="22">
        <v>600</v>
      </c>
      <c r="KI124" s="22">
        <v>600</v>
      </c>
      <c r="KL124" s="22">
        <v>600</v>
      </c>
      <c r="KN124" s="22">
        <v>600</v>
      </c>
      <c r="KO124" s="22">
        <v>300</v>
      </c>
      <c r="KS124" s="22">
        <v>600</v>
      </c>
      <c r="KU124" s="22">
        <v>600</v>
      </c>
      <c r="LZ124" s="22">
        <v>300</v>
      </c>
      <c r="MG124" s="22">
        <v>300</v>
      </c>
      <c r="MI124" s="22">
        <v>300</v>
      </c>
      <c r="MN124" s="22">
        <v>300</v>
      </c>
      <c r="MQ124" s="22">
        <v>300</v>
      </c>
      <c r="MS124" s="22">
        <v>600</v>
      </c>
      <c r="OJ124" s="22">
        <v>180</v>
      </c>
      <c r="OZ124" s="115"/>
      <c r="PA124" s="115"/>
      <c r="PB124" s="115"/>
      <c r="PC124" s="115"/>
      <c r="PD124" s="115"/>
      <c r="PE124" s="115"/>
      <c r="PF124" s="115"/>
      <c r="PG124" s="115"/>
      <c r="PH124" s="115"/>
      <c r="PI124" s="115"/>
      <c r="PJ124" s="115"/>
      <c r="PK124" s="115"/>
      <c r="PL124" s="115"/>
      <c r="PM124" s="115"/>
      <c r="PN124" s="115"/>
      <c r="PO124" s="115"/>
      <c r="PP124" s="115"/>
      <c r="PQ124" s="115"/>
      <c r="PR124" s="115"/>
      <c r="PS124" s="115"/>
      <c r="PT124" s="115"/>
      <c r="PU124" s="115"/>
      <c r="PV124" s="115"/>
      <c r="PW124" s="115"/>
      <c r="PX124" s="115"/>
      <c r="PY124" s="115"/>
      <c r="PZ124" s="115"/>
      <c r="QA124" s="115"/>
      <c r="QB124" s="115"/>
      <c r="QC124" s="115"/>
      <c r="QD124" s="115"/>
      <c r="QE124" s="115"/>
      <c r="QF124" s="115"/>
      <c r="QG124" s="115"/>
      <c r="QH124" s="115"/>
      <c r="QI124" s="115"/>
      <c r="QJ124" s="115"/>
      <c r="QK124" s="115"/>
      <c r="QL124" s="115"/>
      <c r="QM124" s="115"/>
      <c r="QN124" s="115"/>
      <c r="QO124" s="115"/>
      <c r="QP124" s="115"/>
      <c r="QQ124" s="115"/>
      <c r="QR124" s="115"/>
      <c r="QS124" s="115"/>
      <c r="QT124" s="115"/>
      <c r="QU124" s="115"/>
      <c r="QV124" s="115"/>
      <c r="QW124" s="115"/>
      <c r="QX124" s="115"/>
      <c r="QY124" s="115"/>
      <c r="QZ124" s="115"/>
      <c r="RA124" s="115"/>
      <c r="RB124" s="115"/>
      <c r="RC124" s="115"/>
      <c r="RD124" s="115"/>
      <c r="RE124" s="115"/>
      <c r="RF124" s="115"/>
      <c r="RG124" s="115"/>
      <c r="RH124" s="115"/>
      <c r="RI124" s="115"/>
      <c r="RJ124" s="115"/>
      <c r="RK124" s="115"/>
      <c r="RL124" s="115"/>
      <c r="RM124" s="115"/>
      <c r="RN124" s="115"/>
      <c r="RO124" s="115"/>
      <c r="RP124" s="115"/>
      <c r="RQ124" s="115"/>
      <c r="RR124" s="115"/>
      <c r="RS124" s="115"/>
      <c r="RT124" s="115"/>
      <c r="RU124" s="115"/>
      <c r="RV124" s="115"/>
      <c r="RW124" s="115"/>
      <c r="RX124" s="115"/>
      <c r="RY124" s="115"/>
      <c r="RZ124" s="115"/>
      <c r="SA124" s="115"/>
      <c r="SB124" s="115"/>
      <c r="SC124" s="115"/>
      <c r="SD124" s="115"/>
      <c r="SE124" s="115"/>
      <c r="SF124" s="115"/>
      <c r="SG124" s="115"/>
      <c r="SH124" s="115"/>
      <c r="SI124" s="115"/>
      <c r="SJ124" s="115"/>
      <c r="SK124" s="115"/>
      <c r="SL124" s="115"/>
      <c r="SM124" s="115"/>
      <c r="SN124" s="115"/>
      <c r="SO124" s="115"/>
      <c r="SP124" s="115"/>
      <c r="SQ124" s="115"/>
      <c r="SR124" s="115"/>
      <c r="SS124" s="115"/>
      <c r="ST124" s="115"/>
      <c r="SU124" s="115"/>
      <c r="SV124" s="115"/>
      <c r="SW124" s="115"/>
      <c r="SX124" s="115"/>
      <c r="SY124" s="115"/>
      <c r="SZ124" s="115"/>
      <c r="TA124" s="115"/>
      <c r="TB124" s="115"/>
      <c r="TC124" s="115"/>
      <c r="TD124" s="115"/>
      <c r="TE124" s="115"/>
      <c r="TF124" s="115"/>
      <c r="TG124" s="115"/>
      <c r="TH124" s="115"/>
      <c r="TI124" s="115"/>
      <c r="TJ124" s="115"/>
      <c r="TK124" s="115"/>
      <c r="TL124" s="115"/>
      <c r="TM124" s="115"/>
      <c r="TN124" s="115"/>
      <c r="TO124" s="115"/>
      <c r="TP124" s="115"/>
      <c r="TQ124" s="115">
        <v>200</v>
      </c>
      <c r="TR124" s="115"/>
      <c r="TS124" s="115"/>
      <c r="TT124" s="115"/>
      <c r="TU124" s="115"/>
      <c r="TV124" s="115"/>
      <c r="TW124" s="115"/>
      <c r="TX124" s="115"/>
      <c r="TY124" s="115"/>
      <c r="TZ124" s="115"/>
      <c r="UA124" s="115"/>
      <c r="UB124" s="115"/>
      <c r="UC124" s="115"/>
      <c r="UD124" s="115"/>
      <c r="UE124" s="115"/>
      <c r="UF124" s="115"/>
      <c r="UG124" s="115"/>
      <c r="UH124" s="115"/>
      <c r="UI124" s="115"/>
      <c r="UJ124" s="115"/>
      <c r="UK124" s="115"/>
      <c r="UL124" s="115"/>
      <c r="UM124" s="115"/>
      <c r="UN124" s="115"/>
      <c r="UO124" s="115"/>
      <c r="UP124" s="115"/>
      <c r="UQ124" s="115"/>
      <c r="UR124" s="115"/>
      <c r="US124" s="115"/>
      <c r="UT124" s="115"/>
      <c r="UU124" s="115"/>
      <c r="UV124" s="115"/>
      <c r="UW124" s="115"/>
      <c r="UX124" s="115"/>
      <c r="UY124" s="115"/>
      <c r="UZ124" s="115"/>
      <c r="VA124" s="115"/>
      <c r="VB124" s="115"/>
      <c r="VC124" s="115"/>
      <c r="VD124" s="115"/>
      <c r="VE124" s="115"/>
      <c r="VF124" s="115"/>
      <c r="VG124" s="115"/>
      <c r="VH124" s="115"/>
      <c r="VI124" s="115"/>
      <c r="VJ124" s="115"/>
      <c r="VK124" s="115"/>
      <c r="VL124" s="115"/>
      <c r="VM124" s="115"/>
      <c r="VN124" s="115"/>
      <c r="VO124" s="115"/>
      <c r="VP124" s="115"/>
      <c r="VQ124" s="115"/>
      <c r="VR124" s="115"/>
      <c r="VS124" s="115"/>
      <c r="VT124" s="115"/>
      <c r="VU124" s="115"/>
      <c r="VV124" s="115"/>
      <c r="VW124" s="115"/>
      <c r="VX124" s="115"/>
      <c r="VY124" s="115"/>
      <c r="VZ124" s="115"/>
      <c r="WA124" s="115"/>
      <c r="WB124" s="115"/>
      <c r="WC124" s="115"/>
      <c r="WD124" s="115"/>
      <c r="WE124" s="115"/>
      <c r="WF124" s="115"/>
      <c r="WG124" s="115"/>
      <c r="WH124" s="115"/>
      <c r="WI124" s="115"/>
      <c r="WJ124" s="115"/>
      <c r="WK124" s="115"/>
      <c r="WL124" s="115"/>
      <c r="WM124" s="115"/>
      <c r="WN124" s="115"/>
      <c r="WO124" s="115"/>
      <c r="WP124" s="115"/>
      <c r="WQ124" s="115"/>
      <c r="WR124" s="115"/>
      <c r="WS124" s="115"/>
      <c r="WT124" s="115"/>
      <c r="WU124" s="115"/>
      <c r="WV124" s="115"/>
      <c r="WW124" s="115"/>
      <c r="WX124" s="115"/>
      <c r="WY124" s="115"/>
      <c r="WZ124" s="115"/>
      <c r="XA124" s="115"/>
      <c r="XB124" s="115"/>
      <c r="XC124" s="115"/>
      <c r="XD124" s="115"/>
      <c r="XE124" s="115"/>
      <c r="XF124" s="115"/>
      <c r="XG124" s="115"/>
      <c r="XH124" s="115"/>
      <c r="XI124" s="115"/>
      <c r="XJ124" s="115"/>
      <c r="XK124" s="115"/>
      <c r="XL124" s="115"/>
      <c r="XM124" s="115"/>
      <c r="XN124" s="115"/>
      <c r="XO124" s="115"/>
      <c r="XP124" s="115"/>
      <c r="XQ124" s="115"/>
      <c r="XR124" s="115"/>
      <c r="XS124" s="115"/>
      <c r="XT124" s="115"/>
      <c r="XU124" s="115"/>
      <c r="XV124" s="115"/>
      <c r="XW124" s="115"/>
      <c r="XX124" s="115"/>
      <c r="XY124" s="115"/>
      <c r="XZ124" s="115"/>
      <c r="YA124" s="115"/>
      <c r="YB124" s="115"/>
      <c r="YC124" s="115"/>
      <c r="YD124" s="115"/>
      <c r="YE124" s="115"/>
      <c r="YF124" s="115"/>
      <c r="YG124" s="115"/>
      <c r="YH124" s="115"/>
      <c r="YI124" s="115"/>
      <c r="YJ124" s="115"/>
      <c r="YK124" s="115"/>
      <c r="YL124" s="115"/>
      <c r="YM124" s="115"/>
      <c r="YN124" s="115"/>
      <c r="YO124" s="115"/>
      <c r="YP124" s="115"/>
      <c r="YQ124" s="115"/>
      <c r="YX124" s="22">
        <v>41345</v>
      </c>
      <c r="YY124" s="22">
        <f>VLOOKUP(B124,'SCAFFOLDING MATERIAL OVERALL'!B126:S308,18,FALSE)</f>
        <v>2.46</v>
      </c>
      <c r="YZ124" s="22">
        <f t="shared" si="1"/>
        <v>101708.7</v>
      </c>
    </row>
    <row r="125" spans="1:676" s="22" customFormat="1" x14ac:dyDescent="0.25">
      <c r="A125" s="14">
        <v>121</v>
      </c>
      <c r="B125" s="15" t="s">
        <v>1467</v>
      </c>
      <c r="C125" s="16" t="s">
        <v>134</v>
      </c>
      <c r="D125" s="44" t="s">
        <v>12</v>
      </c>
      <c r="L125" s="22">
        <v>488</v>
      </c>
      <c r="P125" s="22">
        <v>257</v>
      </c>
      <c r="Q125" s="22">
        <v>485</v>
      </c>
      <c r="S125" s="22">
        <v>400</v>
      </c>
      <c r="U125" s="22">
        <v>416</v>
      </c>
      <c r="W125" s="22">
        <v>1112</v>
      </c>
      <c r="AE125" s="22">
        <v>571</v>
      </c>
      <c r="AH125" s="22">
        <v>1492</v>
      </c>
      <c r="AK125" s="22">
        <v>1702</v>
      </c>
      <c r="AL125" s="22">
        <v>900</v>
      </c>
      <c r="AO125" s="22">
        <v>588</v>
      </c>
      <c r="AS125" s="22">
        <v>596</v>
      </c>
      <c r="AW125" s="22">
        <v>596</v>
      </c>
      <c r="AY125" s="22">
        <v>300</v>
      </c>
      <c r="AZ125" s="22">
        <v>300</v>
      </c>
      <c r="BY125" s="22">
        <v>582</v>
      </c>
      <c r="CG125" s="22">
        <v>600</v>
      </c>
      <c r="CS125" s="22">
        <v>600</v>
      </c>
      <c r="CZ125" s="22">
        <v>300</v>
      </c>
      <c r="DA125" s="22">
        <v>600</v>
      </c>
      <c r="DB125" s="22">
        <v>300</v>
      </c>
      <c r="DF125" s="22">
        <v>600</v>
      </c>
      <c r="DG125" s="22">
        <v>600</v>
      </c>
      <c r="DJ125" s="22">
        <v>900</v>
      </c>
      <c r="DM125" s="22">
        <v>1192</v>
      </c>
      <c r="DN125" s="22">
        <v>596</v>
      </c>
      <c r="DS125" s="22">
        <v>1200</v>
      </c>
      <c r="DX125" s="22">
        <v>1200</v>
      </c>
      <c r="EE125" s="22">
        <v>1200</v>
      </c>
      <c r="EG125" s="22">
        <v>1200</v>
      </c>
      <c r="EK125" s="22">
        <v>1200</v>
      </c>
      <c r="EM125" s="22">
        <v>900</v>
      </c>
      <c r="FE125" s="22">
        <v>600</v>
      </c>
      <c r="FS125" s="22">
        <v>600</v>
      </c>
      <c r="FY125" s="22">
        <v>300</v>
      </c>
      <c r="GA125" s="22">
        <v>300</v>
      </c>
      <c r="GB125" s="22">
        <v>300</v>
      </c>
      <c r="GI125" s="22">
        <v>600</v>
      </c>
      <c r="GL125" s="22">
        <v>1200</v>
      </c>
      <c r="GM125" s="22">
        <v>1200</v>
      </c>
      <c r="GO125" s="22">
        <v>600</v>
      </c>
      <c r="GR125" s="22">
        <v>1200</v>
      </c>
      <c r="GT125" s="22">
        <v>1200</v>
      </c>
      <c r="GZ125" s="22">
        <v>1200</v>
      </c>
      <c r="HF125" s="22">
        <v>300</v>
      </c>
      <c r="HH125" s="22">
        <v>600</v>
      </c>
      <c r="HI125" s="22">
        <v>1200</v>
      </c>
      <c r="HJ125" s="22">
        <v>600</v>
      </c>
      <c r="HL125" s="22">
        <v>1200</v>
      </c>
      <c r="HN125" s="22">
        <v>600</v>
      </c>
      <c r="HV125" s="22">
        <v>600</v>
      </c>
      <c r="ID125" s="22">
        <v>1800</v>
      </c>
      <c r="IF125" s="22">
        <v>600</v>
      </c>
      <c r="II125" s="22">
        <v>600</v>
      </c>
      <c r="IN125" s="22">
        <v>600</v>
      </c>
      <c r="IO125" s="22">
        <v>600</v>
      </c>
      <c r="IV125" s="22">
        <v>600</v>
      </c>
      <c r="IX125" s="22">
        <v>600</v>
      </c>
      <c r="JG125" s="22">
        <v>600</v>
      </c>
      <c r="JI125" s="22">
        <v>600</v>
      </c>
      <c r="JK125" s="22">
        <v>600</v>
      </c>
      <c r="JM125" s="22">
        <v>300</v>
      </c>
      <c r="JP125" s="22">
        <v>600</v>
      </c>
      <c r="JT125" s="22">
        <v>600</v>
      </c>
      <c r="JW125" s="22">
        <v>300</v>
      </c>
      <c r="JX125" s="22">
        <v>300</v>
      </c>
      <c r="KB125" s="22">
        <v>600</v>
      </c>
      <c r="KH125" s="22">
        <v>600</v>
      </c>
      <c r="KN125" s="22">
        <v>600</v>
      </c>
      <c r="KV125" s="22">
        <v>600</v>
      </c>
      <c r="LN125" s="22">
        <v>1200</v>
      </c>
      <c r="LQ125" s="22">
        <v>600</v>
      </c>
      <c r="LU125" s="22">
        <v>600</v>
      </c>
      <c r="LX125" s="22">
        <v>600</v>
      </c>
      <c r="LY125" s="22">
        <v>600</v>
      </c>
      <c r="MG125" s="22">
        <v>300</v>
      </c>
      <c r="MI125" s="22">
        <v>300</v>
      </c>
      <c r="MQ125" s="22">
        <v>300</v>
      </c>
      <c r="NC125" s="22">
        <v>141</v>
      </c>
      <c r="OZ125" s="115"/>
      <c r="PA125" s="115"/>
      <c r="PB125" s="115"/>
      <c r="PC125" s="115"/>
      <c r="PD125" s="115"/>
      <c r="PE125" s="115"/>
      <c r="PF125" s="115"/>
      <c r="PG125" s="115"/>
      <c r="PH125" s="115"/>
      <c r="PI125" s="115"/>
      <c r="PJ125" s="115"/>
      <c r="PK125" s="115"/>
      <c r="PL125" s="115"/>
      <c r="PM125" s="115"/>
      <c r="PN125" s="115"/>
      <c r="PO125" s="115"/>
      <c r="PP125" s="115"/>
      <c r="PQ125" s="115"/>
      <c r="PR125" s="115"/>
      <c r="PS125" s="115"/>
      <c r="PT125" s="115"/>
      <c r="PU125" s="115"/>
      <c r="PV125" s="115"/>
      <c r="PW125" s="115"/>
      <c r="PX125" s="115"/>
      <c r="PY125" s="115"/>
      <c r="PZ125" s="115"/>
      <c r="QA125" s="115"/>
      <c r="QB125" s="115"/>
      <c r="QC125" s="115"/>
      <c r="QD125" s="115"/>
      <c r="QE125" s="115"/>
      <c r="QF125" s="115"/>
      <c r="QG125" s="115"/>
      <c r="QH125" s="115"/>
      <c r="QI125" s="115"/>
      <c r="QJ125" s="115"/>
      <c r="QK125" s="115"/>
      <c r="QL125" s="115"/>
      <c r="QM125" s="115"/>
      <c r="QN125" s="115"/>
      <c r="QO125" s="115"/>
      <c r="QP125" s="115"/>
      <c r="QQ125" s="115"/>
      <c r="QR125" s="115"/>
      <c r="QS125" s="115"/>
      <c r="QT125" s="115"/>
      <c r="QU125" s="115"/>
      <c r="QV125" s="115"/>
      <c r="QW125" s="115"/>
      <c r="QX125" s="115"/>
      <c r="QY125" s="115"/>
      <c r="QZ125" s="115"/>
      <c r="RA125" s="115"/>
      <c r="RB125" s="115"/>
      <c r="RC125" s="115"/>
      <c r="RD125" s="115"/>
      <c r="RE125" s="115"/>
      <c r="RF125" s="115"/>
      <c r="RG125" s="115"/>
      <c r="RH125" s="115"/>
      <c r="RI125" s="115"/>
      <c r="RJ125" s="115"/>
      <c r="RK125" s="115"/>
      <c r="RL125" s="115"/>
      <c r="RM125" s="115"/>
      <c r="RN125" s="115"/>
      <c r="RO125" s="115"/>
      <c r="RP125" s="115"/>
      <c r="RQ125" s="115"/>
      <c r="RR125" s="115"/>
      <c r="RS125" s="115"/>
      <c r="RT125" s="115"/>
      <c r="RU125" s="115"/>
      <c r="RV125" s="115"/>
      <c r="RW125" s="115"/>
      <c r="RX125" s="115"/>
      <c r="RY125" s="115"/>
      <c r="RZ125" s="115"/>
      <c r="SA125" s="115"/>
      <c r="SB125" s="115"/>
      <c r="SC125" s="115"/>
      <c r="SD125" s="115"/>
      <c r="SE125" s="115"/>
      <c r="SF125" s="115"/>
      <c r="SG125" s="115"/>
      <c r="SH125" s="115"/>
      <c r="SI125" s="115"/>
      <c r="SJ125" s="115"/>
      <c r="SK125" s="115"/>
      <c r="SL125" s="115"/>
      <c r="SM125" s="115"/>
      <c r="SN125" s="115"/>
      <c r="SO125" s="115"/>
      <c r="SP125" s="115"/>
      <c r="SQ125" s="115"/>
      <c r="SR125" s="115"/>
      <c r="SS125" s="115"/>
      <c r="ST125" s="115"/>
      <c r="SU125" s="115"/>
      <c r="SV125" s="115"/>
      <c r="SW125" s="115"/>
      <c r="SX125" s="115"/>
      <c r="SY125" s="115"/>
      <c r="SZ125" s="115"/>
      <c r="TA125" s="115"/>
      <c r="TB125" s="115"/>
      <c r="TC125" s="115"/>
      <c r="TD125" s="115"/>
      <c r="TE125" s="115"/>
      <c r="TF125" s="115"/>
      <c r="TG125" s="115"/>
      <c r="TH125" s="115"/>
      <c r="TI125" s="115"/>
      <c r="TJ125" s="115"/>
      <c r="TK125" s="115"/>
      <c r="TL125" s="115"/>
      <c r="TM125" s="115"/>
      <c r="TN125" s="115"/>
      <c r="TO125" s="115"/>
      <c r="TP125" s="115"/>
      <c r="TQ125" s="115"/>
      <c r="TR125" s="115"/>
      <c r="TS125" s="115"/>
      <c r="TT125" s="115"/>
      <c r="TU125" s="115"/>
      <c r="TV125" s="115"/>
      <c r="TW125" s="115"/>
      <c r="TX125" s="115"/>
      <c r="TY125" s="115"/>
      <c r="TZ125" s="115"/>
      <c r="UA125" s="115"/>
      <c r="UB125" s="115"/>
      <c r="UC125" s="115"/>
      <c r="UD125" s="115"/>
      <c r="UE125" s="115"/>
      <c r="UF125" s="115"/>
      <c r="UG125" s="115"/>
      <c r="UH125" s="115"/>
      <c r="UI125" s="115"/>
      <c r="UJ125" s="115"/>
      <c r="UK125" s="115"/>
      <c r="UL125" s="115"/>
      <c r="UM125" s="115"/>
      <c r="UN125" s="115"/>
      <c r="UO125" s="115"/>
      <c r="UP125" s="115"/>
      <c r="UQ125" s="115"/>
      <c r="UR125" s="115"/>
      <c r="US125" s="115"/>
      <c r="UT125" s="115"/>
      <c r="UU125" s="115"/>
      <c r="UV125" s="115"/>
      <c r="UW125" s="115"/>
      <c r="UX125" s="115"/>
      <c r="UY125" s="115"/>
      <c r="UZ125" s="115"/>
      <c r="VA125" s="115"/>
      <c r="VB125" s="115"/>
      <c r="VC125" s="115"/>
      <c r="VD125" s="115"/>
      <c r="VE125" s="115"/>
      <c r="VF125" s="115"/>
      <c r="VG125" s="115"/>
      <c r="VH125" s="115"/>
      <c r="VI125" s="115"/>
      <c r="VJ125" s="115"/>
      <c r="VK125" s="115"/>
      <c r="VL125" s="115"/>
      <c r="VM125" s="115"/>
      <c r="VN125" s="115"/>
      <c r="VO125" s="115"/>
      <c r="VP125" s="115"/>
      <c r="VQ125" s="115"/>
      <c r="VR125" s="115"/>
      <c r="VS125" s="115"/>
      <c r="VT125" s="115"/>
      <c r="VU125" s="115"/>
      <c r="VV125" s="115"/>
      <c r="VW125" s="115"/>
      <c r="VX125" s="115"/>
      <c r="VY125" s="115"/>
      <c r="VZ125" s="115"/>
      <c r="WA125" s="115"/>
      <c r="WB125" s="115"/>
      <c r="WC125" s="115"/>
      <c r="WD125" s="115"/>
      <c r="WE125" s="115"/>
      <c r="WF125" s="115"/>
      <c r="WG125" s="115"/>
      <c r="WH125" s="115"/>
      <c r="WI125" s="115"/>
      <c r="WJ125" s="115"/>
      <c r="WK125" s="115"/>
      <c r="WL125" s="115"/>
      <c r="WM125" s="115"/>
      <c r="WN125" s="115"/>
      <c r="WO125" s="115"/>
      <c r="WP125" s="115"/>
      <c r="WQ125" s="115"/>
      <c r="WR125" s="115"/>
      <c r="WS125" s="115"/>
      <c r="WT125" s="115"/>
      <c r="WU125" s="115"/>
      <c r="WV125" s="115"/>
      <c r="WW125" s="115"/>
      <c r="WX125" s="115"/>
      <c r="WY125" s="115"/>
      <c r="WZ125" s="115"/>
      <c r="XA125" s="115"/>
      <c r="XB125" s="115"/>
      <c r="XC125" s="115"/>
      <c r="XD125" s="115"/>
      <c r="XE125" s="115"/>
      <c r="XF125" s="115"/>
      <c r="XG125" s="115"/>
      <c r="XH125" s="115"/>
      <c r="XI125" s="115"/>
      <c r="XJ125" s="115"/>
      <c r="XK125" s="115"/>
      <c r="XL125" s="115"/>
      <c r="XM125" s="115"/>
      <c r="XN125" s="115"/>
      <c r="XO125" s="115"/>
      <c r="XP125" s="115"/>
      <c r="XQ125" s="115"/>
      <c r="XR125" s="115"/>
      <c r="XS125" s="115"/>
      <c r="XT125" s="115"/>
      <c r="XU125" s="115"/>
      <c r="XV125" s="115"/>
      <c r="XW125" s="115"/>
      <c r="XX125" s="115"/>
      <c r="XY125" s="115"/>
      <c r="XZ125" s="115"/>
      <c r="YA125" s="115"/>
      <c r="YB125" s="115"/>
      <c r="YC125" s="115"/>
      <c r="YD125" s="115"/>
      <c r="YE125" s="115"/>
      <c r="YF125" s="115"/>
      <c r="YG125" s="115"/>
      <c r="YH125" s="115"/>
      <c r="YI125" s="115"/>
      <c r="YJ125" s="115"/>
      <c r="YK125" s="115"/>
      <c r="YL125" s="115"/>
      <c r="YM125" s="115"/>
      <c r="YN125" s="115"/>
      <c r="YO125" s="115"/>
      <c r="YP125" s="115"/>
      <c r="YQ125" s="115"/>
      <c r="YX125" s="22">
        <v>54714</v>
      </c>
      <c r="YY125" s="22">
        <v>2.87</v>
      </c>
      <c r="YZ125" s="22">
        <f t="shared" si="1"/>
        <v>157029.18</v>
      </c>
    </row>
    <row r="126" spans="1:676" s="22" customFormat="1" x14ac:dyDescent="0.25">
      <c r="A126" s="17">
        <v>122</v>
      </c>
      <c r="B126" s="15">
        <v>3000002700</v>
      </c>
      <c r="C126" s="16" t="s">
        <v>135</v>
      </c>
      <c r="D126" s="44" t="s">
        <v>12</v>
      </c>
      <c r="F126" s="22">
        <v>300</v>
      </c>
      <c r="G126" s="22">
        <v>200</v>
      </c>
      <c r="I126" s="22">
        <v>4</v>
      </c>
      <c r="J126" s="22">
        <v>240</v>
      </c>
      <c r="L126" s="22">
        <v>300</v>
      </c>
      <c r="U126" s="22">
        <v>314</v>
      </c>
      <c r="W126" s="22">
        <v>676</v>
      </c>
      <c r="Y126" s="22">
        <v>30</v>
      </c>
      <c r="AE126" s="22">
        <v>396</v>
      </c>
      <c r="AH126" s="22">
        <v>382</v>
      </c>
      <c r="AK126" s="22">
        <v>120</v>
      </c>
      <c r="AL126" s="22">
        <v>417</v>
      </c>
      <c r="AO126" s="22">
        <v>108</v>
      </c>
      <c r="AP126" s="22">
        <v>390</v>
      </c>
      <c r="AS126" s="22">
        <v>110</v>
      </c>
      <c r="AU126" s="22">
        <v>48</v>
      </c>
      <c r="AW126" s="22">
        <v>60</v>
      </c>
      <c r="AY126" s="22">
        <v>34</v>
      </c>
      <c r="AZ126" s="22">
        <v>18</v>
      </c>
      <c r="BJ126" s="22">
        <v>2</v>
      </c>
      <c r="BN126" s="22">
        <v>104</v>
      </c>
      <c r="BR126" s="22">
        <v>708</v>
      </c>
      <c r="BS126" s="22">
        <v>36</v>
      </c>
      <c r="BT126" s="22">
        <v>100</v>
      </c>
      <c r="BV126" s="22">
        <v>67</v>
      </c>
      <c r="BW126" s="22">
        <v>76</v>
      </c>
      <c r="BX126" s="22">
        <v>56</v>
      </c>
      <c r="BY126" s="22">
        <v>80</v>
      </c>
      <c r="BZ126" s="22">
        <v>50</v>
      </c>
      <c r="CA126" s="22">
        <v>8</v>
      </c>
      <c r="CC126" s="22">
        <v>28</v>
      </c>
      <c r="CD126" s="22">
        <v>694</v>
      </c>
      <c r="CG126" s="22">
        <v>656</v>
      </c>
      <c r="CK126" s="22">
        <v>664</v>
      </c>
      <c r="CN126" s="22">
        <v>18</v>
      </c>
      <c r="CQ126" s="22">
        <v>36</v>
      </c>
      <c r="CS126" s="22">
        <v>16</v>
      </c>
      <c r="CT126" s="22">
        <v>36</v>
      </c>
      <c r="CZ126" s="22">
        <v>286</v>
      </c>
      <c r="DA126" s="22">
        <v>108</v>
      </c>
      <c r="DB126" s="22">
        <v>398</v>
      </c>
      <c r="DE126" s="22">
        <v>46</v>
      </c>
      <c r="DF126" s="22">
        <v>746</v>
      </c>
      <c r="DG126" s="22">
        <v>72</v>
      </c>
      <c r="DJ126" s="22">
        <v>82</v>
      </c>
      <c r="DM126" s="22">
        <v>96</v>
      </c>
      <c r="DN126" s="22">
        <v>122</v>
      </c>
      <c r="DP126" s="22">
        <v>18</v>
      </c>
      <c r="DS126" s="22">
        <v>148</v>
      </c>
      <c r="DT126" s="22">
        <v>34</v>
      </c>
      <c r="DV126" s="22">
        <v>323</v>
      </c>
      <c r="DX126" s="22">
        <v>148</v>
      </c>
      <c r="EE126" s="22">
        <v>164</v>
      </c>
      <c r="EG126" s="22">
        <v>140</v>
      </c>
      <c r="EH126" s="22">
        <v>36</v>
      </c>
      <c r="EI126" s="22">
        <v>40</v>
      </c>
      <c r="EK126" s="22">
        <v>140</v>
      </c>
      <c r="EL126" s="22">
        <v>22</v>
      </c>
      <c r="EM126" s="22">
        <v>52</v>
      </c>
      <c r="EN126" s="22">
        <v>342</v>
      </c>
      <c r="ET126" s="22">
        <v>88</v>
      </c>
      <c r="EU126" s="22">
        <v>34</v>
      </c>
      <c r="EX126" s="22">
        <v>120</v>
      </c>
      <c r="EY126" s="22">
        <v>8</v>
      </c>
      <c r="EZ126" s="22">
        <v>36</v>
      </c>
      <c r="FA126" s="22">
        <v>58</v>
      </c>
      <c r="FB126" s="22">
        <v>20</v>
      </c>
      <c r="FC126" s="22">
        <v>56</v>
      </c>
      <c r="FD126" s="22">
        <v>52</v>
      </c>
      <c r="FE126" s="22">
        <v>112</v>
      </c>
      <c r="FF126" s="22">
        <v>8</v>
      </c>
      <c r="FG126" s="22">
        <v>16</v>
      </c>
      <c r="FH126" s="22">
        <v>636</v>
      </c>
      <c r="FJ126" s="22">
        <v>20</v>
      </c>
      <c r="FK126" s="22">
        <v>682</v>
      </c>
      <c r="FL126" s="22">
        <v>20</v>
      </c>
      <c r="FM126" s="22">
        <v>26</v>
      </c>
      <c r="FP126" s="22">
        <v>322</v>
      </c>
      <c r="FR126" s="22">
        <v>80</v>
      </c>
      <c r="FS126" s="22">
        <v>56</v>
      </c>
      <c r="FY126" s="22">
        <v>26</v>
      </c>
      <c r="GA126" s="22">
        <v>376</v>
      </c>
      <c r="GB126" s="22">
        <v>60</v>
      </c>
      <c r="GC126" s="22">
        <v>640</v>
      </c>
      <c r="GD126" s="22">
        <v>616</v>
      </c>
      <c r="GE126" s="22">
        <v>688</v>
      </c>
      <c r="GH126" s="22">
        <v>696</v>
      </c>
      <c r="GI126" s="22">
        <v>764</v>
      </c>
      <c r="GJ126" s="22">
        <v>628</v>
      </c>
      <c r="GL126" s="22">
        <v>86</v>
      </c>
      <c r="GM126" s="22">
        <v>356</v>
      </c>
      <c r="GN126" s="22">
        <v>624</v>
      </c>
      <c r="GO126" s="22">
        <v>968</v>
      </c>
      <c r="GP126" s="22">
        <v>1626</v>
      </c>
      <c r="GQ126" s="22">
        <v>8</v>
      </c>
      <c r="GR126" s="22">
        <v>122</v>
      </c>
      <c r="GS126" s="22">
        <v>10</v>
      </c>
      <c r="GT126" s="22">
        <v>64</v>
      </c>
      <c r="GZ126" s="22">
        <v>1348</v>
      </c>
      <c r="HA126" s="22">
        <v>6</v>
      </c>
      <c r="HE126" s="22">
        <v>80</v>
      </c>
      <c r="HF126" s="22">
        <v>26</v>
      </c>
      <c r="HH126" s="22">
        <v>124</v>
      </c>
      <c r="HI126" s="22">
        <v>1352</v>
      </c>
      <c r="HJ126" s="22">
        <v>124</v>
      </c>
      <c r="HK126" s="22">
        <v>1900</v>
      </c>
      <c r="HL126" s="22">
        <v>144</v>
      </c>
      <c r="HN126" s="22">
        <v>58</v>
      </c>
      <c r="HO126" s="22">
        <v>712</v>
      </c>
      <c r="HV126" s="22">
        <v>108</v>
      </c>
      <c r="HX126" s="22">
        <v>8</v>
      </c>
      <c r="HY126" s="22">
        <v>28</v>
      </c>
      <c r="IB126" s="22">
        <v>52</v>
      </c>
      <c r="ID126" s="22">
        <v>100</v>
      </c>
      <c r="IE126" s="22">
        <v>632</v>
      </c>
      <c r="IF126" s="22">
        <v>764</v>
      </c>
      <c r="IH126" s="22">
        <v>20</v>
      </c>
      <c r="II126" s="22">
        <v>652</v>
      </c>
      <c r="IK126" s="22">
        <v>16</v>
      </c>
      <c r="IL126" s="22">
        <v>52</v>
      </c>
      <c r="IN126" s="22">
        <v>88</v>
      </c>
      <c r="IO126" s="22">
        <v>76</v>
      </c>
      <c r="IR126" s="22">
        <v>96</v>
      </c>
      <c r="IS126" s="22">
        <v>8</v>
      </c>
      <c r="IV126" s="22">
        <v>74</v>
      </c>
      <c r="IX126" s="22">
        <v>110</v>
      </c>
      <c r="IY126" s="22">
        <v>36</v>
      </c>
      <c r="IZ126" s="22">
        <v>40</v>
      </c>
      <c r="JC126" s="22">
        <v>32</v>
      </c>
      <c r="JG126" s="22">
        <v>136</v>
      </c>
      <c r="JH126" s="22">
        <v>634</v>
      </c>
      <c r="JI126" s="22">
        <v>72</v>
      </c>
      <c r="JK126" s="22">
        <v>128</v>
      </c>
      <c r="JL126" s="22">
        <v>56</v>
      </c>
      <c r="JM126" s="22">
        <v>384</v>
      </c>
      <c r="JN126" s="22">
        <v>36</v>
      </c>
      <c r="JP126" s="22">
        <v>78</v>
      </c>
      <c r="JR126" s="22">
        <v>60</v>
      </c>
      <c r="JT126" s="22">
        <v>56</v>
      </c>
      <c r="JU126" s="22">
        <v>354</v>
      </c>
      <c r="JV126" s="22">
        <v>10</v>
      </c>
      <c r="JW126" s="22">
        <v>62</v>
      </c>
      <c r="JX126" s="22">
        <v>24</v>
      </c>
      <c r="JY126" s="22">
        <v>40</v>
      </c>
      <c r="KA126" s="22">
        <v>32</v>
      </c>
      <c r="KB126" s="22">
        <v>148</v>
      </c>
      <c r="KD126" s="22">
        <v>358</v>
      </c>
      <c r="KE126" s="22">
        <v>632</v>
      </c>
      <c r="KG126" s="22">
        <v>20</v>
      </c>
      <c r="KH126" s="22">
        <v>110</v>
      </c>
      <c r="KI126" s="22">
        <v>356</v>
      </c>
      <c r="KJ126" s="22">
        <v>706</v>
      </c>
      <c r="KK126" s="22">
        <v>616</v>
      </c>
      <c r="KL126" s="22">
        <v>112</v>
      </c>
      <c r="KM126" s="22">
        <v>36</v>
      </c>
      <c r="KN126" s="22">
        <v>96</v>
      </c>
      <c r="KO126" s="22">
        <v>672</v>
      </c>
      <c r="KP126" s="22">
        <v>36</v>
      </c>
      <c r="KQ126" s="22">
        <v>28</v>
      </c>
      <c r="KS126" s="22">
        <v>408</v>
      </c>
      <c r="KU126" s="22">
        <v>72</v>
      </c>
      <c r="KV126" s="22">
        <v>662</v>
      </c>
      <c r="KW126" s="22">
        <v>36</v>
      </c>
      <c r="KX126" s="22">
        <v>20</v>
      </c>
      <c r="KZ126" s="22">
        <v>666</v>
      </c>
      <c r="LA126" s="22">
        <v>82</v>
      </c>
      <c r="LB126" s="22">
        <v>48</v>
      </c>
      <c r="LC126" s="22">
        <v>50</v>
      </c>
      <c r="LD126" s="22">
        <v>46</v>
      </c>
      <c r="LE126" s="22">
        <v>344</v>
      </c>
      <c r="LF126" s="22">
        <v>20</v>
      </c>
      <c r="LG126" s="22">
        <v>700</v>
      </c>
      <c r="LH126" s="22">
        <v>46</v>
      </c>
      <c r="LI126" s="22">
        <v>20</v>
      </c>
      <c r="LJ126" s="22">
        <v>56</v>
      </c>
      <c r="LK126" s="22">
        <v>56</v>
      </c>
      <c r="LL126" s="22">
        <v>692</v>
      </c>
      <c r="LN126" s="22">
        <v>82</v>
      </c>
      <c r="LO126" s="22">
        <v>338</v>
      </c>
      <c r="LQ126" s="22">
        <v>406</v>
      </c>
      <c r="LS126" s="22">
        <v>20</v>
      </c>
      <c r="LU126" s="22">
        <v>91</v>
      </c>
      <c r="LW126" s="22">
        <v>16</v>
      </c>
      <c r="LX126" s="22">
        <v>632</v>
      </c>
      <c r="LY126" s="22">
        <v>702</v>
      </c>
      <c r="LZ126" s="22">
        <v>408</v>
      </c>
      <c r="MA126" s="22">
        <v>18</v>
      </c>
      <c r="MD126" s="22">
        <v>20</v>
      </c>
      <c r="ME126" s="22">
        <v>56</v>
      </c>
      <c r="MF126" s="22">
        <v>398</v>
      </c>
      <c r="MG126" s="22">
        <v>110</v>
      </c>
      <c r="MH126" s="22">
        <v>20</v>
      </c>
      <c r="MI126" s="22">
        <v>46</v>
      </c>
      <c r="MK126" s="22">
        <v>9</v>
      </c>
      <c r="MN126" s="22">
        <v>30</v>
      </c>
      <c r="MO126" s="22">
        <v>49</v>
      </c>
      <c r="MP126" s="22">
        <v>30</v>
      </c>
      <c r="MQ126" s="22">
        <v>408</v>
      </c>
      <c r="MR126" s="22">
        <v>100</v>
      </c>
      <c r="MS126" s="22">
        <v>370</v>
      </c>
      <c r="MT126" s="22">
        <v>18</v>
      </c>
      <c r="MV126" s="22">
        <v>380</v>
      </c>
      <c r="MW126" s="22">
        <v>221</v>
      </c>
      <c r="MY126" s="22">
        <v>302</v>
      </c>
      <c r="MZ126" s="22">
        <v>10</v>
      </c>
      <c r="NA126" s="22">
        <v>46</v>
      </c>
      <c r="NB126" s="22">
        <v>24</v>
      </c>
      <c r="NC126" s="22">
        <v>24</v>
      </c>
      <c r="ND126" s="22">
        <v>672</v>
      </c>
      <c r="NE126" s="22">
        <v>465</v>
      </c>
      <c r="NI126" s="22">
        <v>26</v>
      </c>
      <c r="NJ126" s="22">
        <v>158</v>
      </c>
      <c r="NK126" s="22">
        <v>247</v>
      </c>
      <c r="NL126" s="22">
        <v>467</v>
      </c>
      <c r="NM126" s="22">
        <v>215</v>
      </c>
      <c r="NN126" s="22">
        <v>185</v>
      </c>
      <c r="NO126" s="22">
        <v>92</v>
      </c>
      <c r="NQ126" s="22">
        <v>16</v>
      </c>
      <c r="NR126" s="22">
        <v>280</v>
      </c>
      <c r="NU126" s="22">
        <v>46</v>
      </c>
      <c r="NV126" s="22">
        <v>394</v>
      </c>
      <c r="NW126" s="22">
        <v>395</v>
      </c>
      <c r="NY126" s="22">
        <v>293</v>
      </c>
      <c r="NZ126" s="22">
        <v>208</v>
      </c>
      <c r="OA126" s="22">
        <v>34</v>
      </c>
      <c r="OB126" s="22">
        <v>599</v>
      </c>
      <c r="OE126" s="22">
        <v>1010</v>
      </c>
      <c r="OG126" s="22">
        <v>392</v>
      </c>
      <c r="OH126" s="22">
        <v>380</v>
      </c>
      <c r="OJ126" s="22">
        <v>675</v>
      </c>
      <c r="OK126" s="22">
        <v>8</v>
      </c>
      <c r="OM126" s="22">
        <v>356</v>
      </c>
      <c r="ON126" s="22">
        <v>121</v>
      </c>
      <c r="OW126" s="22">
        <v>690</v>
      </c>
      <c r="OX126" s="22">
        <v>334</v>
      </c>
      <c r="OY126" s="22">
        <v>401</v>
      </c>
      <c r="OZ126" s="115"/>
      <c r="PA126" s="115"/>
      <c r="PB126" s="115"/>
      <c r="PC126" s="115"/>
      <c r="PD126" s="115"/>
      <c r="PE126" s="115"/>
      <c r="PF126" s="115"/>
      <c r="PG126" s="115"/>
      <c r="PH126" s="115"/>
      <c r="PI126" s="115"/>
      <c r="PJ126" s="115"/>
      <c r="PK126" s="115"/>
      <c r="PL126" s="115"/>
      <c r="PM126" s="115"/>
      <c r="PN126" s="115"/>
      <c r="PO126" s="115"/>
      <c r="PP126" s="115"/>
      <c r="PQ126" s="115"/>
      <c r="PR126" s="115"/>
      <c r="PS126" s="115"/>
      <c r="PT126" s="115"/>
      <c r="PU126" s="115"/>
      <c r="PV126" s="115"/>
      <c r="PW126" s="115"/>
      <c r="PX126" s="115"/>
      <c r="PY126" s="115"/>
      <c r="PZ126" s="115"/>
      <c r="QA126" s="115"/>
      <c r="QB126" s="115"/>
      <c r="QC126" s="115"/>
      <c r="QD126" s="115"/>
      <c r="QE126" s="115"/>
      <c r="QF126" s="115"/>
      <c r="QG126" s="115"/>
      <c r="QH126" s="115"/>
      <c r="QI126" s="115"/>
      <c r="QJ126" s="115"/>
      <c r="QK126" s="115"/>
      <c r="QL126" s="115"/>
      <c r="QM126" s="115"/>
      <c r="QN126" s="115"/>
      <c r="QO126" s="115"/>
      <c r="QP126" s="115"/>
      <c r="QQ126" s="115"/>
      <c r="QR126" s="115"/>
      <c r="QS126" s="115"/>
      <c r="QT126" s="115"/>
      <c r="QU126" s="115"/>
      <c r="QV126" s="115"/>
      <c r="QW126" s="115"/>
      <c r="QX126" s="115"/>
      <c r="QY126" s="115"/>
      <c r="QZ126" s="115"/>
      <c r="RA126" s="115"/>
      <c r="RB126" s="115"/>
      <c r="RC126" s="115"/>
      <c r="RD126" s="115"/>
      <c r="RE126" s="115"/>
      <c r="RF126" s="115"/>
      <c r="RG126" s="115"/>
      <c r="RH126" s="115"/>
      <c r="RI126" s="115"/>
      <c r="RJ126" s="115"/>
      <c r="RK126" s="115"/>
      <c r="RL126" s="115"/>
      <c r="RM126" s="115"/>
      <c r="RN126" s="115"/>
      <c r="RO126" s="115"/>
      <c r="RP126" s="115"/>
      <c r="RQ126" s="115"/>
      <c r="RR126" s="115"/>
      <c r="RS126" s="115"/>
      <c r="RT126" s="115"/>
      <c r="RU126" s="115"/>
      <c r="RV126" s="115"/>
      <c r="RW126" s="115"/>
      <c r="RX126" s="115"/>
      <c r="RY126" s="115"/>
      <c r="RZ126" s="115"/>
      <c r="SA126" s="115"/>
      <c r="SB126" s="115"/>
      <c r="SC126" s="115"/>
      <c r="SD126" s="115"/>
      <c r="SE126" s="115"/>
      <c r="SF126" s="115"/>
      <c r="SG126" s="115"/>
      <c r="SH126" s="115"/>
      <c r="SI126" s="115"/>
      <c r="SJ126" s="115"/>
      <c r="SK126" s="115"/>
      <c r="SL126" s="115"/>
      <c r="SM126" s="115"/>
      <c r="SN126" s="115"/>
      <c r="SO126" s="115"/>
      <c r="SP126" s="115"/>
      <c r="SQ126" s="115"/>
      <c r="SR126" s="115"/>
      <c r="SS126" s="115"/>
      <c r="ST126" s="115"/>
      <c r="SU126" s="115"/>
      <c r="SV126" s="115"/>
      <c r="SW126" s="115"/>
      <c r="SX126" s="115"/>
      <c r="SY126" s="115"/>
      <c r="SZ126" s="115"/>
      <c r="TA126" s="115"/>
      <c r="TB126" s="115"/>
      <c r="TC126" s="115"/>
      <c r="TD126" s="115"/>
      <c r="TE126" s="115"/>
      <c r="TF126" s="115"/>
      <c r="TG126" s="115"/>
      <c r="TH126" s="115"/>
      <c r="TI126" s="115"/>
      <c r="TJ126" s="115"/>
      <c r="TK126" s="115"/>
      <c r="TL126" s="115"/>
      <c r="TM126" s="115"/>
      <c r="TN126" s="115"/>
      <c r="TO126" s="115"/>
      <c r="TP126" s="115"/>
      <c r="TQ126" s="115"/>
      <c r="TR126" s="115"/>
      <c r="TS126" s="115"/>
      <c r="TT126" s="115"/>
      <c r="TU126" s="115"/>
      <c r="TV126" s="115"/>
      <c r="TW126" s="115"/>
      <c r="TX126" s="115"/>
      <c r="TY126" s="115"/>
      <c r="TZ126" s="115"/>
      <c r="UA126" s="115"/>
      <c r="UB126" s="115"/>
      <c r="UC126" s="115"/>
      <c r="UD126" s="115"/>
      <c r="UE126" s="115"/>
      <c r="UF126" s="115"/>
      <c r="UG126" s="115"/>
      <c r="UH126" s="115"/>
      <c r="UI126" s="115"/>
      <c r="UJ126" s="115"/>
      <c r="UK126" s="115"/>
      <c r="UL126" s="115"/>
      <c r="UM126" s="115"/>
      <c r="UN126" s="115"/>
      <c r="UO126" s="115"/>
      <c r="UP126" s="115"/>
      <c r="UQ126" s="115"/>
      <c r="UR126" s="115"/>
      <c r="US126" s="115"/>
      <c r="UT126" s="115"/>
      <c r="UU126" s="115"/>
      <c r="UV126" s="115"/>
      <c r="UW126" s="115"/>
      <c r="UX126" s="115"/>
      <c r="UY126" s="115"/>
      <c r="UZ126" s="115"/>
      <c r="VA126" s="115"/>
      <c r="VB126" s="115"/>
      <c r="VC126" s="115"/>
      <c r="VD126" s="115"/>
      <c r="VE126" s="115"/>
      <c r="VF126" s="115"/>
      <c r="VG126" s="115"/>
      <c r="VH126" s="115"/>
      <c r="VI126" s="115"/>
      <c r="VJ126" s="115"/>
      <c r="VK126" s="115"/>
      <c r="VL126" s="115"/>
      <c r="VM126" s="115"/>
      <c r="VN126" s="115"/>
      <c r="VO126" s="115"/>
      <c r="VP126" s="115"/>
      <c r="VQ126" s="115"/>
      <c r="VR126" s="115"/>
      <c r="VS126" s="115"/>
      <c r="VT126" s="115"/>
      <c r="VU126" s="115"/>
      <c r="VV126" s="115"/>
      <c r="VW126" s="115"/>
      <c r="VX126" s="115"/>
      <c r="VY126" s="115"/>
      <c r="VZ126" s="115"/>
      <c r="WA126" s="115"/>
      <c r="WB126" s="115"/>
      <c r="WC126" s="115"/>
      <c r="WD126" s="115"/>
      <c r="WE126" s="115"/>
      <c r="WF126" s="115"/>
      <c r="WG126" s="115"/>
      <c r="WH126" s="115"/>
      <c r="WI126" s="115"/>
      <c r="WJ126" s="115"/>
      <c r="WK126" s="115"/>
      <c r="WL126" s="115"/>
      <c r="WM126" s="115"/>
      <c r="WN126" s="115"/>
      <c r="WO126" s="115"/>
      <c r="WP126" s="115"/>
      <c r="WQ126" s="115"/>
      <c r="WR126" s="115"/>
      <c r="WS126" s="115"/>
      <c r="WT126" s="115"/>
      <c r="WU126" s="115"/>
      <c r="WV126" s="115"/>
      <c r="WW126" s="115"/>
      <c r="WX126" s="115"/>
      <c r="WY126" s="115"/>
      <c r="WZ126" s="115"/>
      <c r="XA126" s="115"/>
      <c r="XB126" s="115"/>
      <c r="XC126" s="115"/>
      <c r="XD126" s="115"/>
      <c r="XE126" s="115"/>
      <c r="XF126" s="115"/>
      <c r="XG126" s="115"/>
      <c r="XH126" s="115"/>
      <c r="XI126" s="115"/>
      <c r="XJ126" s="115"/>
      <c r="XK126" s="115"/>
      <c r="XL126" s="115"/>
      <c r="XM126" s="115"/>
      <c r="XN126" s="115"/>
      <c r="XO126" s="115"/>
      <c r="XP126" s="115"/>
      <c r="XQ126" s="115"/>
      <c r="XR126" s="115"/>
      <c r="XS126" s="115"/>
      <c r="XT126" s="115"/>
      <c r="XU126" s="115"/>
      <c r="XV126" s="115"/>
      <c r="XW126" s="115"/>
      <c r="XX126" s="115"/>
      <c r="XY126" s="115"/>
      <c r="XZ126" s="115"/>
      <c r="YA126" s="115"/>
      <c r="YB126" s="115"/>
      <c r="YC126" s="115"/>
      <c r="YD126" s="115"/>
      <c r="YE126" s="115"/>
      <c r="YF126" s="115"/>
      <c r="YG126" s="115"/>
      <c r="YH126" s="115"/>
      <c r="YI126" s="115"/>
      <c r="YJ126" s="115"/>
      <c r="YK126" s="115"/>
      <c r="YL126" s="115"/>
      <c r="YM126" s="115"/>
      <c r="YN126" s="115"/>
      <c r="YO126" s="115"/>
      <c r="YP126" s="115"/>
      <c r="YQ126" s="115"/>
      <c r="YX126" s="22">
        <v>55474</v>
      </c>
      <c r="YY126" s="22">
        <f>VLOOKUP(B126,'SCAFFOLDING MATERIAL OVERALL'!B128:S310,18,FALSE)</f>
        <v>4.32</v>
      </c>
      <c r="YZ126" s="22">
        <f t="shared" si="1"/>
        <v>239647.68000000002</v>
      </c>
    </row>
    <row r="127" spans="1:676" s="22" customFormat="1" x14ac:dyDescent="0.25">
      <c r="A127" s="14">
        <v>123</v>
      </c>
      <c r="B127" s="15">
        <v>3000002699</v>
      </c>
      <c r="C127" s="16" t="s">
        <v>136</v>
      </c>
      <c r="D127" s="44" t="s">
        <v>12</v>
      </c>
      <c r="F127" s="22">
        <v>400</v>
      </c>
      <c r="G127" s="22">
        <v>200</v>
      </c>
      <c r="I127" s="22">
        <v>6</v>
      </c>
      <c r="J127" s="22">
        <v>600</v>
      </c>
      <c r="L127" s="22">
        <v>436</v>
      </c>
      <c r="S127" s="22">
        <v>471</v>
      </c>
      <c r="U127" s="22">
        <v>8</v>
      </c>
      <c r="W127" s="22">
        <v>560</v>
      </c>
      <c r="Y127" s="22">
        <v>229</v>
      </c>
      <c r="AE127" s="22">
        <v>565</v>
      </c>
      <c r="AH127" s="22">
        <v>8</v>
      </c>
      <c r="AK127" s="22">
        <v>8</v>
      </c>
      <c r="AL127" s="22">
        <v>295</v>
      </c>
      <c r="AO127" s="22">
        <v>534</v>
      </c>
      <c r="AP127" s="22">
        <v>6</v>
      </c>
      <c r="AS127" s="22">
        <v>905</v>
      </c>
      <c r="AU127" s="22">
        <v>1194</v>
      </c>
      <c r="AW127" s="22">
        <v>2</v>
      </c>
      <c r="AY127" s="22">
        <v>300</v>
      </c>
      <c r="AZ127" s="22">
        <v>298</v>
      </c>
      <c r="BN127" s="22">
        <v>588</v>
      </c>
      <c r="BR127" s="22">
        <v>1190</v>
      </c>
      <c r="BS127" s="22">
        <v>304</v>
      </c>
      <c r="BT127" s="22">
        <v>1192</v>
      </c>
      <c r="BV127" s="22">
        <v>320</v>
      </c>
      <c r="BW127" s="22">
        <v>1196</v>
      </c>
      <c r="BX127" s="22">
        <v>4</v>
      </c>
      <c r="BY127" s="22">
        <v>583</v>
      </c>
      <c r="CA127" s="22">
        <v>2</v>
      </c>
      <c r="CD127" s="22">
        <v>898</v>
      </c>
      <c r="CG127" s="22">
        <v>596</v>
      </c>
      <c r="CK127" s="22">
        <v>12</v>
      </c>
      <c r="CN127" s="22">
        <v>2</v>
      </c>
      <c r="CQ127" s="22">
        <v>4</v>
      </c>
      <c r="CT127" s="22">
        <v>600</v>
      </c>
      <c r="CZ127" s="22">
        <v>598</v>
      </c>
      <c r="DA127" s="22">
        <v>602</v>
      </c>
      <c r="DB127" s="22">
        <v>896</v>
      </c>
      <c r="DE127" s="22">
        <v>16</v>
      </c>
      <c r="DF127" s="22">
        <v>1196</v>
      </c>
      <c r="DG127" s="22">
        <v>898</v>
      </c>
      <c r="DJ127" s="22">
        <v>298</v>
      </c>
      <c r="DM127" s="22">
        <v>1788</v>
      </c>
      <c r="DN127" s="22">
        <v>304</v>
      </c>
      <c r="DP127" s="22">
        <v>2</v>
      </c>
      <c r="DS127" s="22">
        <v>1192</v>
      </c>
      <c r="DT127" s="22">
        <v>6</v>
      </c>
      <c r="DV127" s="22">
        <v>600</v>
      </c>
      <c r="DX127" s="22">
        <v>2086</v>
      </c>
      <c r="EE127" s="22">
        <v>1192</v>
      </c>
      <c r="EG127" s="22">
        <v>600</v>
      </c>
      <c r="EH127" s="22">
        <v>1044</v>
      </c>
      <c r="EI127" s="22">
        <v>596</v>
      </c>
      <c r="EK127" s="22">
        <v>1196</v>
      </c>
      <c r="EL127" s="22">
        <v>613</v>
      </c>
      <c r="EM127" s="22">
        <v>906</v>
      </c>
      <c r="EN127" s="22">
        <v>2</v>
      </c>
      <c r="ET127" s="22">
        <v>4</v>
      </c>
      <c r="EU127" s="22">
        <v>344</v>
      </c>
      <c r="EX127" s="22">
        <v>1788</v>
      </c>
      <c r="EY127" s="22">
        <v>6</v>
      </c>
      <c r="EZ127" s="22">
        <v>4</v>
      </c>
      <c r="FA127" s="22">
        <v>12</v>
      </c>
      <c r="FB127" s="22">
        <v>596</v>
      </c>
      <c r="FC127" s="22">
        <v>600</v>
      </c>
      <c r="FD127" s="22">
        <v>8</v>
      </c>
      <c r="FE127" s="22">
        <v>1196</v>
      </c>
      <c r="FF127" s="22">
        <v>2</v>
      </c>
      <c r="FG127" s="22">
        <v>4</v>
      </c>
      <c r="FK127" s="22">
        <v>6</v>
      </c>
      <c r="FL127" s="22">
        <v>596</v>
      </c>
      <c r="FP127" s="22">
        <v>256</v>
      </c>
      <c r="FR127" s="22">
        <v>1192</v>
      </c>
      <c r="FS127" s="22">
        <v>596</v>
      </c>
      <c r="FY127" s="22">
        <v>300</v>
      </c>
      <c r="GA127" s="22">
        <v>1192</v>
      </c>
      <c r="GB127" s="22">
        <v>298</v>
      </c>
      <c r="GC127" s="22">
        <v>4</v>
      </c>
      <c r="GE127" s="22">
        <v>1212</v>
      </c>
      <c r="GH127" s="22">
        <v>308</v>
      </c>
      <c r="GI127" s="22">
        <v>1192</v>
      </c>
      <c r="GJ127" s="22">
        <v>1116</v>
      </c>
      <c r="GL127" s="22">
        <v>10</v>
      </c>
      <c r="GN127" s="22">
        <v>2</v>
      </c>
      <c r="GO127" s="22">
        <v>4</v>
      </c>
      <c r="GP127" s="22">
        <v>304</v>
      </c>
      <c r="GQ127" s="22">
        <v>6</v>
      </c>
      <c r="GR127" s="22">
        <v>628</v>
      </c>
      <c r="GZ127" s="22">
        <v>600</v>
      </c>
      <c r="HA127" s="22">
        <v>6</v>
      </c>
      <c r="HE127" s="22">
        <v>2384</v>
      </c>
      <c r="HH127" s="22">
        <v>304</v>
      </c>
      <c r="HI127" s="22">
        <v>600</v>
      </c>
      <c r="HJ127" s="22">
        <v>1196</v>
      </c>
      <c r="HK127" s="22">
        <v>596</v>
      </c>
      <c r="HL127" s="22">
        <v>1200</v>
      </c>
      <c r="HN127" s="22">
        <v>8</v>
      </c>
      <c r="HO127" s="22">
        <v>1792</v>
      </c>
      <c r="HV127" s="22">
        <v>596</v>
      </c>
      <c r="HX127" s="22">
        <v>4</v>
      </c>
      <c r="HY127" s="22">
        <v>596</v>
      </c>
      <c r="ID127" s="22">
        <v>596</v>
      </c>
      <c r="IE127" s="22">
        <v>4</v>
      </c>
      <c r="IF127" s="22">
        <v>2384</v>
      </c>
      <c r="IH127" s="22">
        <v>596</v>
      </c>
      <c r="II127" s="22">
        <v>298</v>
      </c>
      <c r="IK127" s="22">
        <v>4</v>
      </c>
      <c r="IL127" s="22">
        <v>4</v>
      </c>
      <c r="IN127" s="22">
        <v>596</v>
      </c>
      <c r="IO127" s="22">
        <v>1490</v>
      </c>
      <c r="IR127" s="22">
        <v>606</v>
      </c>
      <c r="IS127" s="22">
        <v>2</v>
      </c>
      <c r="IV127" s="22">
        <v>1492</v>
      </c>
      <c r="IX127" s="22">
        <v>1496</v>
      </c>
      <c r="IY127" s="22">
        <v>600</v>
      </c>
      <c r="IZ127" s="22">
        <v>596</v>
      </c>
      <c r="JC127" s="22">
        <v>4</v>
      </c>
      <c r="JG127" s="22">
        <v>1792</v>
      </c>
      <c r="JH127" s="22">
        <v>596</v>
      </c>
      <c r="JI127" s="22">
        <v>1192</v>
      </c>
      <c r="JK127" s="22">
        <v>1196</v>
      </c>
      <c r="JL127" s="22">
        <v>1196</v>
      </c>
      <c r="JM127" s="22">
        <v>1490</v>
      </c>
      <c r="JN127" s="22">
        <v>4</v>
      </c>
      <c r="JP127" s="22">
        <v>596</v>
      </c>
      <c r="JR127" s="22">
        <v>596</v>
      </c>
      <c r="JT127" s="22">
        <v>596</v>
      </c>
      <c r="JU127" s="22">
        <v>894</v>
      </c>
      <c r="JW127" s="22">
        <v>598</v>
      </c>
      <c r="JX127" s="22">
        <v>4</v>
      </c>
      <c r="JY127" s="22">
        <v>596</v>
      </c>
      <c r="KA127" s="22">
        <v>8</v>
      </c>
      <c r="KB127" s="22">
        <v>1192</v>
      </c>
      <c r="KD127" s="22">
        <v>304</v>
      </c>
      <c r="KE127" s="22">
        <v>4</v>
      </c>
      <c r="KH127" s="22">
        <v>1496</v>
      </c>
      <c r="KI127" s="22">
        <v>8</v>
      </c>
      <c r="KJ127" s="22">
        <v>502</v>
      </c>
      <c r="KL127" s="22">
        <v>606</v>
      </c>
      <c r="KM127" s="22">
        <v>600</v>
      </c>
      <c r="KN127" s="22">
        <v>602</v>
      </c>
      <c r="KP127" s="22">
        <v>600</v>
      </c>
      <c r="KQ127" s="22">
        <v>298</v>
      </c>
      <c r="KS127" s="22">
        <v>602</v>
      </c>
      <c r="KU127" s="22">
        <v>1196</v>
      </c>
      <c r="KV127" s="22">
        <v>298</v>
      </c>
      <c r="KW127" s="22">
        <v>4</v>
      </c>
      <c r="KX127" s="22">
        <v>12</v>
      </c>
      <c r="KZ127" s="22">
        <v>596</v>
      </c>
      <c r="LA127" s="22">
        <v>8</v>
      </c>
      <c r="LB127" s="22">
        <v>612</v>
      </c>
      <c r="LC127" s="22">
        <v>298</v>
      </c>
      <c r="LD127" s="22">
        <v>600</v>
      </c>
      <c r="LE127" s="22">
        <v>302</v>
      </c>
      <c r="LG127" s="22">
        <v>1198</v>
      </c>
      <c r="LH127" s="22">
        <v>600</v>
      </c>
      <c r="LI127" s="22">
        <v>596</v>
      </c>
      <c r="LJ127" s="22">
        <v>1196</v>
      </c>
      <c r="LK127" s="22">
        <v>4</v>
      </c>
      <c r="LL127" s="22">
        <v>904</v>
      </c>
      <c r="LN127" s="22">
        <v>894</v>
      </c>
      <c r="LO127" s="22">
        <v>894</v>
      </c>
      <c r="LQ127" s="22">
        <v>604</v>
      </c>
      <c r="LU127" s="22">
        <v>1198</v>
      </c>
      <c r="LW127" s="22">
        <v>2</v>
      </c>
      <c r="LY127" s="22">
        <v>606</v>
      </c>
      <c r="LZ127" s="22">
        <v>602</v>
      </c>
      <c r="MA127" s="22">
        <v>2</v>
      </c>
      <c r="MD127" s="22">
        <v>246</v>
      </c>
      <c r="ME127" s="22">
        <v>600</v>
      </c>
      <c r="MF127" s="22">
        <v>606</v>
      </c>
      <c r="MG127" s="22">
        <v>1496</v>
      </c>
      <c r="MH127" s="22">
        <v>298</v>
      </c>
      <c r="MI127" s="22">
        <v>596</v>
      </c>
      <c r="MK127" s="22">
        <v>4</v>
      </c>
      <c r="MN127" s="22">
        <v>306</v>
      </c>
      <c r="MO127" s="22">
        <v>22</v>
      </c>
      <c r="MQ127" s="22">
        <v>1198</v>
      </c>
      <c r="MR127" s="22">
        <v>1192</v>
      </c>
      <c r="MS127" s="22">
        <v>594</v>
      </c>
      <c r="MT127" s="22">
        <v>2</v>
      </c>
      <c r="MV127" s="22">
        <v>596</v>
      </c>
      <c r="MW127" s="22">
        <v>608</v>
      </c>
      <c r="MY127" s="22">
        <v>464</v>
      </c>
      <c r="MZ127" s="22">
        <v>12</v>
      </c>
      <c r="NA127" s="22">
        <v>581</v>
      </c>
      <c r="NB127" s="22">
        <v>24</v>
      </c>
      <c r="NC127" s="22">
        <v>441</v>
      </c>
      <c r="ND127" s="22">
        <v>4</v>
      </c>
      <c r="NE127" s="22">
        <v>580</v>
      </c>
      <c r="NI127" s="22">
        <v>18</v>
      </c>
      <c r="NJ127" s="22">
        <v>158</v>
      </c>
      <c r="NK127" s="22">
        <v>274</v>
      </c>
      <c r="NL127" s="22">
        <v>456</v>
      </c>
      <c r="NM127" s="22">
        <v>504</v>
      </c>
      <c r="NN127" s="22">
        <v>191</v>
      </c>
      <c r="NO127" s="22">
        <v>606</v>
      </c>
      <c r="NQ127" s="22">
        <v>4</v>
      </c>
      <c r="NR127" s="22">
        <v>8</v>
      </c>
      <c r="NU127" s="22">
        <v>4</v>
      </c>
      <c r="NV127" s="22">
        <v>306</v>
      </c>
      <c r="NW127" s="22">
        <v>372</v>
      </c>
      <c r="NY127" s="22">
        <v>604</v>
      </c>
      <c r="NZ127" s="22">
        <v>306</v>
      </c>
      <c r="OA127" s="22">
        <v>6</v>
      </c>
      <c r="OB127" s="22">
        <v>1196</v>
      </c>
      <c r="OE127" s="22">
        <v>898</v>
      </c>
      <c r="OG127" s="22">
        <v>882</v>
      </c>
      <c r="OH127" s="22">
        <v>604</v>
      </c>
      <c r="OJ127" s="22">
        <v>302</v>
      </c>
      <c r="OK127" s="22">
        <v>2</v>
      </c>
      <c r="OM127" s="22">
        <v>12</v>
      </c>
      <c r="ON127" s="22">
        <v>4</v>
      </c>
      <c r="OW127" s="22">
        <v>604</v>
      </c>
      <c r="OX127" s="22">
        <v>4</v>
      </c>
      <c r="OY127" s="22">
        <v>1247</v>
      </c>
      <c r="OZ127" s="115"/>
      <c r="PA127" s="115"/>
      <c r="PB127" s="115"/>
      <c r="PC127" s="115"/>
      <c r="PD127" s="115"/>
      <c r="PE127" s="115"/>
      <c r="PF127" s="115"/>
      <c r="PG127" s="115"/>
      <c r="PH127" s="115"/>
      <c r="PI127" s="115"/>
      <c r="PJ127" s="115"/>
      <c r="PK127" s="115"/>
      <c r="PL127" s="115"/>
      <c r="PM127" s="115"/>
      <c r="PN127" s="115"/>
      <c r="PO127" s="115"/>
      <c r="PP127" s="115"/>
      <c r="PQ127" s="115"/>
      <c r="PR127" s="115"/>
      <c r="PS127" s="115"/>
      <c r="PT127" s="115"/>
      <c r="PU127" s="115"/>
      <c r="PV127" s="115"/>
      <c r="PW127" s="115"/>
      <c r="PX127" s="115"/>
      <c r="PY127" s="115"/>
      <c r="PZ127" s="115"/>
      <c r="QA127" s="115"/>
      <c r="QB127" s="115"/>
      <c r="QC127" s="115"/>
      <c r="QD127" s="115"/>
      <c r="QE127" s="115"/>
      <c r="QF127" s="115"/>
      <c r="QG127" s="115"/>
      <c r="QH127" s="115"/>
      <c r="QI127" s="115"/>
      <c r="QJ127" s="115"/>
      <c r="QK127" s="115"/>
      <c r="QL127" s="115"/>
      <c r="QM127" s="115"/>
      <c r="QN127" s="115"/>
      <c r="QO127" s="115"/>
      <c r="QP127" s="115"/>
      <c r="QQ127" s="115"/>
      <c r="QR127" s="115"/>
      <c r="QS127" s="115"/>
      <c r="QT127" s="115"/>
      <c r="QU127" s="115"/>
      <c r="QV127" s="115"/>
      <c r="QW127" s="115"/>
      <c r="QX127" s="115"/>
      <c r="QY127" s="115"/>
      <c r="QZ127" s="115"/>
      <c r="RA127" s="115"/>
      <c r="RB127" s="115"/>
      <c r="RC127" s="115"/>
      <c r="RD127" s="115"/>
      <c r="RE127" s="115"/>
      <c r="RF127" s="115"/>
      <c r="RG127" s="115"/>
      <c r="RH127" s="115"/>
      <c r="RI127" s="115"/>
      <c r="RJ127" s="115"/>
      <c r="RK127" s="115"/>
      <c r="RL127" s="115"/>
      <c r="RM127" s="115"/>
      <c r="RN127" s="115"/>
      <c r="RO127" s="115"/>
      <c r="RP127" s="115"/>
      <c r="RQ127" s="115"/>
      <c r="RR127" s="115"/>
      <c r="RS127" s="115"/>
      <c r="RT127" s="115"/>
      <c r="RU127" s="115"/>
      <c r="RV127" s="115"/>
      <c r="RW127" s="115"/>
      <c r="RX127" s="115"/>
      <c r="RY127" s="115"/>
      <c r="RZ127" s="115"/>
      <c r="SA127" s="115"/>
      <c r="SB127" s="115"/>
      <c r="SC127" s="115"/>
      <c r="SD127" s="115"/>
      <c r="SE127" s="115"/>
      <c r="SF127" s="115"/>
      <c r="SG127" s="115"/>
      <c r="SH127" s="115"/>
      <c r="SI127" s="115"/>
      <c r="SJ127" s="115"/>
      <c r="SK127" s="115"/>
      <c r="SL127" s="115"/>
      <c r="SM127" s="115"/>
      <c r="SN127" s="115"/>
      <c r="SO127" s="115"/>
      <c r="SP127" s="115"/>
      <c r="SQ127" s="115"/>
      <c r="SR127" s="115"/>
      <c r="SS127" s="115"/>
      <c r="ST127" s="115"/>
      <c r="SU127" s="115"/>
      <c r="SV127" s="115"/>
      <c r="SW127" s="115"/>
      <c r="SX127" s="115"/>
      <c r="SY127" s="115"/>
      <c r="SZ127" s="115"/>
      <c r="TA127" s="115"/>
      <c r="TB127" s="115"/>
      <c r="TC127" s="115"/>
      <c r="TD127" s="115"/>
      <c r="TE127" s="115"/>
      <c r="TF127" s="115"/>
      <c r="TG127" s="115"/>
      <c r="TH127" s="115"/>
      <c r="TI127" s="115"/>
      <c r="TJ127" s="115"/>
      <c r="TK127" s="115"/>
      <c r="TL127" s="115"/>
      <c r="TM127" s="115"/>
      <c r="TN127" s="115"/>
      <c r="TO127" s="115"/>
      <c r="TP127" s="115"/>
      <c r="TQ127" s="115">
        <v>145</v>
      </c>
      <c r="TR127" s="115"/>
      <c r="TS127" s="115">
        <v>50</v>
      </c>
      <c r="TT127" s="115"/>
      <c r="TU127" s="115"/>
      <c r="TV127" s="115"/>
      <c r="TW127" s="115"/>
      <c r="TX127" s="115"/>
      <c r="TY127" s="115"/>
      <c r="TZ127" s="115"/>
      <c r="UA127" s="115"/>
      <c r="UB127" s="115"/>
      <c r="UC127" s="115"/>
      <c r="UD127" s="115"/>
      <c r="UE127" s="115"/>
      <c r="UF127" s="115"/>
      <c r="UG127" s="115"/>
      <c r="UH127" s="115"/>
      <c r="UI127" s="115"/>
      <c r="UJ127" s="115"/>
      <c r="UK127" s="115"/>
      <c r="UL127" s="115"/>
      <c r="UM127" s="115"/>
      <c r="UN127" s="115"/>
      <c r="UO127" s="115"/>
      <c r="UP127" s="115"/>
      <c r="UQ127" s="115"/>
      <c r="UR127" s="115"/>
      <c r="US127" s="115"/>
      <c r="UT127" s="115"/>
      <c r="UU127" s="115"/>
      <c r="UV127" s="115"/>
      <c r="UW127" s="115"/>
      <c r="UX127" s="115"/>
      <c r="UY127" s="115"/>
      <c r="UZ127" s="115"/>
      <c r="VA127" s="115"/>
      <c r="VB127" s="115"/>
      <c r="VC127" s="115"/>
      <c r="VD127" s="115"/>
      <c r="VE127" s="115"/>
      <c r="VF127" s="115"/>
      <c r="VG127" s="115"/>
      <c r="VH127" s="115"/>
      <c r="VI127" s="115"/>
      <c r="VJ127" s="115"/>
      <c r="VK127" s="115"/>
      <c r="VL127" s="115"/>
      <c r="VM127" s="115"/>
      <c r="VN127" s="115"/>
      <c r="VO127" s="115"/>
      <c r="VP127" s="115"/>
      <c r="VQ127" s="115"/>
      <c r="VR127" s="115"/>
      <c r="VS127" s="115"/>
      <c r="VT127" s="115"/>
      <c r="VU127" s="115"/>
      <c r="VV127" s="115"/>
      <c r="VW127" s="115"/>
      <c r="VX127" s="115"/>
      <c r="VY127" s="115"/>
      <c r="VZ127" s="115"/>
      <c r="WA127" s="115"/>
      <c r="WB127" s="115"/>
      <c r="WC127" s="115"/>
      <c r="WD127" s="115"/>
      <c r="WE127" s="115"/>
      <c r="WF127" s="115"/>
      <c r="WG127" s="115"/>
      <c r="WH127" s="115"/>
      <c r="WI127" s="115"/>
      <c r="WJ127" s="115"/>
      <c r="WK127" s="115"/>
      <c r="WL127" s="115"/>
      <c r="WM127" s="115"/>
      <c r="WN127" s="115"/>
      <c r="WO127" s="115"/>
      <c r="WP127" s="115"/>
      <c r="WQ127" s="115"/>
      <c r="WR127" s="115"/>
      <c r="WS127" s="115"/>
      <c r="WT127" s="115"/>
      <c r="WU127" s="115"/>
      <c r="WV127" s="115"/>
      <c r="WW127" s="115"/>
      <c r="WX127" s="115"/>
      <c r="WY127" s="115"/>
      <c r="WZ127" s="115"/>
      <c r="XA127" s="115"/>
      <c r="XB127" s="115"/>
      <c r="XC127" s="115"/>
      <c r="XD127" s="115"/>
      <c r="XE127" s="115"/>
      <c r="XF127" s="115"/>
      <c r="XG127" s="115"/>
      <c r="XH127" s="115"/>
      <c r="XI127" s="115"/>
      <c r="XJ127" s="115"/>
      <c r="XK127" s="115"/>
      <c r="XL127" s="115"/>
      <c r="XM127" s="115"/>
      <c r="XN127" s="115"/>
      <c r="XO127" s="115"/>
      <c r="XP127" s="115"/>
      <c r="XQ127" s="115"/>
      <c r="XR127" s="115"/>
      <c r="XS127" s="115"/>
      <c r="XT127" s="115"/>
      <c r="XU127" s="115"/>
      <c r="XV127" s="115"/>
      <c r="XW127" s="115"/>
      <c r="XX127" s="115"/>
      <c r="XY127" s="115"/>
      <c r="XZ127" s="115"/>
      <c r="YA127" s="115"/>
      <c r="YB127" s="115"/>
      <c r="YC127" s="115"/>
      <c r="YD127" s="115"/>
      <c r="YE127" s="115"/>
      <c r="YF127" s="115"/>
      <c r="YG127" s="115"/>
      <c r="YH127" s="115"/>
      <c r="YI127" s="115"/>
      <c r="YJ127" s="115"/>
      <c r="YK127" s="115"/>
      <c r="YL127" s="115"/>
      <c r="YM127" s="115"/>
      <c r="YN127" s="115"/>
      <c r="YO127" s="115"/>
      <c r="YP127" s="115"/>
      <c r="YQ127" s="115"/>
      <c r="YX127" s="22">
        <v>117214</v>
      </c>
      <c r="YY127" s="22">
        <f>VLOOKUP(B127,'SCAFFOLDING MATERIAL OVERALL'!B129:S311,18,FALSE)</f>
        <v>6.47</v>
      </c>
      <c r="YZ127" s="22">
        <f t="shared" si="1"/>
        <v>758374.58</v>
      </c>
    </row>
    <row r="128" spans="1:676" s="22" customFormat="1" x14ac:dyDescent="0.25">
      <c r="A128" s="14">
        <v>124</v>
      </c>
      <c r="B128" s="15">
        <v>3000002698</v>
      </c>
      <c r="C128" s="16" t="s">
        <v>137</v>
      </c>
      <c r="D128" s="44" t="s">
        <v>12</v>
      </c>
      <c r="F128" s="22">
        <v>400</v>
      </c>
      <c r="G128" s="22">
        <v>200</v>
      </c>
      <c r="L128" s="22">
        <v>1012</v>
      </c>
      <c r="S128" s="22">
        <v>200</v>
      </c>
      <c r="U128" s="22">
        <v>189</v>
      </c>
      <c r="W128" s="22">
        <v>840</v>
      </c>
      <c r="Y128" s="22">
        <v>1007</v>
      </c>
      <c r="AE128" s="22">
        <v>578</v>
      </c>
      <c r="AH128" s="22">
        <v>298</v>
      </c>
      <c r="AK128" s="22">
        <v>1192</v>
      </c>
      <c r="AL128" s="22">
        <v>874</v>
      </c>
      <c r="AO128" s="22">
        <v>887</v>
      </c>
      <c r="AP128" s="22">
        <v>1182</v>
      </c>
      <c r="AS128" s="22">
        <v>902</v>
      </c>
      <c r="AW128" s="22">
        <v>596</v>
      </c>
      <c r="BN128" s="22">
        <v>1774</v>
      </c>
      <c r="BR128" s="22">
        <v>596</v>
      </c>
      <c r="BS128" s="22">
        <v>298</v>
      </c>
      <c r="BT128" s="22">
        <v>1788</v>
      </c>
      <c r="BV128" s="22">
        <v>596</v>
      </c>
      <c r="BW128" s="22">
        <v>597</v>
      </c>
      <c r="BX128" s="22">
        <v>1179</v>
      </c>
      <c r="BY128" s="22">
        <v>584</v>
      </c>
      <c r="BZ128" s="22">
        <v>50</v>
      </c>
      <c r="CC128" s="22">
        <v>596</v>
      </c>
      <c r="CG128" s="22">
        <v>570</v>
      </c>
      <c r="CN128" s="22">
        <v>298</v>
      </c>
      <c r="CQ128" s="22">
        <v>596</v>
      </c>
      <c r="CZ128" s="22">
        <v>596</v>
      </c>
      <c r="DA128" s="22">
        <v>1192</v>
      </c>
      <c r="DB128" s="22">
        <v>596</v>
      </c>
      <c r="DE128" s="22">
        <v>300</v>
      </c>
      <c r="DF128" s="22">
        <v>1192</v>
      </c>
      <c r="DG128" s="22">
        <v>298</v>
      </c>
      <c r="DJ128" s="22">
        <v>1192</v>
      </c>
      <c r="DM128" s="22">
        <v>596</v>
      </c>
      <c r="DN128" s="22">
        <v>1192</v>
      </c>
      <c r="DP128" s="22">
        <v>596</v>
      </c>
      <c r="DS128" s="22">
        <v>1788</v>
      </c>
      <c r="DT128" s="22">
        <v>751</v>
      </c>
      <c r="DV128" s="22">
        <v>301</v>
      </c>
      <c r="DX128" s="22">
        <v>894</v>
      </c>
      <c r="EE128" s="22">
        <v>1788</v>
      </c>
      <c r="EG128" s="22">
        <v>1192</v>
      </c>
      <c r="EH128" s="22">
        <v>298</v>
      </c>
      <c r="EI128" s="22">
        <v>596</v>
      </c>
      <c r="EK128" s="22">
        <v>596</v>
      </c>
      <c r="EM128" s="22">
        <v>298</v>
      </c>
      <c r="EN128" s="22">
        <v>298</v>
      </c>
      <c r="ET128" s="22">
        <v>1192</v>
      </c>
      <c r="EX128" s="22">
        <v>1788</v>
      </c>
      <c r="EZ128" s="22">
        <v>596</v>
      </c>
      <c r="FA128" s="22">
        <v>298</v>
      </c>
      <c r="FC128" s="22">
        <v>596</v>
      </c>
      <c r="FD128" s="22">
        <v>596</v>
      </c>
      <c r="FE128" s="22">
        <v>1192</v>
      </c>
      <c r="FH128" s="22">
        <v>596</v>
      </c>
      <c r="FJ128" s="22">
        <v>596</v>
      </c>
      <c r="FK128" s="22">
        <v>298</v>
      </c>
      <c r="FM128" s="22">
        <v>298</v>
      </c>
      <c r="FP128" s="22">
        <v>117</v>
      </c>
      <c r="FR128" s="22">
        <v>1192</v>
      </c>
      <c r="FS128" s="22">
        <v>596</v>
      </c>
      <c r="GA128" s="22">
        <v>596</v>
      </c>
      <c r="GB128" s="22">
        <v>298</v>
      </c>
      <c r="GC128" s="22">
        <v>596</v>
      </c>
      <c r="GE128" s="22">
        <v>596</v>
      </c>
      <c r="GH128" s="22">
        <v>1490</v>
      </c>
      <c r="GI128" s="22">
        <v>1788</v>
      </c>
      <c r="GJ128" s="22">
        <v>705</v>
      </c>
      <c r="GP128" s="22">
        <v>596</v>
      </c>
      <c r="GS128" s="22">
        <v>298</v>
      </c>
      <c r="HF128" s="22">
        <v>298</v>
      </c>
      <c r="HH128" s="22">
        <v>1490</v>
      </c>
      <c r="HI128" s="22">
        <v>596</v>
      </c>
      <c r="HL128" s="22">
        <v>1192</v>
      </c>
      <c r="HN128" s="22">
        <v>596</v>
      </c>
      <c r="HO128" s="22">
        <v>596</v>
      </c>
      <c r="IB128" s="22">
        <v>596</v>
      </c>
      <c r="IF128" s="22">
        <v>596</v>
      </c>
      <c r="II128" s="22">
        <v>298</v>
      </c>
      <c r="IL128" s="22">
        <v>596</v>
      </c>
      <c r="IN128" s="22">
        <v>596</v>
      </c>
      <c r="IO128" s="22">
        <v>298</v>
      </c>
      <c r="IR128" s="22">
        <v>596</v>
      </c>
      <c r="IX128" s="22">
        <v>596</v>
      </c>
      <c r="IZ128" s="22">
        <v>596</v>
      </c>
      <c r="JG128" s="22">
        <v>596</v>
      </c>
      <c r="JK128" s="22">
        <v>894</v>
      </c>
      <c r="JM128" s="22">
        <v>298</v>
      </c>
      <c r="JN128" s="22">
        <v>596</v>
      </c>
      <c r="JP128" s="22">
        <v>298</v>
      </c>
      <c r="JR128" s="22">
        <v>1192</v>
      </c>
      <c r="JT128" s="22">
        <v>596</v>
      </c>
      <c r="JV128" s="22">
        <v>298</v>
      </c>
      <c r="JW128" s="22">
        <v>298</v>
      </c>
      <c r="JY128" s="22">
        <v>596</v>
      </c>
      <c r="KB128" s="22">
        <v>1192</v>
      </c>
      <c r="KG128" s="22">
        <v>596</v>
      </c>
      <c r="KH128" s="22">
        <v>596</v>
      </c>
      <c r="KJ128" s="22">
        <v>596</v>
      </c>
      <c r="KL128" s="22">
        <v>596</v>
      </c>
      <c r="KN128" s="22">
        <v>596</v>
      </c>
      <c r="KO128" s="22">
        <v>1192</v>
      </c>
      <c r="KQ128" s="22">
        <v>596</v>
      </c>
      <c r="KS128" s="22">
        <v>1192</v>
      </c>
      <c r="KV128" s="22">
        <v>596</v>
      </c>
      <c r="KW128" s="22">
        <v>596</v>
      </c>
      <c r="LA128" s="22">
        <v>876</v>
      </c>
      <c r="LC128" s="22">
        <v>1192</v>
      </c>
      <c r="LD128" s="22">
        <v>298</v>
      </c>
      <c r="LE128" s="22">
        <v>298</v>
      </c>
      <c r="LF128" s="22">
        <v>596</v>
      </c>
      <c r="LG128" s="22">
        <v>596</v>
      </c>
      <c r="LH128" s="22">
        <v>298</v>
      </c>
      <c r="LK128" s="22">
        <v>1192</v>
      </c>
      <c r="LL128" s="22">
        <v>596</v>
      </c>
      <c r="LN128" s="22">
        <v>596</v>
      </c>
      <c r="LQ128" s="22">
        <v>894</v>
      </c>
      <c r="LS128" s="22">
        <v>596</v>
      </c>
      <c r="LU128" s="22">
        <v>596</v>
      </c>
      <c r="LW128" s="22">
        <v>298</v>
      </c>
      <c r="LY128" s="22">
        <v>298</v>
      </c>
      <c r="LZ128" s="22">
        <v>1192</v>
      </c>
      <c r="MA128" s="22">
        <v>298</v>
      </c>
      <c r="MD128" s="22">
        <v>298</v>
      </c>
      <c r="ME128" s="22">
        <v>596</v>
      </c>
      <c r="MF128" s="22">
        <v>894</v>
      </c>
      <c r="MG128" s="22">
        <v>596</v>
      </c>
      <c r="MH128" s="22">
        <v>298</v>
      </c>
      <c r="MI128" s="22">
        <v>298</v>
      </c>
      <c r="MK128" s="22">
        <v>3</v>
      </c>
      <c r="MN128" s="22">
        <v>142</v>
      </c>
      <c r="MO128" s="22">
        <v>2</v>
      </c>
      <c r="MQ128" s="22">
        <v>596</v>
      </c>
      <c r="MR128" s="22">
        <v>1192</v>
      </c>
      <c r="MS128" s="22">
        <v>287</v>
      </c>
      <c r="MT128" s="22">
        <v>298</v>
      </c>
      <c r="MV128" s="22">
        <v>596</v>
      </c>
      <c r="MW128" s="22">
        <v>748</v>
      </c>
      <c r="MY128" s="22">
        <v>304</v>
      </c>
      <c r="NA128" s="22">
        <v>698</v>
      </c>
      <c r="NB128" s="22">
        <v>1074</v>
      </c>
      <c r="NE128" s="22">
        <v>706</v>
      </c>
      <c r="NK128" s="22">
        <v>295</v>
      </c>
      <c r="NL128" s="22">
        <v>430</v>
      </c>
      <c r="NM128" s="22">
        <v>1008</v>
      </c>
      <c r="NN128" s="22">
        <v>380</v>
      </c>
      <c r="NO128" s="22">
        <v>894</v>
      </c>
      <c r="NR128" s="22">
        <v>1377</v>
      </c>
      <c r="NU128" s="22">
        <v>605</v>
      </c>
      <c r="NV128" s="22">
        <v>1490</v>
      </c>
      <c r="NW128" s="22">
        <v>1490</v>
      </c>
      <c r="NY128" s="22">
        <v>298</v>
      </c>
      <c r="NZ128" s="22">
        <v>1490</v>
      </c>
      <c r="OA128" s="22">
        <v>298</v>
      </c>
      <c r="OB128" s="22">
        <v>596</v>
      </c>
      <c r="OE128" s="22">
        <v>1269</v>
      </c>
      <c r="OG128" s="22">
        <v>894</v>
      </c>
      <c r="OH128" s="22">
        <v>596</v>
      </c>
      <c r="OJ128" s="22">
        <v>894</v>
      </c>
      <c r="OK128" s="22">
        <v>13</v>
      </c>
      <c r="ON128" s="22">
        <v>119</v>
      </c>
      <c r="OW128" s="22">
        <v>596</v>
      </c>
      <c r="OX128" s="22">
        <v>298</v>
      </c>
      <c r="OY128" s="22">
        <v>987</v>
      </c>
      <c r="OZ128" s="115">
        <v>87</v>
      </c>
      <c r="PA128" s="115"/>
      <c r="PB128" s="115"/>
      <c r="PC128" s="115"/>
      <c r="PD128" s="115"/>
      <c r="PE128" s="115"/>
      <c r="PF128" s="115"/>
      <c r="PG128" s="115"/>
      <c r="PH128" s="115"/>
      <c r="PI128" s="115"/>
      <c r="PJ128" s="115"/>
      <c r="PK128" s="115"/>
      <c r="PL128" s="115"/>
      <c r="PM128" s="115"/>
      <c r="PN128" s="115"/>
      <c r="PO128" s="115"/>
      <c r="PP128" s="115"/>
      <c r="PQ128" s="115"/>
      <c r="PR128" s="115"/>
      <c r="PS128" s="115"/>
      <c r="PT128" s="115"/>
      <c r="PU128" s="115"/>
      <c r="PV128" s="115"/>
      <c r="PW128" s="115"/>
      <c r="PX128" s="115"/>
      <c r="PY128" s="115"/>
      <c r="PZ128" s="115"/>
      <c r="QA128" s="115"/>
      <c r="QB128" s="115"/>
      <c r="QC128" s="115"/>
      <c r="QD128" s="115"/>
      <c r="QE128" s="115"/>
      <c r="QF128" s="115"/>
      <c r="QG128" s="115"/>
      <c r="QH128" s="115"/>
      <c r="QI128" s="115"/>
      <c r="QJ128" s="115"/>
      <c r="QK128" s="115"/>
      <c r="QL128" s="115"/>
      <c r="QM128" s="115"/>
      <c r="QN128" s="115"/>
      <c r="QO128" s="115"/>
      <c r="QP128" s="115"/>
      <c r="QQ128" s="115"/>
      <c r="QR128" s="115"/>
      <c r="QS128" s="115"/>
      <c r="QT128" s="115"/>
      <c r="QU128" s="115"/>
      <c r="QV128" s="115"/>
      <c r="QW128" s="115"/>
      <c r="QX128" s="115"/>
      <c r="QY128" s="115"/>
      <c r="QZ128" s="115"/>
      <c r="RA128" s="115"/>
      <c r="RB128" s="115"/>
      <c r="RC128" s="115"/>
      <c r="RD128" s="115"/>
      <c r="RE128" s="115"/>
      <c r="RF128" s="115"/>
      <c r="RG128" s="115"/>
      <c r="RH128" s="115"/>
      <c r="RI128" s="115"/>
      <c r="RJ128" s="115"/>
      <c r="RK128" s="115"/>
      <c r="RL128" s="115"/>
      <c r="RM128" s="115"/>
      <c r="RN128" s="115"/>
      <c r="RO128" s="115"/>
      <c r="RP128" s="115"/>
      <c r="RQ128" s="115"/>
      <c r="RR128" s="115"/>
      <c r="RS128" s="115"/>
      <c r="RT128" s="115"/>
      <c r="RU128" s="115"/>
      <c r="RV128" s="115"/>
      <c r="RW128" s="115"/>
      <c r="RX128" s="115"/>
      <c r="RY128" s="115"/>
      <c r="RZ128" s="115"/>
      <c r="SA128" s="115"/>
      <c r="SB128" s="115"/>
      <c r="SC128" s="115"/>
      <c r="SD128" s="115"/>
      <c r="SE128" s="115"/>
      <c r="SF128" s="115"/>
      <c r="SG128" s="115"/>
      <c r="SH128" s="115"/>
      <c r="SI128" s="115"/>
      <c r="SJ128" s="115"/>
      <c r="SK128" s="115"/>
      <c r="SL128" s="115"/>
      <c r="SM128" s="115"/>
      <c r="SN128" s="115"/>
      <c r="SO128" s="115"/>
      <c r="SP128" s="115"/>
      <c r="SQ128" s="115"/>
      <c r="SR128" s="115"/>
      <c r="SS128" s="115"/>
      <c r="ST128" s="115"/>
      <c r="SU128" s="115"/>
      <c r="SV128" s="115"/>
      <c r="SW128" s="115"/>
      <c r="SX128" s="115"/>
      <c r="SY128" s="115"/>
      <c r="SZ128" s="115"/>
      <c r="TA128" s="115"/>
      <c r="TB128" s="115"/>
      <c r="TC128" s="115"/>
      <c r="TD128" s="115"/>
      <c r="TE128" s="115"/>
      <c r="TF128" s="115"/>
      <c r="TG128" s="115"/>
      <c r="TH128" s="115"/>
      <c r="TI128" s="115"/>
      <c r="TJ128" s="115"/>
      <c r="TK128" s="115"/>
      <c r="TL128" s="115"/>
      <c r="TM128" s="115">
        <v>366</v>
      </c>
      <c r="TN128" s="115"/>
      <c r="TO128" s="115"/>
      <c r="TP128" s="115"/>
      <c r="TQ128" s="115">
        <v>120</v>
      </c>
      <c r="TR128" s="115"/>
      <c r="TS128" s="115">
        <v>200</v>
      </c>
      <c r="TT128" s="115"/>
      <c r="TU128" s="115"/>
      <c r="TV128" s="115"/>
      <c r="TW128" s="115"/>
      <c r="TX128" s="115"/>
      <c r="TY128" s="115"/>
      <c r="TZ128" s="115"/>
      <c r="UA128" s="115"/>
      <c r="UB128" s="115"/>
      <c r="UC128" s="115"/>
      <c r="UD128" s="115"/>
      <c r="UE128" s="115"/>
      <c r="UF128" s="115"/>
      <c r="UG128" s="115"/>
      <c r="UH128" s="115"/>
      <c r="UI128" s="115"/>
      <c r="UJ128" s="115"/>
      <c r="UK128" s="115"/>
      <c r="UL128" s="115"/>
      <c r="UM128" s="115"/>
      <c r="UN128" s="115"/>
      <c r="UO128" s="115"/>
      <c r="UP128" s="115"/>
      <c r="UQ128" s="115"/>
      <c r="UR128" s="115"/>
      <c r="US128" s="115"/>
      <c r="UT128" s="115"/>
      <c r="UU128" s="115"/>
      <c r="UV128" s="115"/>
      <c r="UW128" s="115"/>
      <c r="UX128" s="115"/>
      <c r="UY128" s="115"/>
      <c r="UZ128" s="115"/>
      <c r="VA128" s="115"/>
      <c r="VB128" s="115"/>
      <c r="VC128" s="115"/>
      <c r="VD128" s="115"/>
      <c r="VE128" s="115"/>
      <c r="VF128" s="115"/>
      <c r="VG128" s="115"/>
      <c r="VH128" s="115"/>
      <c r="VI128" s="115"/>
      <c r="VJ128" s="115"/>
      <c r="VK128" s="115"/>
      <c r="VL128" s="115"/>
      <c r="VM128" s="115"/>
      <c r="VN128" s="115"/>
      <c r="VO128" s="115"/>
      <c r="VP128" s="115"/>
      <c r="VQ128" s="115"/>
      <c r="VR128" s="115"/>
      <c r="VS128" s="115"/>
      <c r="VT128" s="115"/>
      <c r="VU128" s="115"/>
      <c r="VV128" s="115"/>
      <c r="VW128" s="115"/>
      <c r="VX128" s="115"/>
      <c r="VY128" s="115"/>
      <c r="VZ128" s="115"/>
      <c r="WA128" s="115"/>
      <c r="WB128" s="115"/>
      <c r="WC128" s="115"/>
      <c r="WD128" s="115"/>
      <c r="WE128" s="115"/>
      <c r="WF128" s="115"/>
      <c r="WG128" s="115"/>
      <c r="WH128" s="115"/>
      <c r="WI128" s="115"/>
      <c r="WJ128" s="115"/>
      <c r="WK128" s="115"/>
      <c r="WL128" s="115"/>
      <c r="WM128" s="115"/>
      <c r="WN128" s="115"/>
      <c r="WO128" s="115"/>
      <c r="WP128" s="115"/>
      <c r="WQ128" s="115"/>
      <c r="WR128" s="115"/>
      <c r="WS128" s="115"/>
      <c r="WT128" s="115"/>
      <c r="WU128" s="115"/>
      <c r="WV128" s="115"/>
      <c r="WW128" s="115"/>
      <c r="WX128" s="115"/>
      <c r="WY128" s="115"/>
      <c r="WZ128" s="115"/>
      <c r="XA128" s="115"/>
      <c r="XB128" s="115"/>
      <c r="XC128" s="115"/>
      <c r="XD128" s="115"/>
      <c r="XE128" s="115"/>
      <c r="XF128" s="115"/>
      <c r="XG128" s="115"/>
      <c r="XH128" s="115"/>
      <c r="XI128" s="115"/>
      <c r="XJ128" s="115"/>
      <c r="XK128" s="115"/>
      <c r="XL128" s="115"/>
      <c r="XM128" s="115"/>
      <c r="XN128" s="115"/>
      <c r="XO128" s="115"/>
      <c r="XP128" s="115"/>
      <c r="XQ128" s="115"/>
      <c r="XR128" s="115"/>
      <c r="XS128" s="115"/>
      <c r="XT128" s="115"/>
      <c r="XU128" s="115"/>
      <c r="XV128" s="115"/>
      <c r="XW128" s="115"/>
      <c r="XX128" s="115"/>
      <c r="XY128" s="115"/>
      <c r="XZ128" s="115"/>
      <c r="YA128" s="115"/>
      <c r="YB128" s="115"/>
      <c r="YC128" s="115"/>
      <c r="YD128" s="115"/>
      <c r="YE128" s="115"/>
      <c r="YF128" s="115"/>
      <c r="YG128" s="115"/>
      <c r="YH128" s="115"/>
      <c r="YI128" s="115"/>
      <c r="YJ128" s="115"/>
      <c r="YK128" s="115"/>
      <c r="YL128" s="115"/>
      <c r="YM128" s="115"/>
      <c r="YN128" s="115"/>
      <c r="YO128" s="115"/>
      <c r="YP128" s="115"/>
      <c r="YQ128" s="115"/>
      <c r="YX128" s="22">
        <v>114311</v>
      </c>
      <c r="YY128" s="22">
        <f>VLOOKUP(B128,'SCAFFOLDING MATERIAL OVERALL'!B130:S312,18,FALSE)</f>
        <v>8.48</v>
      </c>
      <c r="YZ128" s="22">
        <f t="shared" si="1"/>
        <v>969357.28</v>
      </c>
    </row>
    <row r="129" spans="1:676" s="22" customFormat="1" x14ac:dyDescent="0.25">
      <c r="A129" s="17">
        <v>125</v>
      </c>
      <c r="B129" s="15">
        <v>1000006677</v>
      </c>
      <c r="C129" s="16" t="s">
        <v>138</v>
      </c>
      <c r="D129" s="44" t="s">
        <v>12</v>
      </c>
      <c r="J129" s="22">
        <v>300</v>
      </c>
      <c r="L129" s="22">
        <v>312</v>
      </c>
      <c r="W129" s="22">
        <v>299</v>
      </c>
      <c r="AE129" s="22">
        <v>289</v>
      </c>
      <c r="AH129" s="22">
        <v>587</v>
      </c>
      <c r="AK129" s="22">
        <v>289</v>
      </c>
      <c r="AL129" s="22">
        <v>298</v>
      </c>
      <c r="AO129" s="22">
        <v>596</v>
      </c>
      <c r="AP129" s="22">
        <v>298</v>
      </c>
      <c r="AS129" s="22">
        <v>298</v>
      </c>
      <c r="AW129" s="22">
        <v>298</v>
      </c>
      <c r="BN129" s="22">
        <v>289</v>
      </c>
      <c r="BR129" s="22">
        <v>578</v>
      </c>
      <c r="BW129" s="22">
        <v>586</v>
      </c>
      <c r="BY129" s="22">
        <v>289</v>
      </c>
      <c r="CD129" s="22">
        <v>604</v>
      </c>
      <c r="CK129" s="22">
        <v>596</v>
      </c>
      <c r="CT129" s="22">
        <v>596</v>
      </c>
      <c r="DA129" s="22">
        <v>596</v>
      </c>
      <c r="DB129" s="22">
        <v>596</v>
      </c>
      <c r="DE129" s="22">
        <v>298</v>
      </c>
      <c r="DF129" s="22">
        <v>596</v>
      </c>
      <c r="DG129" s="22">
        <v>596</v>
      </c>
      <c r="DN129" s="22">
        <v>596</v>
      </c>
      <c r="FY129" s="22">
        <v>298</v>
      </c>
      <c r="GH129" s="22">
        <v>596</v>
      </c>
      <c r="GN129" s="22">
        <v>298</v>
      </c>
      <c r="GO129" s="22">
        <v>596</v>
      </c>
      <c r="HH129" s="22">
        <v>596</v>
      </c>
      <c r="HJ129" s="22">
        <v>596</v>
      </c>
      <c r="HL129" s="22">
        <v>596</v>
      </c>
      <c r="HV129" s="22">
        <v>1192</v>
      </c>
      <c r="IL129" s="22">
        <v>596</v>
      </c>
      <c r="IR129" s="22">
        <v>298</v>
      </c>
      <c r="IV129" s="22">
        <v>298</v>
      </c>
      <c r="IY129" s="22">
        <v>596</v>
      </c>
      <c r="JN129" s="22">
        <v>596</v>
      </c>
      <c r="KA129" s="22">
        <v>596</v>
      </c>
      <c r="KB129" s="22">
        <v>596</v>
      </c>
      <c r="KD129" s="22">
        <v>298</v>
      </c>
      <c r="KI129" s="22">
        <v>596</v>
      </c>
      <c r="KL129" s="22">
        <v>596</v>
      </c>
      <c r="KP129" s="22">
        <v>596</v>
      </c>
      <c r="KU129" s="22">
        <v>596</v>
      </c>
      <c r="KZ129" s="22">
        <v>298</v>
      </c>
      <c r="LD129" s="22">
        <v>298</v>
      </c>
      <c r="LE129" s="22">
        <v>298</v>
      </c>
      <c r="LH129" s="22">
        <v>596</v>
      </c>
      <c r="LL129" s="22">
        <v>596</v>
      </c>
      <c r="LQ129" s="22">
        <v>596</v>
      </c>
      <c r="LY129" s="22">
        <v>596</v>
      </c>
      <c r="LZ129" s="22">
        <v>298</v>
      </c>
      <c r="MF129" s="22">
        <v>596</v>
      </c>
      <c r="MG129" s="22">
        <v>298</v>
      </c>
      <c r="MQ129" s="22">
        <v>298</v>
      </c>
      <c r="MS129" s="22">
        <v>596</v>
      </c>
      <c r="MV129" s="22">
        <v>596</v>
      </c>
      <c r="MW129" s="22">
        <v>224</v>
      </c>
      <c r="MY129" s="22">
        <v>168</v>
      </c>
      <c r="NA129" s="22">
        <v>231</v>
      </c>
      <c r="NB129" s="22">
        <v>182</v>
      </c>
      <c r="NE129" s="22">
        <v>93</v>
      </c>
      <c r="NK129" s="22">
        <v>30</v>
      </c>
      <c r="NL129" s="22">
        <v>98</v>
      </c>
      <c r="NM129" s="22">
        <v>219</v>
      </c>
      <c r="NN129" s="22">
        <v>53</v>
      </c>
      <c r="NO129" s="22">
        <v>596</v>
      </c>
      <c r="NU129" s="22">
        <v>145</v>
      </c>
      <c r="NV129" s="22">
        <v>298</v>
      </c>
      <c r="NW129" s="22">
        <v>298</v>
      </c>
      <c r="NY129" s="22">
        <v>538</v>
      </c>
      <c r="NZ129" s="22">
        <v>298</v>
      </c>
      <c r="OE129" s="22">
        <v>221</v>
      </c>
      <c r="OG129" s="22">
        <v>84</v>
      </c>
      <c r="OH129" s="22">
        <v>596</v>
      </c>
      <c r="OJ129" s="22">
        <v>249</v>
      </c>
      <c r="OK129" s="22">
        <v>34</v>
      </c>
      <c r="OM129" s="22">
        <v>596</v>
      </c>
      <c r="ON129" s="22">
        <v>180</v>
      </c>
      <c r="OW129" s="22">
        <v>1192</v>
      </c>
      <c r="OX129" s="22">
        <v>596</v>
      </c>
      <c r="OY129" s="22">
        <v>140</v>
      </c>
      <c r="OZ129" s="115"/>
      <c r="PA129" s="115"/>
      <c r="PB129" s="115"/>
      <c r="PC129" s="115"/>
      <c r="PD129" s="115"/>
      <c r="PE129" s="115"/>
      <c r="PF129" s="115"/>
      <c r="PG129" s="115"/>
      <c r="PH129" s="115"/>
      <c r="PI129" s="115"/>
      <c r="PJ129" s="115"/>
      <c r="PK129" s="115"/>
      <c r="PL129" s="115"/>
      <c r="PM129" s="115"/>
      <c r="PN129" s="115"/>
      <c r="PO129" s="115"/>
      <c r="PP129" s="115"/>
      <c r="PQ129" s="115"/>
      <c r="PR129" s="115"/>
      <c r="PS129" s="115"/>
      <c r="PT129" s="115"/>
      <c r="PU129" s="115"/>
      <c r="PV129" s="115"/>
      <c r="PW129" s="115"/>
      <c r="PX129" s="115"/>
      <c r="PY129" s="115"/>
      <c r="PZ129" s="115"/>
      <c r="QA129" s="115"/>
      <c r="QB129" s="115"/>
      <c r="QC129" s="115"/>
      <c r="QD129" s="115"/>
      <c r="QE129" s="115"/>
      <c r="QF129" s="115"/>
      <c r="QG129" s="115"/>
      <c r="QH129" s="115"/>
      <c r="QI129" s="115"/>
      <c r="QJ129" s="115"/>
      <c r="QK129" s="115"/>
      <c r="QL129" s="115"/>
      <c r="QM129" s="115"/>
      <c r="QN129" s="115"/>
      <c r="QO129" s="115"/>
      <c r="QP129" s="115"/>
      <c r="QQ129" s="115"/>
      <c r="QR129" s="115"/>
      <c r="QS129" s="115"/>
      <c r="QT129" s="115"/>
      <c r="QU129" s="115"/>
      <c r="QV129" s="115"/>
      <c r="QW129" s="115"/>
      <c r="QX129" s="115"/>
      <c r="QY129" s="115"/>
      <c r="QZ129" s="115"/>
      <c r="RA129" s="115"/>
      <c r="RB129" s="115"/>
      <c r="RC129" s="115"/>
      <c r="RD129" s="115"/>
      <c r="RE129" s="115"/>
      <c r="RF129" s="115"/>
      <c r="RG129" s="115"/>
      <c r="RH129" s="115"/>
      <c r="RI129" s="115"/>
      <c r="RJ129" s="115"/>
      <c r="RK129" s="115"/>
      <c r="RL129" s="115"/>
      <c r="RM129" s="115"/>
      <c r="RN129" s="115"/>
      <c r="RO129" s="115"/>
      <c r="RP129" s="115"/>
      <c r="RQ129" s="115"/>
      <c r="RR129" s="115"/>
      <c r="RS129" s="115"/>
      <c r="RT129" s="115"/>
      <c r="RU129" s="115"/>
      <c r="RV129" s="115"/>
      <c r="RW129" s="115"/>
      <c r="RX129" s="115"/>
      <c r="RY129" s="115"/>
      <c r="RZ129" s="115"/>
      <c r="SA129" s="115"/>
      <c r="SB129" s="115"/>
      <c r="SC129" s="115"/>
      <c r="SD129" s="115"/>
      <c r="SE129" s="115"/>
      <c r="SF129" s="115"/>
      <c r="SG129" s="115"/>
      <c r="SH129" s="115"/>
      <c r="SI129" s="115"/>
      <c r="SJ129" s="115"/>
      <c r="SK129" s="115"/>
      <c r="SL129" s="115"/>
      <c r="SM129" s="115"/>
      <c r="SN129" s="115"/>
      <c r="SO129" s="115"/>
      <c r="SP129" s="115"/>
      <c r="SQ129" s="115"/>
      <c r="SR129" s="115"/>
      <c r="SS129" s="115"/>
      <c r="ST129" s="115"/>
      <c r="SU129" s="115"/>
      <c r="SV129" s="115"/>
      <c r="SW129" s="115"/>
      <c r="SX129" s="115"/>
      <c r="SY129" s="115"/>
      <c r="SZ129" s="115"/>
      <c r="TA129" s="115"/>
      <c r="TB129" s="115"/>
      <c r="TC129" s="115"/>
      <c r="TD129" s="115"/>
      <c r="TE129" s="115"/>
      <c r="TF129" s="115"/>
      <c r="TG129" s="115"/>
      <c r="TH129" s="115"/>
      <c r="TI129" s="115"/>
      <c r="TJ129" s="115"/>
      <c r="TK129" s="115"/>
      <c r="TL129" s="115"/>
      <c r="TM129" s="115"/>
      <c r="TN129" s="115"/>
      <c r="TO129" s="115"/>
      <c r="TP129" s="115"/>
      <c r="TQ129" s="115"/>
      <c r="TR129" s="115"/>
      <c r="TS129" s="115"/>
      <c r="TT129" s="115"/>
      <c r="TU129" s="115"/>
      <c r="TV129" s="115"/>
      <c r="TW129" s="115"/>
      <c r="TX129" s="115"/>
      <c r="TY129" s="115"/>
      <c r="TZ129" s="115"/>
      <c r="UA129" s="115"/>
      <c r="UB129" s="115"/>
      <c r="UC129" s="115"/>
      <c r="UD129" s="115"/>
      <c r="UE129" s="115"/>
      <c r="UF129" s="115"/>
      <c r="UG129" s="115"/>
      <c r="UH129" s="115"/>
      <c r="UI129" s="115"/>
      <c r="UJ129" s="115"/>
      <c r="UK129" s="115"/>
      <c r="UL129" s="115"/>
      <c r="UM129" s="115"/>
      <c r="UN129" s="115"/>
      <c r="UO129" s="115"/>
      <c r="UP129" s="115"/>
      <c r="UQ129" s="115"/>
      <c r="UR129" s="115"/>
      <c r="US129" s="115"/>
      <c r="UT129" s="115"/>
      <c r="UU129" s="115"/>
      <c r="UV129" s="115"/>
      <c r="UW129" s="115"/>
      <c r="UX129" s="115"/>
      <c r="UY129" s="115"/>
      <c r="UZ129" s="115"/>
      <c r="VA129" s="115"/>
      <c r="VB129" s="115"/>
      <c r="VC129" s="115"/>
      <c r="VD129" s="115"/>
      <c r="VE129" s="115"/>
      <c r="VF129" s="115"/>
      <c r="VG129" s="115"/>
      <c r="VH129" s="115"/>
      <c r="VI129" s="115"/>
      <c r="VJ129" s="115"/>
      <c r="VK129" s="115"/>
      <c r="VL129" s="115"/>
      <c r="VM129" s="115"/>
      <c r="VN129" s="115"/>
      <c r="VO129" s="115"/>
      <c r="VP129" s="115"/>
      <c r="VQ129" s="115"/>
      <c r="VR129" s="115"/>
      <c r="VS129" s="115"/>
      <c r="VT129" s="115"/>
      <c r="VU129" s="115"/>
      <c r="VV129" s="115"/>
      <c r="VW129" s="115"/>
      <c r="VX129" s="115"/>
      <c r="VY129" s="115"/>
      <c r="VZ129" s="115"/>
      <c r="WA129" s="115"/>
      <c r="WB129" s="115"/>
      <c r="WC129" s="115"/>
      <c r="WD129" s="115"/>
      <c r="WE129" s="115"/>
      <c r="WF129" s="115"/>
      <c r="WG129" s="115"/>
      <c r="WH129" s="115"/>
      <c r="WI129" s="115"/>
      <c r="WJ129" s="115"/>
      <c r="WK129" s="115"/>
      <c r="WL129" s="115"/>
      <c r="WM129" s="115"/>
      <c r="WN129" s="115"/>
      <c r="WO129" s="115"/>
      <c r="WP129" s="115"/>
      <c r="WQ129" s="115"/>
      <c r="WR129" s="115"/>
      <c r="WS129" s="115"/>
      <c r="WT129" s="115"/>
      <c r="WU129" s="115"/>
      <c r="WV129" s="115"/>
      <c r="WW129" s="115"/>
      <c r="WX129" s="115"/>
      <c r="WY129" s="115"/>
      <c r="WZ129" s="115"/>
      <c r="XA129" s="115"/>
      <c r="XB129" s="115"/>
      <c r="XC129" s="115"/>
      <c r="XD129" s="115"/>
      <c r="XE129" s="115"/>
      <c r="XF129" s="115"/>
      <c r="XG129" s="115"/>
      <c r="XH129" s="115"/>
      <c r="XI129" s="115"/>
      <c r="XJ129" s="115"/>
      <c r="XK129" s="115"/>
      <c r="XL129" s="115"/>
      <c r="XM129" s="115"/>
      <c r="XN129" s="115"/>
      <c r="XO129" s="115"/>
      <c r="XP129" s="115"/>
      <c r="XQ129" s="115"/>
      <c r="XR129" s="115"/>
      <c r="XS129" s="115"/>
      <c r="XT129" s="115"/>
      <c r="XU129" s="115"/>
      <c r="XV129" s="115"/>
      <c r="XW129" s="115"/>
      <c r="XX129" s="115"/>
      <c r="XY129" s="115"/>
      <c r="XZ129" s="115"/>
      <c r="YA129" s="115"/>
      <c r="YB129" s="115"/>
      <c r="YC129" s="115"/>
      <c r="YD129" s="115"/>
      <c r="YE129" s="115"/>
      <c r="YF129" s="115"/>
      <c r="YG129" s="115"/>
      <c r="YH129" s="115"/>
      <c r="YI129" s="115"/>
      <c r="YJ129" s="115"/>
      <c r="YK129" s="115"/>
      <c r="YL129" s="115"/>
      <c r="YM129" s="115"/>
      <c r="YN129" s="115"/>
      <c r="YO129" s="115"/>
      <c r="YP129" s="115"/>
      <c r="YQ129" s="115"/>
      <c r="YX129" s="22">
        <v>35025</v>
      </c>
      <c r="YY129" s="22">
        <f>VLOOKUP(B129,'SCAFFOLDING MATERIAL OVERALL'!B131:S313,18,FALSE)</f>
        <v>10.46</v>
      </c>
      <c r="YZ129" s="22">
        <f t="shared" si="1"/>
        <v>366361.50000000006</v>
      </c>
    </row>
    <row r="130" spans="1:676" s="22" customFormat="1" x14ac:dyDescent="0.25">
      <c r="A130" s="14">
        <v>126</v>
      </c>
      <c r="B130" s="15">
        <v>3000002697</v>
      </c>
      <c r="C130" s="16" t="s">
        <v>139</v>
      </c>
      <c r="D130" s="44" t="s">
        <v>12</v>
      </c>
      <c r="F130" s="22">
        <v>100</v>
      </c>
      <c r="G130" s="22">
        <v>100</v>
      </c>
      <c r="I130" s="22">
        <v>200</v>
      </c>
      <c r="L130" s="22">
        <v>226</v>
      </c>
      <c r="S130" s="22">
        <v>236</v>
      </c>
      <c r="W130" s="22">
        <v>280</v>
      </c>
      <c r="Y130" s="22" t="s">
        <v>35</v>
      </c>
      <c r="AE130" s="22">
        <v>281</v>
      </c>
      <c r="AK130" s="22">
        <v>862</v>
      </c>
      <c r="AL130" s="22">
        <v>289</v>
      </c>
      <c r="AM130" s="22">
        <v>100</v>
      </c>
      <c r="AO130" s="22">
        <v>298</v>
      </c>
      <c r="AP130" s="22">
        <v>593</v>
      </c>
      <c r="AS130" s="22">
        <v>305</v>
      </c>
      <c r="AU130" s="22">
        <v>289</v>
      </c>
      <c r="AY130" s="22">
        <v>289</v>
      </c>
      <c r="BN130" s="22">
        <v>289</v>
      </c>
      <c r="BR130" s="22">
        <v>596</v>
      </c>
      <c r="BS130" s="22">
        <v>289</v>
      </c>
      <c r="BV130" s="22">
        <v>596</v>
      </c>
      <c r="BX130" s="22">
        <v>598</v>
      </c>
      <c r="CA130" s="22">
        <v>298</v>
      </c>
      <c r="CK130" s="22">
        <v>1192</v>
      </c>
      <c r="DA130" s="22">
        <v>596</v>
      </c>
      <c r="DE130" s="22">
        <v>210</v>
      </c>
      <c r="EU130" s="22">
        <v>372</v>
      </c>
      <c r="FA130" s="22">
        <v>1192</v>
      </c>
      <c r="FC130" s="22">
        <v>596</v>
      </c>
      <c r="FD130" s="22">
        <v>1192</v>
      </c>
      <c r="FF130" s="22">
        <v>298</v>
      </c>
      <c r="FG130" s="22">
        <v>596</v>
      </c>
      <c r="FK130" s="22">
        <v>298</v>
      </c>
      <c r="FP130" s="22">
        <v>165</v>
      </c>
      <c r="GJ130" s="22">
        <v>542</v>
      </c>
      <c r="GR130" s="22">
        <v>298</v>
      </c>
      <c r="HN130" s="22">
        <v>1192</v>
      </c>
      <c r="HX130" s="22">
        <v>596</v>
      </c>
      <c r="IE130" s="22">
        <v>596</v>
      </c>
      <c r="IR130" s="22">
        <v>894</v>
      </c>
      <c r="IX130" s="22">
        <v>298</v>
      </c>
      <c r="JC130" s="22">
        <v>596</v>
      </c>
      <c r="JG130" s="22">
        <v>298</v>
      </c>
      <c r="JH130" s="22">
        <v>298</v>
      </c>
      <c r="JL130" s="22">
        <v>596</v>
      </c>
      <c r="KA130" s="22">
        <v>596</v>
      </c>
      <c r="KD130" s="22">
        <v>596</v>
      </c>
      <c r="KH130" s="22">
        <v>298</v>
      </c>
      <c r="KI130" s="22">
        <v>596</v>
      </c>
      <c r="KJ130" s="22">
        <v>596</v>
      </c>
      <c r="KL130" s="22">
        <v>596</v>
      </c>
      <c r="KN130" s="22">
        <v>596</v>
      </c>
      <c r="KS130" s="22">
        <v>596</v>
      </c>
      <c r="LA130" s="22">
        <v>894</v>
      </c>
      <c r="LB130" s="22">
        <v>298</v>
      </c>
      <c r="LJ130" s="22">
        <v>596</v>
      </c>
      <c r="LL130" s="22">
        <v>596</v>
      </c>
      <c r="LQ130" s="22">
        <v>298</v>
      </c>
      <c r="LU130" s="22">
        <v>298</v>
      </c>
      <c r="LY130" s="22">
        <v>596</v>
      </c>
      <c r="LZ130" s="22">
        <v>298</v>
      </c>
      <c r="MA130" s="22">
        <v>210</v>
      </c>
      <c r="ME130" s="22">
        <v>596</v>
      </c>
      <c r="MF130" s="22">
        <v>596</v>
      </c>
      <c r="MG130" s="22">
        <v>596</v>
      </c>
      <c r="MN130" s="22">
        <v>51</v>
      </c>
      <c r="MQ130" s="22">
        <v>298</v>
      </c>
      <c r="MS130" s="22">
        <v>491</v>
      </c>
      <c r="MT130" s="22">
        <v>298</v>
      </c>
      <c r="MV130" s="22">
        <v>298</v>
      </c>
      <c r="MW130" s="22">
        <v>298</v>
      </c>
      <c r="MY130" s="22">
        <v>343</v>
      </c>
      <c r="NA130" s="22">
        <v>275</v>
      </c>
      <c r="NB130" s="22">
        <v>404</v>
      </c>
      <c r="NC130" s="22">
        <v>231</v>
      </c>
      <c r="NE130" s="22">
        <v>311</v>
      </c>
      <c r="NI130" s="22">
        <v>2</v>
      </c>
      <c r="NJ130" s="22">
        <v>50</v>
      </c>
      <c r="NK130" s="22">
        <v>150</v>
      </c>
      <c r="NL130" s="22">
        <v>231</v>
      </c>
      <c r="NM130" s="22">
        <v>454</v>
      </c>
      <c r="NN130" s="22">
        <v>159</v>
      </c>
      <c r="NO130" s="22">
        <v>596</v>
      </c>
      <c r="NQ130" s="22">
        <v>596</v>
      </c>
      <c r="NR130" s="22">
        <v>596</v>
      </c>
      <c r="NU130" s="22">
        <v>271</v>
      </c>
      <c r="NV130" s="22">
        <v>596</v>
      </c>
      <c r="NW130" s="22">
        <v>596</v>
      </c>
      <c r="NY130" s="22">
        <v>596</v>
      </c>
      <c r="NZ130" s="22">
        <v>596</v>
      </c>
      <c r="OA130" s="22">
        <v>596</v>
      </c>
      <c r="OE130" s="22">
        <v>298</v>
      </c>
      <c r="OG130" s="22">
        <v>596</v>
      </c>
      <c r="OH130" s="22">
        <v>298</v>
      </c>
      <c r="OJ130" s="22">
        <v>596</v>
      </c>
      <c r="OK130" s="22">
        <v>216</v>
      </c>
      <c r="OM130" s="22">
        <v>1196</v>
      </c>
      <c r="OY130" s="22">
        <v>342</v>
      </c>
      <c r="OZ130" s="115"/>
      <c r="PA130" s="115"/>
      <c r="PB130" s="115"/>
      <c r="PC130" s="115"/>
      <c r="PD130" s="115"/>
      <c r="PE130" s="115"/>
      <c r="PF130" s="115"/>
      <c r="PG130" s="115"/>
      <c r="PH130" s="115"/>
      <c r="PI130" s="115"/>
      <c r="PJ130" s="115"/>
      <c r="PK130" s="115"/>
      <c r="PL130" s="115"/>
      <c r="PM130" s="115"/>
      <c r="PN130" s="115"/>
      <c r="PO130" s="115"/>
      <c r="PP130" s="115"/>
      <c r="PQ130" s="115"/>
      <c r="PR130" s="115"/>
      <c r="PS130" s="115"/>
      <c r="PT130" s="115"/>
      <c r="PU130" s="115"/>
      <c r="PV130" s="115"/>
      <c r="PW130" s="115"/>
      <c r="PX130" s="115"/>
      <c r="PY130" s="115"/>
      <c r="PZ130" s="115"/>
      <c r="QA130" s="115"/>
      <c r="QB130" s="115"/>
      <c r="QC130" s="115"/>
      <c r="QD130" s="115"/>
      <c r="QE130" s="115"/>
      <c r="QF130" s="115"/>
      <c r="QG130" s="115"/>
      <c r="QH130" s="115"/>
      <c r="QI130" s="115"/>
      <c r="QJ130" s="115"/>
      <c r="QK130" s="115"/>
      <c r="QL130" s="115"/>
      <c r="QM130" s="115"/>
      <c r="QN130" s="115"/>
      <c r="QO130" s="115"/>
      <c r="QP130" s="115"/>
      <c r="QQ130" s="115"/>
      <c r="QR130" s="115"/>
      <c r="QS130" s="115"/>
      <c r="QT130" s="115"/>
      <c r="QU130" s="115"/>
      <c r="QV130" s="115"/>
      <c r="QW130" s="115"/>
      <c r="QX130" s="115"/>
      <c r="QY130" s="115"/>
      <c r="QZ130" s="115"/>
      <c r="RA130" s="115"/>
      <c r="RB130" s="115"/>
      <c r="RC130" s="115"/>
      <c r="RD130" s="115"/>
      <c r="RE130" s="115"/>
      <c r="RF130" s="115"/>
      <c r="RG130" s="115"/>
      <c r="RH130" s="115"/>
      <c r="RI130" s="115"/>
      <c r="RJ130" s="115"/>
      <c r="RK130" s="115"/>
      <c r="RL130" s="115"/>
      <c r="RM130" s="115"/>
      <c r="RN130" s="115"/>
      <c r="RO130" s="115"/>
      <c r="RP130" s="115"/>
      <c r="RQ130" s="115"/>
      <c r="RR130" s="115"/>
      <c r="RS130" s="115"/>
      <c r="RT130" s="115"/>
      <c r="RU130" s="115"/>
      <c r="RV130" s="115"/>
      <c r="RW130" s="115"/>
      <c r="RX130" s="115"/>
      <c r="RY130" s="115"/>
      <c r="RZ130" s="115"/>
      <c r="SA130" s="115"/>
      <c r="SB130" s="115"/>
      <c r="SC130" s="115"/>
      <c r="SD130" s="115"/>
      <c r="SE130" s="115"/>
      <c r="SF130" s="115"/>
      <c r="SG130" s="115"/>
      <c r="SH130" s="115"/>
      <c r="SI130" s="115"/>
      <c r="SJ130" s="115"/>
      <c r="SK130" s="115"/>
      <c r="SL130" s="115"/>
      <c r="SM130" s="115"/>
      <c r="SN130" s="115"/>
      <c r="SO130" s="115"/>
      <c r="SP130" s="115"/>
      <c r="SQ130" s="115"/>
      <c r="SR130" s="115"/>
      <c r="SS130" s="115"/>
      <c r="ST130" s="115"/>
      <c r="SU130" s="115"/>
      <c r="SV130" s="115"/>
      <c r="SW130" s="115"/>
      <c r="SX130" s="115"/>
      <c r="SY130" s="115"/>
      <c r="SZ130" s="115"/>
      <c r="TA130" s="115"/>
      <c r="TB130" s="115"/>
      <c r="TC130" s="115"/>
      <c r="TD130" s="115"/>
      <c r="TE130" s="115"/>
      <c r="TF130" s="115"/>
      <c r="TG130" s="115"/>
      <c r="TH130" s="115"/>
      <c r="TI130" s="115"/>
      <c r="TJ130" s="115"/>
      <c r="TK130" s="115"/>
      <c r="TL130" s="115"/>
      <c r="TM130" s="115"/>
      <c r="TN130" s="115"/>
      <c r="TO130" s="115"/>
      <c r="TP130" s="115"/>
      <c r="TQ130" s="115">
        <v>180</v>
      </c>
      <c r="TR130" s="115"/>
      <c r="TS130" s="115">
        <v>1000</v>
      </c>
      <c r="TT130" s="115"/>
      <c r="TU130" s="115"/>
      <c r="TV130" s="115"/>
      <c r="TW130" s="115"/>
      <c r="TX130" s="115"/>
      <c r="TY130" s="115"/>
      <c r="TZ130" s="115"/>
      <c r="UA130" s="115"/>
      <c r="UB130" s="115"/>
      <c r="UC130" s="115"/>
      <c r="UD130" s="115"/>
      <c r="UE130" s="115"/>
      <c r="UF130" s="115"/>
      <c r="UG130" s="115"/>
      <c r="UH130" s="115"/>
      <c r="UI130" s="115"/>
      <c r="UJ130" s="115"/>
      <c r="UK130" s="115"/>
      <c r="UL130" s="115"/>
      <c r="UM130" s="115"/>
      <c r="UN130" s="115"/>
      <c r="UO130" s="115"/>
      <c r="UP130" s="115"/>
      <c r="UQ130" s="115"/>
      <c r="UR130" s="115"/>
      <c r="US130" s="115"/>
      <c r="UT130" s="115"/>
      <c r="UU130" s="115"/>
      <c r="UV130" s="115"/>
      <c r="UW130" s="115"/>
      <c r="UX130" s="115"/>
      <c r="UY130" s="115"/>
      <c r="UZ130" s="115"/>
      <c r="VA130" s="115"/>
      <c r="VB130" s="115"/>
      <c r="VC130" s="115"/>
      <c r="VD130" s="115"/>
      <c r="VE130" s="115"/>
      <c r="VF130" s="115"/>
      <c r="VG130" s="115"/>
      <c r="VH130" s="115"/>
      <c r="VI130" s="115"/>
      <c r="VJ130" s="115"/>
      <c r="VK130" s="115"/>
      <c r="VL130" s="115"/>
      <c r="VM130" s="115"/>
      <c r="VN130" s="115"/>
      <c r="VO130" s="115"/>
      <c r="VP130" s="115"/>
      <c r="VQ130" s="115"/>
      <c r="VR130" s="115"/>
      <c r="VS130" s="115"/>
      <c r="VT130" s="115"/>
      <c r="VU130" s="115"/>
      <c r="VV130" s="115"/>
      <c r="VW130" s="115"/>
      <c r="VX130" s="115"/>
      <c r="VY130" s="115"/>
      <c r="VZ130" s="115"/>
      <c r="WA130" s="115"/>
      <c r="WB130" s="115"/>
      <c r="WC130" s="115"/>
      <c r="WD130" s="115"/>
      <c r="WE130" s="115"/>
      <c r="WF130" s="115"/>
      <c r="WG130" s="115"/>
      <c r="WH130" s="115"/>
      <c r="WI130" s="115"/>
      <c r="WJ130" s="115"/>
      <c r="WK130" s="115"/>
      <c r="WL130" s="115"/>
      <c r="WM130" s="115"/>
      <c r="WN130" s="115"/>
      <c r="WO130" s="115"/>
      <c r="WP130" s="115"/>
      <c r="WQ130" s="115"/>
      <c r="WR130" s="115"/>
      <c r="WS130" s="115"/>
      <c r="WT130" s="115"/>
      <c r="WU130" s="115"/>
      <c r="WV130" s="115"/>
      <c r="WW130" s="115"/>
      <c r="WX130" s="115"/>
      <c r="WY130" s="115"/>
      <c r="WZ130" s="115"/>
      <c r="XA130" s="115"/>
      <c r="XB130" s="115"/>
      <c r="XC130" s="115"/>
      <c r="XD130" s="115"/>
      <c r="XE130" s="115"/>
      <c r="XF130" s="115"/>
      <c r="XG130" s="115"/>
      <c r="XH130" s="115"/>
      <c r="XI130" s="115"/>
      <c r="XJ130" s="115"/>
      <c r="XK130" s="115"/>
      <c r="XL130" s="115"/>
      <c r="XM130" s="115"/>
      <c r="XN130" s="115"/>
      <c r="XO130" s="115"/>
      <c r="XP130" s="115"/>
      <c r="XQ130" s="115"/>
      <c r="XR130" s="115"/>
      <c r="XS130" s="115"/>
      <c r="XT130" s="115"/>
      <c r="XU130" s="115"/>
      <c r="XV130" s="115"/>
      <c r="XW130" s="115"/>
      <c r="XX130" s="115"/>
      <c r="XY130" s="115"/>
      <c r="XZ130" s="115"/>
      <c r="YA130" s="115"/>
      <c r="YB130" s="115"/>
      <c r="YC130" s="115"/>
      <c r="YD130" s="115"/>
      <c r="YE130" s="115"/>
      <c r="YF130" s="115"/>
      <c r="YG130" s="115"/>
      <c r="YH130" s="115"/>
      <c r="YI130" s="115"/>
      <c r="YJ130" s="115"/>
      <c r="YK130" s="115"/>
      <c r="YL130" s="115"/>
      <c r="YM130" s="115"/>
      <c r="YN130" s="115"/>
      <c r="YO130" s="115"/>
      <c r="YP130" s="115"/>
      <c r="YQ130" s="115"/>
      <c r="YX130" s="22">
        <v>44472</v>
      </c>
      <c r="YY130" s="22">
        <f>VLOOKUP(B130,'SCAFFOLDING MATERIAL OVERALL'!B132:S314,18,FALSE)</f>
        <v>12.75</v>
      </c>
      <c r="YZ130" s="22">
        <f t="shared" si="1"/>
        <v>567018</v>
      </c>
    </row>
    <row r="131" spans="1:676" s="22" customFormat="1" x14ac:dyDescent="0.25">
      <c r="A131" s="14">
        <v>127</v>
      </c>
      <c r="B131" s="15">
        <v>1000006676</v>
      </c>
      <c r="C131" s="16" t="s">
        <v>140</v>
      </c>
      <c r="D131" s="44" t="s">
        <v>12</v>
      </c>
      <c r="J131" s="22">
        <v>300</v>
      </c>
      <c r="AE131" s="22">
        <v>287</v>
      </c>
      <c r="AH131" s="22">
        <v>298</v>
      </c>
      <c r="BN131" s="22">
        <v>289</v>
      </c>
      <c r="BS131" s="22">
        <v>289</v>
      </c>
      <c r="MS131" s="22">
        <v>141</v>
      </c>
      <c r="MZ131" s="22">
        <v>14</v>
      </c>
      <c r="NA131" s="22">
        <v>29</v>
      </c>
      <c r="NC131" s="22">
        <v>51</v>
      </c>
      <c r="NI131" s="22">
        <v>35</v>
      </c>
      <c r="NM131" s="22">
        <v>52</v>
      </c>
      <c r="NN131" s="22">
        <v>5</v>
      </c>
      <c r="NU131" s="22">
        <v>63</v>
      </c>
      <c r="ON131" s="22">
        <v>298</v>
      </c>
      <c r="OZ131" s="115"/>
      <c r="PA131" s="115"/>
      <c r="PB131" s="115"/>
      <c r="PC131" s="115"/>
      <c r="PD131" s="115"/>
      <c r="PE131" s="115"/>
      <c r="PF131" s="115"/>
      <c r="PG131" s="115"/>
      <c r="PH131" s="115"/>
      <c r="PI131" s="115"/>
      <c r="PJ131" s="115"/>
      <c r="PK131" s="115"/>
      <c r="PL131" s="115"/>
      <c r="PM131" s="115"/>
      <c r="PN131" s="115"/>
      <c r="PO131" s="115"/>
      <c r="PP131" s="115"/>
      <c r="PQ131" s="115"/>
      <c r="PR131" s="115"/>
      <c r="PS131" s="115"/>
      <c r="PT131" s="115"/>
      <c r="PU131" s="115"/>
      <c r="PV131" s="115"/>
      <c r="PW131" s="115"/>
      <c r="PX131" s="115"/>
      <c r="PY131" s="115"/>
      <c r="PZ131" s="115"/>
      <c r="QA131" s="115"/>
      <c r="QB131" s="115"/>
      <c r="QC131" s="115"/>
      <c r="QD131" s="115"/>
      <c r="QE131" s="115"/>
      <c r="QF131" s="115"/>
      <c r="QG131" s="115"/>
      <c r="QH131" s="115"/>
      <c r="QI131" s="115"/>
      <c r="QJ131" s="115"/>
      <c r="QK131" s="115"/>
      <c r="QL131" s="115"/>
      <c r="QM131" s="115"/>
      <c r="QN131" s="115"/>
      <c r="QO131" s="115"/>
      <c r="QP131" s="115"/>
      <c r="QQ131" s="115"/>
      <c r="QR131" s="115"/>
      <c r="QS131" s="115"/>
      <c r="QT131" s="115"/>
      <c r="QU131" s="115"/>
      <c r="QV131" s="115"/>
      <c r="QW131" s="115"/>
      <c r="QX131" s="115"/>
      <c r="QY131" s="115"/>
      <c r="QZ131" s="115"/>
      <c r="RA131" s="115"/>
      <c r="RB131" s="115"/>
      <c r="RC131" s="115"/>
      <c r="RD131" s="115"/>
      <c r="RE131" s="115"/>
      <c r="RF131" s="115"/>
      <c r="RG131" s="115"/>
      <c r="RH131" s="115"/>
      <c r="RI131" s="115"/>
      <c r="RJ131" s="115"/>
      <c r="RK131" s="115"/>
      <c r="RL131" s="115"/>
      <c r="RM131" s="115"/>
      <c r="RN131" s="115"/>
      <c r="RO131" s="115"/>
      <c r="RP131" s="115"/>
      <c r="RQ131" s="115"/>
      <c r="RR131" s="115"/>
      <c r="RS131" s="115"/>
      <c r="RT131" s="115"/>
      <c r="RU131" s="115"/>
      <c r="RV131" s="115"/>
      <c r="RW131" s="115"/>
      <c r="RX131" s="115"/>
      <c r="RY131" s="115"/>
      <c r="RZ131" s="115"/>
      <c r="SA131" s="115"/>
      <c r="SB131" s="115"/>
      <c r="SC131" s="115"/>
      <c r="SD131" s="115"/>
      <c r="SE131" s="115"/>
      <c r="SF131" s="115"/>
      <c r="SG131" s="115"/>
      <c r="SH131" s="115"/>
      <c r="SI131" s="115"/>
      <c r="SJ131" s="115"/>
      <c r="SK131" s="115"/>
      <c r="SL131" s="115"/>
      <c r="SM131" s="115"/>
      <c r="SN131" s="115"/>
      <c r="SO131" s="115"/>
      <c r="SP131" s="115"/>
      <c r="SQ131" s="115"/>
      <c r="SR131" s="115"/>
      <c r="SS131" s="115"/>
      <c r="ST131" s="115"/>
      <c r="SU131" s="115"/>
      <c r="SV131" s="115"/>
      <c r="SW131" s="115"/>
      <c r="SX131" s="115"/>
      <c r="SY131" s="115"/>
      <c r="SZ131" s="115"/>
      <c r="TA131" s="115"/>
      <c r="TB131" s="115"/>
      <c r="TC131" s="115"/>
      <c r="TD131" s="115"/>
      <c r="TE131" s="115"/>
      <c r="TF131" s="115"/>
      <c r="TG131" s="115"/>
      <c r="TH131" s="115"/>
      <c r="TI131" s="115"/>
      <c r="TJ131" s="115"/>
      <c r="TK131" s="115"/>
      <c r="TL131" s="115"/>
      <c r="TM131" s="115"/>
      <c r="TN131" s="115"/>
      <c r="TO131" s="115"/>
      <c r="TP131" s="115"/>
      <c r="TQ131" s="115"/>
      <c r="TR131" s="115"/>
      <c r="TS131" s="115"/>
      <c r="TT131" s="115"/>
      <c r="TU131" s="115"/>
      <c r="TV131" s="115"/>
      <c r="TW131" s="115"/>
      <c r="TX131" s="115"/>
      <c r="TY131" s="115"/>
      <c r="TZ131" s="115"/>
      <c r="UA131" s="115"/>
      <c r="UB131" s="115"/>
      <c r="UC131" s="115"/>
      <c r="UD131" s="115"/>
      <c r="UE131" s="115"/>
      <c r="UF131" s="115"/>
      <c r="UG131" s="115"/>
      <c r="UH131" s="115"/>
      <c r="UI131" s="115"/>
      <c r="UJ131" s="115"/>
      <c r="UK131" s="115"/>
      <c r="UL131" s="115"/>
      <c r="UM131" s="115"/>
      <c r="UN131" s="115"/>
      <c r="UO131" s="115"/>
      <c r="UP131" s="115"/>
      <c r="UQ131" s="115"/>
      <c r="UR131" s="115"/>
      <c r="US131" s="115"/>
      <c r="UT131" s="115"/>
      <c r="UU131" s="115"/>
      <c r="UV131" s="115"/>
      <c r="UW131" s="115"/>
      <c r="UX131" s="115"/>
      <c r="UY131" s="115"/>
      <c r="UZ131" s="115"/>
      <c r="VA131" s="115"/>
      <c r="VB131" s="115"/>
      <c r="VC131" s="115"/>
      <c r="VD131" s="115"/>
      <c r="VE131" s="115"/>
      <c r="VF131" s="115"/>
      <c r="VG131" s="115"/>
      <c r="VH131" s="115"/>
      <c r="VI131" s="115"/>
      <c r="VJ131" s="115"/>
      <c r="VK131" s="115"/>
      <c r="VL131" s="115"/>
      <c r="VM131" s="115"/>
      <c r="VN131" s="115"/>
      <c r="VO131" s="115"/>
      <c r="VP131" s="115"/>
      <c r="VQ131" s="115"/>
      <c r="VR131" s="115"/>
      <c r="VS131" s="115"/>
      <c r="VT131" s="115"/>
      <c r="VU131" s="115"/>
      <c r="VV131" s="115"/>
      <c r="VW131" s="115"/>
      <c r="VX131" s="115"/>
      <c r="VY131" s="115"/>
      <c r="VZ131" s="115"/>
      <c r="WA131" s="115"/>
      <c r="WB131" s="115"/>
      <c r="WC131" s="115"/>
      <c r="WD131" s="115"/>
      <c r="WE131" s="115"/>
      <c r="WF131" s="115"/>
      <c r="WG131" s="115"/>
      <c r="WH131" s="115"/>
      <c r="WI131" s="115"/>
      <c r="WJ131" s="115"/>
      <c r="WK131" s="115"/>
      <c r="WL131" s="115"/>
      <c r="WM131" s="115"/>
      <c r="WN131" s="115"/>
      <c r="WO131" s="115"/>
      <c r="WP131" s="115"/>
      <c r="WQ131" s="115"/>
      <c r="WR131" s="115"/>
      <c r="WS131" s="115"/>
      <c r="WT131" s="115"/>
      <c r="WU131" s="115"/>
      <c r="WV131" s="115"/>
      <c r="WW131" s="115"/>
      <c r="WX131" s="115"/>
      <c r="WY131" s="115"/>
      <c r="WZ131" s="115"/>
      <c r="XA131" s="115"/>
      <c r="XB131" s="115"/>
      <c r="XC131" s="115"/>
      <c r="XD131" s="115"/>
      <c r="XE131" s="115"/>
      <c r="XF131" s="115"/>
      <c r="XG131" s="115"/>
      <c r="XH131" s="115"/>
      <c r="XI131" s="115"/>
      <c r="XJ131" s="115"/>
      <c r="XK131" s="115"/>
      <c r="XL131" s="115"/>
      <c r="XM131" s="115"/>
      <c r="XN131" s="115"/>
      <c r="XO131" s="115"/>
      <c r="XP131" s="115"/>
      <c r="XQ131" s="115"/>
      <c r="XR131" s="115"/>
      <c r="XS131" s="115"/>
      <c r="XT131" s="115"/>
      <c r="XU131" s="115"/>
      <c r="XV131" s="115"/>
      <c r="XW131" s="115"/>
      <c r="XX131" s="115"/>
      <c r="XY131" s="115"/>
      <c r="XZ131" s="115"/>
      <c r="YA131" s="115"/>
      <c r="YB131" s="115"/>
      <c r="YC131" s="115"/>
      <c r="YD131" s="115"/>
      <c r="YE131" s="115"/>
      <c r="YF131" s="115"/>
      <c r="YG131" s="115"/>
      <c r="YH131" s="115"/>
      <c r="YI131" s="115"/>
      <c r="YJ131" s="115"/>
      <c r="YK131" s="115"/>
      <c r="YL131" s="115"/>
      <c r="YM131" s="115"/>
      <c r="YN131" s="115"/>
      <c r="YO131" s="115"/>
      <c r="YP131" s="115"/>
      <c r="YQ131" s="115"/>
      <c r="YX131" s="22">
        <v>2151</v>
      </c>
      <c r="YY131" s="22">
        <f>VLOOKUP(B131,'SCAFFOLDING MATERIAL OVERALL'!B133:S315,18,FALSE)</f>
        <v>14.65</v>
      </c>
      <c r="YZ131" s="22">
        <f t="shared" si="1"/>
        <v>31512.15</v>
      </c>
    </row>
    <row r="132" spans="1:676" s="22" customFormat="1" x14ac:dyDescent="0.25">
      <c r="A132" s="17">
        <v>128</v>
      </c>
      <c r="B132" s="15">
        <v>3000002696</v>
      </c>
      <c r="C132" s="16" t="s">
        <v>141</v>
      </c>
      <c r="D132" s="44" t="s">
        <v>12</v>
      </c>
      <c r="L132" s="22">
        <v>200</v>
      </c>
      <c r="S132" s="22">
        <v>200</v>
      </c>
      <c r="U132" s="22">
        <v>112</v>
      </c>
      <c r="W132" s="22">
        <v>288</v>
      </c>
      <c r="Y132" s="22">
        <v>285</v>
      </c>
      <c r="AE132" s="22">
        <v>217</v>
      </c>
      <c r="AM132" s="22">
        <v>122</v>
      </c>
      <c r="AO132" s="22">
        <v>299</v>
      </c>
      <c r="AP132" s="22">
        <v>298</v>
      </c>
      <c r="CN132" s="22">
        <v>298</v>
      </c>
      <c r="CQ132" s="22">
        <v>596</v>
      </c>
      <c r="DM132" s="22">
        <v>549</v>
      </c>
      <c r="DN132" s="22">
        <v>289</v>
      </c>
      <c r="DP132" s="22">
        <v>751</v>
      </c>
      <c r="EK132" s="22">
        <v>575</v>
      </c>
      <c r="EN132" s="22">
        <v>298</v>
      </c>
      <c r="ET132" s="22">
        <v>596</v>
      </c>
      <c r="EZ132" s="22">
        <v>596</v>
      </c>
      <c r="FA132" s="22">
        <v>596</v>
      </c>
      <c r="FE132" s="22">
        <v>596</v>
      </c>
      <c r="FK132" s="22">
        <v>596</v>
      </c>
      <c r="GH132" s="22">
        <v>298</v>
      </c>
      <c r="GP132" s="22">
        <v>859</v>
      </c>
      <c r="GZ132" s="22">
        <v>596</v>
      </c>
      <c r="HH132" s="22">
        <v>298</v>
      </c>
      <c r="HI132" s="22">
        <v>596</v>
      </c>
      <c r="HJ132" s="22">
        <v>596</v>
      </c>
      <c r="HO132" s="22">
        <v>596</v>
      </c>
      <c r="IK132" s="22">
        <v>596</v>
      </c>
      <c r="IR132" s="22">
        <v>298</v>
      </c>
      <c r="IS132" s="22">
        <v>498</v>
      </c>
      <c r="IX132" s="22">
        <v>596</v>
      </c>
      <c r="JG132" s="22">
        <v>298</v>
      </c>
      <c r="JH132" s="22">
        <v>298</v>
      </c>
      <c r="JK132" s="22">
        <v>596</v>
      </c>
      <c r="JW132" s="22">
        <v>298</v>
      </c>
      <c r="JX132" s="22">
        <v>596</v>
      </c>
      <c r="KE132" s="22">
        <v>596</v>
      </c>
      <c r="KH132" s="22">
        <v>596</v>
      </c>
      <c r="KJ132" s="22">
        <v>596</v>
      </c>
      <c r="KL132" s="22">
        <v>298</v>
      </c>
      <c r="KM132" s="22">
        <v>596</v>
      </c>
      <c r="KN132" s="22">
        <v>298</v>
      </c>
      <c r="KS132" s="22">
        <v>298</v>
      </c>
      <c r="KW132" s="22">
        <v>596</v>
      </c>
      <c r="KX132" s="22">
        <v>298</v>
      </c>
      <c r="LA132" s="22">
        <v>298</v>
      </c>
      <c r="LB132" s="22">
        <v>298</v>
      </c>
      <c r="LD132" s="22">
        <v>298</v>
      </c>
      <c r="LE132" s="22">
        <v>298</v>
      </c>
      <c r="LG132" s="22">
        <v>894</v>
      </c>
      <c r="LK132" s="22">
        <v>596</v>
      </c>
      <c r="LQ132" s="22">
        <v>298</v>
      </c>
      <c r="LW132" s="22">
        <v>298</v>
      </c>
      <c r="LY132" s="22">
        <v>298</v>
      </c>
      <c r="LZ132" s="22">
        <v>298</v>
      </c>
      <c r="MF132" s="22">
        <v>298</v>
      </c>
      <c r="MN132" s="22">
        <v>205</v>
      </c>
      <c r="MQ132" s="22">
        <v>298</v>
      </c>
      <c r="MR132" s="22">
        <v>298</v>
      </c>
      <c r="MS132" s="22">
        <v>99</v>
      </c>
      <c r="MW132" s="22">
        <v>149</v>
      </c>
      <c r="MZ132" s="22">
        <v>50</v>
      </c>
      <c r="NA132" s="22">
        <v>191</v>
      </c>
      <c r="NC132" s="22">
        <v>315</v>
      </c>
      <c r="NI132" s="22">
        <v>250</v>
      </c>
      <c r="NJ132" s="22">
        <v>3</v>
      </c>
      <c r="NL132" s="22">
        <v>225</v>
      </c>
      <c r="NM132" s="22">
        <v>189</v>
      </c>
      <c r="NN132" s="22">
        <v>9</v>
      </c>
      <c r="NO132" s="22">
        <v>298</v>
      </c>
      <c r="NR132" s="22">
        <v>298</v>
      </c>
      <c r="NU132" s="22">
        <v>340</v>
      </c>
      <c r="NV132" s="22">
        <v>298</v>
      </c>
      <c r="NW132" s="22">
        <v>298</v>
      </c>
      <c r="NZ132" s="22">
        <v>298</v>
      </c>
      <c r="OA132" s="22">
        <v>298</v>
      </c>
      <c r="OB132" s="22">
        <v>596</v>
      </c>
      <c r="OC132" s="22">
        <v>179</v>
      </c>
      <c r="OG132" s="22">
        <v>301</v>
      </c>
      <c r="OH132" s="22">
        <v>301</v>
      </c>
      <c r="OJ132" s="22">
        <v>302</v>
      </c>
      <c r="ON132" s="22">
        <v>298</v>
      </c>
      <c r="OZ132" s="115"/>
      <c r="PA132" s="115"/>
      <c r="PB132" s="115"/>
      <c r="PC132" s="115"/>
      <c r="PD132" s="115"/>
      <c r="PE132" s="115"/>
      <c r="PF132" s="115"/>
      <c r="PG132" s="115"/>
      <c r="PH132" s="115"/>
      <c r="PI132" s="115"/>
      <c r="PJ132" s="115"/>
      <c r="PK132" s="115"/>
      <c r="PL132" s="115"/>
      <c r="PM132" s="115"/>
      <c r="PN132" s="115"/>
      <c r="PO132" s="115"/>
      <c r="PP132" s="115"/>
      <c r="PQ132" s="115"/>
      <c r="PR132" s="115"/>
      <c r="PS132" s="115"/>
      <c r="PT132" s="115"/>
      <c r="PU132" s="115"/>
      <c r="PV132" s="115"/>
      <c r="PW132" s="115"/>
      <c r="PX132" s="115"/>
      <c r="PY132" s="115"/>
      <c r="PZ132" s="115"/>
      <c r="QA132" s="115"/>
      <c r="QB132" s="115"/>
      <c r="QC132" s="115"/>
      <c r="QD132" s="115"/>
      <c r="QE132" s="115"/>
      <c r="QF132" s="115"/>
      <c r="QG132" s="115"/>
      <c r="QH132" s="115"/>
      <c r="QI132" s="115"/>
      <c r="QJ132" s="115"/>
      <c r="QK132" s="115"/>
      <c r="QL132" s="115"/>
      <c r="QM132" s="115"/>
      <c r="QN132" s="115"/>
      <c r="QO132" s="115"/>
      <c r="QP132" s="115"/>
      <c r="QQ132" s="115"/>
      <c r="QR132" s="115"/>
      <c r="QS132" s="115"/>
      <c r="QT132" s="115"/>
      <c r="QU132" s="115"/>
      <c r="QV132" s="115"/>
      <c r="QW132" s="115"/>
      <c r="QX132" s="115"/>
      <c r="QY132" s="115"/>
      <c r="QZ132" s="115"/>
      <c r="RA132" s="115"/>
      <c r="RB132" s="115"/>
      <c r="RC132" s="115"/>
      <c r="RD132" s="115"/>
      <c r="RE132" s="115"/>
      <c r="RF132" s="115"/>
      <c r="RG132" s="115"/>
      <c r="RH132" s="115"/>
      <c r="RI132" s="115"/>
      <c r="RJ132" s="115"/>
      <c r="RK132" s="115"/>
      <c r="RL132" s="115"/>
      <c r="RM132" s="115"/>
      <c r="RN132" s="115"/>
      <c r="RO132" s="115"/>
      <c r="RP132" s="115"/>
      <c r="RQ132" s="115"/>
      <c r="RR132" s="115"/>
      <c r="RS132" s="115"/>
      <c r="RT132" s="115"/>
      <c r="RU132" s="115"/>
      <c r="RV132" s="115"/>
      <c r="RW132" s="115"/>
      <c r="RX132" s="115"/>
      <c r="RY132" s="115"/>
      <c r="RZ132" s="115"/>
      <c r="SA132" s="115"/>
      <c r="SB132" s="115"/>
      <c r="SC132" s="115"/>
      <c r="SD132" s="115"/>
      <c r="SE132" s="115"/>
      <c r="SF132" s="115"/>
      <c r="SG132" s="115"/>
      <c r="SH132" s="115"/>
      <c r="SI132" s="115"/>
      <c r="SJ132" s="115"/>
      <c r="SK132" s="115"/>
      <c r="SL132" s="115"/>
      <c r="SM132" s="115"/>
      <c r="SN132" s="115"/>
      <c r="SO132" s="115"/>
      <c r="SP132" s="115"/>
      <c r="SQ132" s="115"/>
      <c r="SR132" s="115"/>
      <c r="SS132" s="115"/>
      <c r="ST132" s="115"/>
      <c r="SU132" s="115"/>
      <c r="SV132" s="115"/>
      <c r="SW132" s="115"/>
      <c r="SX132" s="115"/>
      <c r="SY132" s="115"/>
      <c r="SZ132" s="115"/>
      <c r="TA132" s="115"/>
      <c r="TB132" s="115"/>
      <c r="TC132" s="115"/>
      <c r="TD132" s="115"/>
      <c r="TE132" s="115"/>
      <c r="TF132" s="115"/>
      <c r="TG132" s="115"/>
      <c r="TH132" s="115"/>
      <c r="TI132" s="115"/>
      <c r="TJ132" s="115"/>
      <c r="TK132" s="115"/>
      <c r="TL132" s="115"/>
      <c r="TM132" s="115"/>
      <c r="TN132" s="115"/>
      <c r="TO132" s="115"/>
      <c r="TP132" s="115"/>
      <c r="TQ132" s="115"/>
      <c r="TR132" s="115">
        <v>200</v>
      </c>
      <c r="TS132" s="115">
        <v>150</v>
      </c>
      <c r="TT132" s="115">
        <v>200</v>
      </c>
      <c r="TU132" s="115">
        <v>150</v>
      </c>
      <c r="TV132" s="115">
        <v>1687</v>
      </c>
      <c r="TW132" s="115"/>
      <c r="TX132" s="115"/>
      <c r="TY132" s="115"/>
      <c r="TZ132" s="115"/>
      <c r="UA132" s="115"/>
      <c r="UB132" s="115"/>
      <c r="UC132" s="115"/>
      <c r="UD132" s="115"/>
      <c r="UE132" s="115"/>
      <c r="UF132" s="115"/>
      <c r="UG132" s="115"/>
      <c r="UH132" s="115"/>
      <c r="UI132" s="115"/>
      <c r="UJ132" s="115"/>
      <c r="UK132" s="115"/>
      <c r="UL132" s="115"/>
      <c r="UM132" s="115"/>
      <c r="UN132" s="115"/>
      <c r="UO132" s="115"/>
      <c r="UP132" s="115"/>
      <c r="UQ132" s="115"/>
      <c r="UR132" s="115"/>
      <c r="US132" s="115"/>
      <c r="UT132" s="115"/>
      <c r="UU132" s="115"/>
      <c r="UV132" s="115"/>
      <c r="UW132" s="115"/>
      <c r="UX132" s="115"/>
      <c r="UY132" s="115"/>
      <c r="UZ132" s="115"/>
      <c r="VA132" s="115"/>
      <c r="VB132" s="115"/>
      <c r="VC132" s="115"/>
      <c r="VD132" s="115"/>
      <c r="VE132" s="115"/>
      <c r="VF132" s="115"/>
      <c r="VG132" s="115"/>
      <c r="VH132" s="115"/>
      <c r="VI132" s="115"/>
      <c r="VJ132" s="115"/>
      <c r="VK132" s="115"/>
      <c r="VL132" s="115"/>
      <c r="VM132" s="115"/>
      <c r="VN132" s="115"/>
      <c r="VO132" s="115"/>
      <c r="VP132" s="115"/>
      <c r="VQ132" s="115"/>
      <c r="VR132" s="115"/>
      <c r="VS132" s="115"/>
      <c r="VT132" s="115"/>
      <c r="VU132" s="115"/>
      <c r="VV132" s="115"/>
      <c r="VW132" s="115"/>
      <c r="VX132" s="115"/>
      <c r="VY132" s="115"/>
      <c r="VZ132" s="115"/>
      <c r="WA132" s="115"/>
      <c r="WB132" s="115"/>
      <c r="WC132" s="115"/>
      <c r="WD132" s="115"/>
      <c r="WE132" s="115"/>
      <c r="WF132" s="115"/>
      <c r="WG132" s="115"/>
      <c r="WH132" s="115"/>
      <c r="WI132" s="115"/>
      <c r="WJ132" s="115"/>
      <c r="WK132" s="115"/>
      <c r="WL132" s="115"/>
      <c r="WM132" s="115"/>
      <c r="WN132" s="115"/>
      <c r="WO132" s="115"/>
      <c r="WP132" s="115"/>
      <c r="WQ132" s="115"/>
      <c r="WR132" s="115"/>
      <c r="WS132" s="115"/>
      <c r="WT132" s="115"/>
      <c r="WU132" s="115"/>
      <c r="WV132" s="115"/>
      <c r="WW132" s="115"/>
      <c r="WX132" s="115"/>
      <c r="WY132" s="115"/>
      <c r="WZ132" s="115"/>
      <c r="XA132" s="115"/>
      <c r="XB132" s="115"/>
      <c r="XC132" s="115"/>
      <c r="XD132" s="115"/>
      <c r="XE132" s="115"/>
      <c r="XF132" s="115"/>
      <c r="XG132" s="115"/>
      <c r="XH132" s="115"/>
      <c r="XI132" s="115"/>
      <c r="XJ132" s="115"/>
      <c r="XK132" s="115"/>
      <c r="XL132" s="115"/>
      <c r="XM132" s="115"/>
      <c r="XN132" s="115"/>
      <c r="XO132" s="115"/>
      <c r="XP132" s="115"/>
      <c r="XQ132" s="115"/>
      <c r="XR132" s="115"/>
      <c r="XS132" s="115"/>
      <c r="XT132" s="115"/>
      <c r="XU132" s="115"/>
      <c r="XV132" s="115"/>
      <c r="XW132" s="115"/>
      <c r="XX132" s="115"/>
      <c r="XY132" s="115"/>
      <c r="XZ132" s="115"/>
      <c r="YA132" s="115"/>
      <c r="YB132" s="115"/>
      <c r="YC132" s="115"/>
      <c r="YD132" s="115"/>
      <c r="YE132" s="115"/>
      <c r="YF132" s="115"/>
      <c r="YG132" s="115"/>
      <c r="YH132" s="115"/>
      <c r="YI132" s="115"/>
      <c r="YJ132" s="115"/>
      <c r="YK132" s="115"/>
      <c r="YL132" s="115"/>
      <c r="YM132" s="115"/>
      <c r="YN132" s="115"/>
      <c r="YO132" s="115"/>
      <c r="YP132" s="115"/>
      <c r="YQ132" s="115"/>
      <c r="YX132" s="22">
        <v>33387</v>
      </c>
      <c r="YY132" s="22">
        <f>VLOOKUP(B132,'SCAFFOLDING MATERIAL OVERALL'!B134:S316,18,FALSE)</f>
        <v>17.079999999999998</v>
      </c>
      <c r="YZ132" s="22">
        <f t="shared" si="1"/>
        <v>570249.96</v>
      </c>
    </row>
    <row r="133" spans="1:676" s="22" customFormat="1" x14ac:dyDescent="0.25">
      <c r="A133" s="14">
        <v>129</v>
      </c>
      <c r="B133" s="15">
        <v>3000002693</v>
      </c>
      <c r="C133" s="16" t="s">
        <v>142</v>
      </c>
      <c r="D133" s="44" t="s">
        <v>12</v>
      </c>
      <c r="NA133" s="22">
        <v>7</v>
      </c>
      <c r="NC133" s="22">
        <v>4</v>
      </c>
      <c r="OZ133" s="115"/>
      <c r="PA133" s="115"/>
      <c r="PB133" s="115"/>
      <c r="PC133" s="115"/>
      <c r="PD133" s="115"/>
      <c r="PE133" s="115"/>
      <c r="PF133" s="115"/>
      <c r="PG133" s="115"/>
      <c r="PH133" s="115"/>
      <c r="PI133" s="115"/>
      <c r="PJ133" s="115"/>
      <c r="PK133" s="115"/>
      <c r="PL133" s="115"/>
      <c r="PM133" s="115"/>
      <c r="PN133" s="115"/>
      <c r="PO133" s="115"/>
      <c r="PP133" s="115"/>
      <c r="PQ133" s="115"/>
      <c r="PR133" s="115"/>
      <c r="PS133" s="115"/>
      <c r="PT133" s="115"/>
      <c r="PU133" s="115"/>
      <c r="PV133" s="115"/>
      <c r="PW133" s="115"/>
      <c r="PX133" s="115"/>
      <c r="PY133" s="115"/>
      <c r="PZ133" s="115"/>
      <c r="QA133" s="115"/>
      <c r="QB133" s="115"/>
      <c r="QC133" s="115"/>
      <c r="QD133" s="115"/>
      <c r="QE133" s="115"/>
      <c r="QF133" s="115"/>
      <c r="QG133" s="115"/>
      <c r="QH133" s="115"/>
      <c r="QI133" s="115"/>
      <c r="QJ133" s="115"/>
      <c r="QK133" s="115"/>
      <c r="QL133" s="115"/>
      <c r="QM133" s="115"/>
      <c r="QN133" s="115"/>
      <c r="QO133" s="115"/>
      <c r="QP133" s="115"/>
      <c r="QQ133" s="115"/>
      <c r="QR133" s="115"/>
      <c r="QS133" s="115"/>
      <c r="QT133" s="115"/>
      <c r="QU133" s="115"/>
      <c r="QV133" s="115"/>
      <c r="QW133" s="115"/>
      <c r="QX133" s="115"/>
      <c r="QY133" s="115"/>
      <c r="QZ133" s="115"/>
      <c r="RA133" s="115"/>
      <c r="RB133" s="115"/>
      <c r="RC133" s="115"/>
      <c r="RD133" s="115"/>
      <c r="RE133" s="115"/>
      <c r="RF133" s="115"/>
      <c r="RG133" s="115"/>
      <c r="RH133" s="115"/>
      <c r="RI133" s="115"/>
      <c r="RJ133" s="115"/>
      <c r="RK133" s="115"/>
      <c r="RL133" s="115"/>
      <c r="RM133" s="115"/>
      <c r="RN133" s="115"/>
      <c r="RO133" s="115"/>
      <c r="RP133" s="115"/>
      <c r="RQ133" s="115"/>
      <c r="RR133" s="115"/>
      <c r="RS133" s="115"/>
      <c r="RT133" s="115"/>
      <c r="RU133" s="115"/>
      <c r="RV133" s="115"/>
      <c r="RW133" s="115"/>
      <c r="RX133" s="115"/>
      <c r="RY133" s="115"/>
      <c r="RZ133" s="115"/>
      <c r="SA133" s="115"/>
      <c r="SB133" s="115"/>
      <c r="SC133" s="115"/>
      <c r="SD133" s="115"/>
      <c r="SE133" s="115"/>
      <c r="SF133" s="115"/>
      <c r="SG133" s="115"/>
      <c r="SH133" s="115"/>
      <c r="SI133" s="115"/>
      <c r="SJ133" s="115"/>
      <c r="SK133" s="115"/>
      <c r="SL133" s="115"/>
      <c r="SM133" s="115"/>
      <c r="SN133" s="115"/>
      <c r="SO133" s="115"/>
      <c r="SP133" s="115"/>
      <c r="SQ133" s="115"/>
      <c r="SR133" s="115"/>
      <c r="SS133" s="115"/>
      <c r="ST133" s="115"/>
      <c r="SU133" s="115"/>
      <c r="SV133" s="115"/>
      <c r="SW133" s="115"/>
      <c r="SX133" s="115"/>
      <c r="SY133" s="115"/>
      <c r="SZ133" s="115"/>
      <c r="TA133" s="115"/>
      <c r="TB133" s="115"/>
      <c r="TC133" s="115"/>
      <c r="TD133" s="115"/>
      <c r="TE133" s="115"/>
      <c r="TF133" s="115"/>
      <c r="TG133" s="115"/>
      <c r="TH133" s="115"/>
      <c r="TI133" s="115"/>
      <c r="TJ133" s="115"/>
      <c r="TK133" s="115"/>
      <c r="TL133" s="115"/>
      <c r="TM133" s="115"/>
      <c r="TN133" s="115"/>
      <c r="TO133" s="115"/>
      <c r="TP133" s="115"/>
      <c r="TQ133" s="115"/>
      <c r="TR133" s="115"/>
      <c r="TS133" s="115"/>
      <c r="TT133" s="115"/>
      <c r="TU133" s="115"/>
      <c r="TV133" s="115"/>
      <c r="TW133" s="115"/>
      <c r="TX133" s="115"/>
      <c r="TY133" s="115"/>
      <c r="TZ133" s="115"/>
      <c r="UA133" s="115"/>
      <c r="UB133" s="115"/>
      <c r="UC133" s="115"/>
      <c r="UD133" s="115"/>
      <c r="UE133" s="115"/>
      <c r="UF133" s="115"/>
      <c r="UG133" s="115"/>
      <c r="UH133" s="115"/>
      <c r="UI133" s="115"/>
      <c r="UJ133" s="115"/>
      <c r="UK133" s="115"/>
      <c r="UL133" s="115"/>
      <c r="UM133" s="115"/>
      <c r="UN133" s="115"/>
      <c r="UO133" s="115"/>
      <c r="UP133" s="115"/>
      <c r="UQ133" s="115"/>
      <c r="UR133" s="115"/>
      <c r="US133" s="115"/>
      <c r="UT133" s="115"/>
      <c r="UU133" s="115"/>
      <c r="UV133" s="115"/>
      <c r="UW133" s="115"/>
      <c r="UX133" s="115"/>
      <c r="UY133" s="115"/>
      <c r="UZ133" s="115"/>
      <c r="VA133" s="115"/>
      <c r="VB133" s="115"/>
      <c r="VC133" s="115"/>
      <c r="VD133" s="115"/>
      <c r="VE133" s="115"/>
      <c r="VF133" s="115"/>
      <c r="VG133" s="115"/>
      <c r="VH133" s="115"/>
      <c r="VI133" s="115"/>
      <c r="VJ133" s="115"/>
      <c r="VK133" s="115"/>
      <c r="VL133" s="115"/>
      <c r="VM133" s="115"/>
      <c r="VN133" s="115"/>
      <c r="VO133" s="115"/>
      <c r="VP133" s="115"/>
      <c r="VQ133" s="115"/>
      <c r="VR133" s="115"/>
      <c r="VS133" s="115"/>
      <c r="VT133" s="115"/>
      <c r="VU133" s="115"/>
      <c r="VV133" s="115"/>
      <c r="VW133" s="115"/>
      <c r="VX133" s="115"/>
      <c r="VY133" s="115"/>
      <c r="VZ133" s="115"/>
      <c r="WA133" s="115"/>
      <c r="WB133" s="115"/>
      <c r="WC133" s="115"/>
      <c r="WD133" s="115"/>
      <c r="WE133" s="115"/>
      <c r="WF133" s="115"/>
      <c r="WG133" s="115"/>
      <c r="WH133" s="115"/>
      <c r="WI133" s="115"/>
      <c r="WJ133" s="115"/>
      <c r="WK133" s="115"/>
      <c r="WL133" s="115"/>
      <c r="WM133" s="115"/>
      <c r="WN133" s="115"/>
      <c r="WO133" s="115"/>
      <c r="WP133" s="115"/>
      <c r="WQ133" s="115"/>
      <c r="WR133" s="115"/>
      <c r="WS133" s="115"/>
      <c r="WT133" s="115"/>
      <c r="WU133" s="115"/>
      <c r="WV133" s="115"/>
      <c r="WW133" s="115"/>
      <c r="WX133" s="115"/>
      <c r="WY133" s="115"/>
      <c r="WZ133" s="115"/>
      <c r="XA133" s="115"/>
      <c r="XB133" s="115"/>
      <c r="XC133" s="115"/>
      <c r="XD133" s="115"/>
      <c r="XE133" s="115"/>
      <c r="XF133" s="115"/>
      <c r="XG133" s="115"/>
      <c r="XH133" s="115"/>
      <c r="XI133" s="115"/>
      <c r="XJ133" s="115"/>
      <c r="XK133" s="115"/>
      <c r="XL133" s="115"/>
      <c r="XM133" s="115"/>
      <c r="XN133" s="115"/>
      <c r="XO133" s="115"/>
      <c r="XP133" s="115"/>
      <c r="XQ133" s="115"/>
      <c r="XR133" s="115"/>
      <c r="XS133" s="115"/>
      <c r="XT133" s="115"/>
      <c r="XU133" s="115"/>
      <c r="XV133" s="115"/>
      <c r="XW133" s="115"/>
      <c r="XX133" s="115"/>
      <c r="XY133" s="115"/>
      <c r="XZ133" s="115"/>
      <c r="YA133" s="115"/>
      <c r="YB133" s="115"/>
      <c r="YC133" s="115"/>
      <c r="YD133" s="115"/>
      <c r="YE133" s="115"/>
      <c r="YF133" s="115"/>
      <c r="YG133" s="115"/>
      <c r="YH133" s="115"/>
      <c r="YI133" s="115"/>
      <c r="YJ133" s="115"/>
      <c r="YK133" s="115"/>
      <c r="YL133" s="115"/>
      <c r="YM133" s="115"/>
      <c r="YN133" s="115"/>
      <c r="YO133" s="115"/>
      <c r="YP133" s="115"/>
      <c r="YQ133" s="115"/>
      <c r="YX133" s="22">
        <v>11</v>
      </c>
      <c r="YY133" s="22">
        <f>VLOOKUP(B133,'SCAFFOLDING MATERIAL OVERALL'!B135:S317,18,FALSE)</f>
        <v>20.585000000000001</v>
      </c>
      <c r="YZ133" s="22">
        <f t="shared" si="1"/>
        <v>226.435</v>
      </c>
    </row>
    <row r="134" spans="1:676" s="22" customFormat="1" x14ac:dyDescent="0.25">
      <c r="A134" s="14">
        <v>130</v>
      </c>
      <c r="B134" s="15" t="s">
        <v>143</v>
      </c>
      <c r="C134" s="16" t="s">
        <v>144</v>
      </c>
      <c r="D134" s="44" t="s">
        <v>12</v>
      </c>
      <c r="OZ134" s="115"/>
      <c r="PA134" s="115"/>
      <c r="PB134" s="115"/>
      <c r="PC134" s="115"/>
      <c r="PD134" s="115"/>
      <c r="PE134" s="115"/>
      <c r="PF134" s="115"/>
      <c r="PG134" s="115"/>
      <c r="PH134" s="115"/>
      <c r="PI134" s="115"/>
      <c r="PJ134" s="115"/>
      <c r="PK134" s="115"/>
      <c r="PL134" s="115"/>
      <c r="PM134" s="115"/>
      <c r="PN134" s="115"/>
      <c r="PO134" s="115"/>
      <c r="PP134" s="115"/>
      <c r="PQ134" s="115"/>
      <c r="PR134" s="115"/>
      <c r="PS134" s="115"/>
      <c r="PT134" s="115"/>
      <c r="PU134" s="115"/>
      <c r="PV134" s="115"/>
      <c r="PW134" s="115"/>
      <c r="PX134" s="115"/>
      <c r="PY134" s="115"/>
      <c r="PZ134" s="115"/>
      <c r="QA134" s="115"/>
      <c r="QB134" s="115"/>
      <c r="QC134" s="115"/>
      <c r="QD134" s="115"/>
      <c r="QE134" s="115"/>
      <c r="QF134" s="115"/>
      <c r="QG134" s="115"/>
      <c r="QH134" s="115"/>
      <c r="QI134" s="115"/>
      <c r="QJ134" s="115"/>
      <c r="QK134" s="115"/>
      <c r="QL134" s="115"/>
      <c r="QM134" s="115"/>
      <c r="QN134" s="115"/>
      <c r="QO134" s="115"/>
      <c r="QP134" s="115"/>
      <c r="QQ134" s="115"/>
      <c r="QR134" s="115"/>
      <c r="QS134" s="115"/>
      <c r="QT134" s="115"/>
      <c r="QU134" s="115"/>
      <c r="QV134" s="115"/>
      <c r="QW134" s="115"/>
      <c r="QX134" s="115"/>
      <c r="QY134" s="115"/>
      <c r="QZ134" s="115"/>
      <c r="RA134" s="115"/>
      <c r="RB134" s="115"/>
      <c r="RC134" s="115"/>
      <c r="RD134" s="115"/>
      <c r="RE134" s="115"/>
      <c r="RF134" s="115"/>
      <c r="RG134" s="115"/>
      <c r="RH134" s="115"/>
      <c r="RI134" s="115"/>
      <c r="RJ134" s="115"/>
      <c r="RK134" s="115"/>
      <c r="RL134" s="115"/>
      <c r="RM134" s="115"/>
      <c r="RN134" s="115"/>
      <c r="RO134" s="115"/>
      <c r="RP134" s="115"/>
      <c r="RQ134" s="115"/>
      <c r="RR134" s="115"/>
      <c r="RS134" s="115"/>
      <c r="RT134" s="115"/>
      <c r="RU134" s="115"/>
      <c r="RV134" s="115"/>
      <c r="RW134" s="115"/>
      <c r="RX134" s="115"/>
      <c r="RY134" s="115"/>
      <c r="RZ134" s="115"/>
      <c r="SA134" s="115"/>
      <c r="SB134" s="115"/>
      <c r="SC134" s="115"/>
      <c r="SD134" s="115"/>
      <c r="SE134" s="115"/>
      <c r="SF134" s="115"/>
      <c r="SG134" s="115"/>
      <c r="SH134" s="115"/>
      <c r="SI134" s="115"/>
      <c r="SJ134" s="115"/>
      <c r="SK134" s="115"/>
      <c r="SL134" s="115"/>
      <c r="SM134" s="115"/>
      <c r="SN134" s="115"/>
      <c r="SO134" s="115"/>
      <c r="SP134" s="115"/>
      <c r="SQ134" s="115"/>
      <c r="SR134" s="115"/>
      <c r="SS134" s="115"/>
      <c r="ST134" s="115"/>
      <c r="SU134" s="115"/>
      <c r="SV134" s="115"/>
      <c r="SW134" s="115"/>
      <c r="SX134" s="115"/>
      <c r="SY134" s="115"/>
      <c r="SZ134" s="115"/>
      <c r="TA134" s="115"/>
      <c r="TB134" s="115"/>
      <c r="TC134" s="115"/>
      <c r="TD134" s="115"/>
      <c r="TE134" s="115"/>
      <c r="TF134" s="115"/>
      <c r="TG134" s="115"/>
      <c r="TH134" s="115"/>
      <c r="TI134" s="115"/>
      <c r="TJ134" s="115"/>
      <c r="TK134" s="115"/>
      <c r="TL134" s="115"/>
      <c r="TM134" s="115"/>
      <c r="TN134" s="115"/>
      <c r="TO134" s="115"/>
      <c r="TP134" s="115"/>
      <c r="TQ134" s="115"/>
      <c r="TR134" s="115"/>
      <c r="TS134" s="115"/>
      <c r="TT134" s="115"/>
      <c r="TU134" s="115"/>
      <c r="TV134" s="115"/>
      <c r="TW134" s="115"/>
      <c r="TX134" s="115"/>
      <c r="TY134" s="115"/>
      <c r="TZ134" s="115"/>
      <c r="UA134" s="115"/>
      <c r="UB134" s="115"/>
      <c r="UC134" s="115"/>
      <c r="UD134" s="115"/>
      <c r="UE134" s="115"/>
      <c r="UF134" s="115"/>
      <c r="UG134" s="115"/>
      <c r="UH134" s="115"/>
      <c r="UI134" s="115"/>
      <c r="UJ134" s="115"/>
      <c r="UK134" s="115"/>
      <c r="UL134" s="115"/>
      <c r="UM134" s="115"/>
      <c r="UN134" s="115"/>
      <c r="UO134" s="115"/>
      <c r="UP134" s="115"/>
      <c r="UQ134" s="115"/>
      <c r="UR134" s="115"/>
      <c r="US134" s="115"/>
      <c r="UT134" s="115"/>
      <c r="UU134" s="115"/>
      <c r="UV134" s="115"/>
      <c r="UW134" s="115"/>
      <c r="UX134" s="115"/>
      <c r="UY134" s="115"/>
      <c r="UZ134" s="115"/>
      <c r="VA134" s="115"/>
      <c r="VB134" s="115"/>
      <c r="VC134" s="115"/>
      <c r="VD134" s="115"/>
      <c r="VE134" s="115"/>
      <c r="VF134" s="115"/>
      <c r="VG134" s="115"/>
      <c r="VH134" s="115"/>
      <c r="VI134" s="115"/>
      <c r="VJ134" s="115"/>
      <c r="VK134" s="115"/>
      <c r="VL134" s="115"/>
      <c r="VM134" s="115"/>
      <c r="VN134" s="115"/>
      <c r="VO134" s="115"/>
      <c r="VP134" s="115"/>
      <c r="VQ134" s="115"/>
      <c r="VR134" s="115"/>
      <c r="VS134" s="115"/>
      <c r="VT134" s="115"/>
      <c r="VU134" s="115"/>
      <c r="VV134" s="115"/>
      <c r="VW134" s="115"/>
      <c r="VX134" s="115"/>
      <c r="VY134" s="115"/>
      <c r="VZ134" s="115"/>
      <c r="WA134" s="115"/>
      <c r="WB134" s="115"/>
      <c r="WC134" s="115"/>
      <c r="WD134" s="115"/>
      <c r="WE134" s="115"/>
      <c r="WF134" s="115"/>
      <c r="WG134" s="115"/>
      <c r="WH134" s="115"/>
      <c r="WI134" s="115"/>
      <c r="WJ134" s="115"/>
      <c r="WK134" s="115"/>
      <c r="WL134" s="115"/>
      <c r="WM134" s="115"/>
      <c r="WN134" s="115"/>
      <c r="WO134" s="115"/>
      <c r="WP134" s="115"/>
      <c r="WQ134" s="115"/>
      <c r="WR134" s="115"/>
      <c r="WS134" s="115"/>
      <c r="WT134" s="115"/>
      <c r="WU134" s="115"/>
      <c r="WV134" s="115"/>
      <c r="WW134" s="115"/>
      <c r="WX134" s="115"/>
      <c r="WY134" s="115"/>
      <c r="WZ134" s="115"/>
      <c r="XA134" s="115"/>
      <c r="XB134" s="115"/>
      <c r="XC134" s="115"/>
      <c r="XD134" s="115"/>
      <c r="XE134" s="115"/>
      <c r="XF134" s="115"/>
      <c r="XG134" s="115"/>
      <c r="XH134" s="115"/>
      <c r="XI134" s="115"/>
      <c r="XJ134" s="115"/>
      <c r="XK134" s="115"/>
      <c r="XL134" s="115"/>
      <c r="XM134" s="115"/>
      <c r="XN134" s="115"/>
      <c r="XO134" s="115"/>
      <c r="XP134" s="115"/>
      <c r="XQ134" s="115"/>
      <c r="XR134" s="115"/>
      <c r="XS134" s="115"/>
      <c r="XT134" s="115"/>
      <c r="XU134" s="115"/>
      <c r="XV134" s="115"/>
      <c r="XW134" s="115"/>
      <c r="XX134" s="115"/>
      <c r="XY134" s="115"/>
      <c r="XZ134" s="115"/>
      <c r="YA134" s="115"/>
      <c r="YB134" s="115"/>
      <c r="YC134" s="115"/>
      <c r="YD134" s="115"/>
      <c r="YE134" s="115"/>
      <c r="YF134" s="115"/>
      <c r="YG134" s="115"/>
      <c r="YH134" s="115"/>
      <c r="YI134" s="115"/>
      <c r="YJ134" s="115"/>
      <c r="YK134" s="115"/>
      <c r="YL134" s="115"/>
      <c r="YM134" s="115"/>
      <c r="YN134" s="115"/>
      <c r="YO134" s="115"/>
      <c r="YP134" s="115"/>
      <c r="YQ134" s="115"/>
      <c r="YX134" s="22">
        <v>0</v>
      </c>
      <c r="YY134" s="22">
        <f>VLOOKUP(B134,'SCAFFOLDING MATERIAL OVERALL'!B136:S318,18,FALSE)</f>
        <v>23</v>
      </c>
      <c r="YZ134" s="22">
        <f t="shared" si="1"/>
        <v>0</v>
      </c>
    </row>
    <row r="135" spans="1:676" s="22" customFormat="1" x14ac:dyDescent="0.25">
      <c r="A135" s="17">
        <v>131</v>
      </c>
      <c r="B135" s="15">
        <v>3000002692</v>
      </c>
      <c r="C135" s="16" t="s">
        <v>145</v>
      </c>
      <c r="D135" s="44" t="s">
        <v>12</v>
      </c>
      <c r="F135" s="22">
        <v>200</v>
      </c>
      <c r="G135" s="22">
        <v>100</v>
      </c>
      <c r="I135" s="22">
        <v>1354</v>
      </c>
      <c r="J135" s="22">
        <v>300</v>
      </c>
      <c r="K135" s="22">
        <v>610</v>
      </c>
      <c r="L135" s="22">
        <v>244</v>
      </c>
      <c r="AJ135" s="22">
        <v>1098</v>
      </c>
      <c r="CF135" s="22">
        <v>1098</v>
      </c>
      <c r="CH135" s="22">
        <v>1098</v>
      </c>
      <c r="CJ135" s="22">
        <v>1098</v>
      </c>
      <c r="CL135" s="22">
        <v>549</v>
      </c>
      <c r="CM135" s="22">
        <v>1098</v>
      </c>
      <c r="CN135" s="22">
        <v>549</v>
      </c>
      <c r="CO135" s="22">
        <v>2196</v>
      </c>
      <c r="CP135" s="22">
        <v>2196</v>
      </c>
      <c r="CQ135" s="22">
        <v>549</v>
      </c>
      <c r="CV135" s="22">
        <v>2196</v>
      </c>
      <c r="CW135" s="22">
        <v>2196</v>
      </c>
      <c r="CX135" s="22">
        <v>2196</v>
      </c>
      <c r="CY135" s="22">
        <v>1098</v>
      </c>
      <c r="DC135" s="22">
        <v>1098</v>
      </c>
      <c r="DE135" s="22">
        <v>457</v>
      </c>
      <c r="DH135" s="22">
        <v>549</v>
      </c>
      <c r="DT135" s="22">
        <v>149</v>
      </c>
      <c r="DU135" s="22">
        <v>1098</v>
      </c>
      <c r="DV135" s="22">
        <v>549</v>
      </c>
      <c r="EA135" s="22">
        <v>549</v>
      </c>
      <c r="EJ135" s="22">
        <v>183</v>
      </c>
      <c r="EO135" s="22">
        <v>549</v>
      </c>
      <c r="EP135" s="22">
        <v>732</v>
      </c>
      <c r="EQ135" s="22">
        <v>2196</v>
      </c>
      <c r="EU135" s="22">
        <v>240</v>
      </c>
      <c r="FP135" s="22">
        <v>183</v>
      </c>
      <c r="GB135" s="22">
        <v>122</v>
      </c>
      <c r="GF135" s="22">
        <v>1098</v>
      </c>
      <c r="GX135" s="22">
        <v>488</v>
      </c>
      <c r="GY135" s="22">
        <v>488</v>
      </c>
      <c r="HD135" s="22">
        <v>488</v>
      </c>
      <c r="HE135" s="22">
        <v>549</v>
      </c>
      <c r="HG135" s="22">
        <v>1098</v>
      </c>
      <c r="ID135" s="22">
        <v>550</v>
      </c>
      <c r="IJ135" s="22">
        <v>1000</v>
      </c>
      <c r="IK135" s="22">
        <v>750</v>
      </c>
      <c r="IO135" s="22">
        <v>500</v>
      </c>
      <c r="IP135" s="22">
        <v>800</v>
      </c>
      <c r="IU135" s="22">
        <v>1050</v>
      </c>
      <c r="IV135" s="22">
        <v>500</v>
      </c>
      <c r="IX135" s="22">
        <v>200</v>
      </c>
      <c r="JB135" s="22">
        <v>1000</v>
      </c>
      <c r="JH135" s="22">
        <v>500</v>
      </c>
      <c r="JJ135" s="22">
        <v>1200</v>
      </c>
      <c r="JL135" s="22">
        <v>600</v>
      </c>
      <c r="JN135" s="22">
        <v>600</v>
      </c>
      <c r="JP135" s="22">
        <v>150</v>
      </c>
      <c r="JR135" s="22">
        <v>500</v>
      </c>
      <c r="JS135" s="22">
        <v>500</v>
      </c>
      <c r="JV135" s="22">
        <v>300</v>
      </c>
      <c r="JY135" s="22">
        <v>500</v>
      </c>
      <c r="KA135" s="22">
        <v>650</v>
      </c>
      <c r="KD135" s="22">
        <v>500</v>
      </c>
      <c r="KE135" s="22">
        <v>250</v>
      </c>
      <c r="KG135" s="22">
        <v>1000</v>
      </c>
      <c r="KI135" s="22">
        <v>300</v>
      </c>
      <c r="KK135" s="22">
        <v>1000</v>
      </c>
      <c r="KM135" s="22">
        <v>500</v>
      </c>
      <c r="KN135" s="22">
        <v>1000</v>
      </c>
      <c r="KO135" s="22">
        <v>500</v>
      </c>
      <c r="KQ135" s="22">
        <v>200</v>
      </c>
      <c r="KU135" s="22">
        <v>450</v>
      </c>
      <c r="KW135" s="22">
        <v>500</v>
      </c>
      <c r="KY135" s="22">
        <v>1000</v>
      </c>
      <c r="KZ135" s="22">
        <v>500</v>
      </c>
      <c r="LB135" s="22">
        <v>600</v>
      </c>
      <c r="LD135" s="22">
        <v>549</v>
      </c>
      <c r="LE135" s="22">
        <v>488</v>
      </c>
      <c r="LH135" s="22">
        <v>549</v>
      </c>
      <c r="LJ135" s="22">
        <v>549</v>
      </c>
      <c r="LK135" s="22">
        <v>1281</v>
      </c>
      <c r="LM135" s="22">
        <v>1000</v>
      </c>
      <c r="LN135" s="22">
        <v>500</v>
      </c>
      <c r="LO135" s="22">
        <v>800</v>
      </c>
      <c r="LX135" s="22">
        <v>250</v>
      </c>
      <c r="NA135" s="22">
        <v>58</v>
      </c>
      <c r="NC135" s="22">
        <v>58</v>
      </c>
      <c r="NI135" s="22">
        <v>100</v>
      </c>
      <c r="NJ135" s="22">
        <v>54</v>
      </c>
      <c r="NL135" s="22">
        <v>106</v>
      </c>
      <c r="NM135" s="22">
        <v>88</v>
      </c>
      <c r="NN135" s="22">
        <v>136</v>
      </c>
      <c r="OZ135" s="115"/>
      <c r="PA135" s="115"/>
      <c r="PB135" s="115">
        <v>610</v>
      </c>
      <c r="PC135" s="115"/>
      <c r="PD135" s="115"/>
      <c r="PE135" s="115">
        <v>1000</v>
      </c>
      <c r="PF135" s="115"/>
      <c r="PG135" s="115"/>
      <c r="PH135" s="115"/>
      <c r="PI135" s="115"/>
      <c r="PJ135" s="115"/>
      <c r="PK135" s="115"/>
      <c r="PL135" s="115"/>
      <c r="PM135" s="115">
        <v>1098</v>
      </c>
      <c r="PN135" s="115">
        <v>1098</v>
      </c>
      <c r="PO135" s="115">
        <v>1098</v>
      </c>
      <c r="PP135" s="115">
        <v>549</v>
      </c>
      <c r="PQ135" s="115"/>
      <c r="PR135" s="115"/>
      <c r="PS135" s="115"/>
      <c r="PT135" s="115"/>
      <c r="PU135" s="115"/>
      <c r="PV135" s="115"/>
      <c r="PW135" s="115"/>
      <c r="PX135" s="115">
        <v>1159</v>
      </c>
      <c r="PY135" s="115"/>
      <c r="PZ135" s="115"/>
      <c r="QA135" s="115"/>
      <c r="QB135" s="115"/>
      <c r="QC135" s="115"/>
      <c r="QD135" s="115"/>
      <c r="QE135" s="115"/>
      <c r="QF135" s="115"/>
      <c r="QG135" s="115"/>
      <c r="QH135" s="115"/>
      <c r="QI135" s="115"/>
      <c r="QJ135" s="115"/>
      <c r="QK135" s="115"/>
      <c r="QL135" s="115"/>
      <c r="QM135" s="115"/>
      <c r="QN135" s="115"/>
      <c r="QO135" s="115"/>
      <c r="QP135" s="115"/>
      <c r="QQ135" s="115"/>
      <c r="QR135" s="115"/>
      <c r="QS135" s="115"/>
      <c r="QT135" s="115"/>
      <c r="QU135" s="115"/>
      <c r="QV135" s="115"/>
      <c r="QW135" s="115"/>
      <c r="QX135" s="115"/>
      <c r="QY135" s="115"/>
      <c r="QZ135" s="115"/>
      <c r="RA135" s="115"/>
      <c r="RB135" s="115"/>
      <c r="RC135" s="115"/>
      <c r="RD135" s="115"/>
      <c r="RE135" s="115"/>
      <c r="RF135" s="115"/>
      <c r="RG135" s="115"/>
      <c r="RH135" s="115"/>
      <c r="RI135" s="115"/>
      <c r="RJ135" s="115"/>
      <c r="RK135" s="115"/>
      <c r="RL135" s="115"/>
      <c r="RM135" s="115"/>
      <c r="RN135" s="115"/>
      <c r="RO135" s="115"/>
      <c r="RP135" s="115"/>
      <c r="RQ135" s="115"/>
      <c r="RR135" s="115"/>
      <c r="RS135" s="115"/>
      <c r="RT135" s="115"/>
      <c r="RU135" s="115"/>
      <c r="RV135" s="115"/>
      <c r="RW135" s="115"/>
      <c r="RX135" s="115"/>
      <c r="RY135" s="115"/>
      <c r="RZ135" s="115"/>
      <c r="SA135" s="115"/>
      <c r="SB135" s="115"/>
      <c r="SC135" s="115"/>
      <c r="SD135" s="115"/>
      <c r="SE135" s="115"/>
      <c r="SF135" s="115"/>
      <c r="SG135" s="115"/>
      <c r="SH135" s="115"/>
      <c r="SI135" s="115"/>
      <c r="SJ135" s="115"/>
      <c r="SK135" s="115"/>
      <c r="SL135" s="115"/>
      <c r="SM135" s="115"/>
      <c r="SN135" s="115"/>
      <c r="SO135" s="115"/>
      <c r="SP135" s="115"/>
      <c r="SQ135" s="115"/>
      <c r="SR135" s="115"/>
      <c r="SS135" s="115"/>
      <c r="ST135" s="115"/>
      <c r="SU135" s="115"/>
      <c r="SV135" s="115"/>
      <c r="SW135" s="115"/>
      <c r="SX135" s="115"/>
      <c r="SY135" s="115"/>
      <c r="SZ135" s="115"/>
      <c r="TA135" s="115"/>
      <c r="TB135" s="115"/>
      <c r="TC135" s="115"/>
      <c r="TD135" s="115"/>
      <c r="TE135" s="115"/>
      <c r="TF135" s="115"/>
      <c r="TG135" s="115"/>
      <c r="TH135" s="115"/>
      <c r="TI135" s="115"/>
      <c r="TJ135" s="115"/>
      <c r="TK135" s="115"/>
      <c r="TL135" s="115"/>
      <c r="TM135" s="115">
        <v>108</v>
      </c>
      <c r="TN135" s="115">
        <v>500</v>
      </c>
      <c r="TO135" s="115"/>
      <c r="TP135" s="115">
        <v>200</v>
      </c>
      <c r="TQ135" s="115">
        <v>200</v>
      </c>
      <c r="TR135" s="115">
        <v>200</v>
      </c>
      <c r="TS135" s="115">
        <v>178</v>
      </c>
      <c r="TT135" s="115">
        <v>600</v>
      </c>
      <c r="TU135" s="115">
        <v>522</v>
      </c>
      <c r="TV135" s="115"/>
      <c r="TW135" s="115"/>
      <c r="TX135" s="115"/>
      <c r="TY135" s="115"/>
      <c r="TZ135" s="115"/>
      <c r="UA135" s="115"/>
      <c r="UB135" s="115"/>
      <c r="UC135" s="115"/>
      <c r="UD135" s="115"/>
      <c r="UE135" s="115"/>
      <c r="UF135" s="115"/>
      <c r="UG135" s="115"/>
      <c r="UH135" s="115"/>
      <c r="UI135" s="115"/>
      <c r="UJ135" s="115"/>
      <c r="UK135" s="115"/>
      <c r="UL135" s="115"/>
      <c r="UM135" s="115"/>
      <c r="UN135" s="115"/>
      <c r="UO135" s="115"/>
      <c r="UP135" s="115"/>
      <c r="UQ135" s="115"/>
      <c r="UR135" s="115"/>
      <c r="US135" s="115"/>
      <c r="UT135" s="115"/>
      <c r="UU135" s="115"/>
      <c r="UV135" s="115"/>
      <c r="UW135" s="115"/>
      <c r="UX135" s="115">
        <v>500</v>
      </c>
      <c r="UY135" s="115"/>
      <c r="UZ135" s="115"/>
      <c r="VA135" s="115">
        <v>671</v>
      </c>
      <c r="VB135" s="115"/>
      <c r="VC135" s="115"/>
      <c r="VD135" s="115">
        <v>1037</v>
      </c>
      <c r="VE135" s="115"/>
      <c r="VF135" s="115"/>
      <c r="VG135" s="115"/>
      <c r="VH135" s="115"/>
      <c r="VI135" s="115"/>
      <c r="VJ135" s="115"/>
      <c r="VK135" s="115"/>
      <c r="VL135" s="115"/>
      <c r="VM135" s="115"/>
      <c r="VN135" s="115"/>
      <c r="VO135" s="115"/>
      <c r="VP135" s="115"/>
      <c r="VQ135" s="115"/>
      <c r="VR135" s="115"/>
      <c r="VS135" s="115"/>
      <c r="VT135" s="115"/>
      <c r="VU135" s="115"/>
      <c r="VV135" s="115"/>
      <c r="VW135" s="115"/>
      <c r="VX135" s="115"/>
      <c r="VY135" s="115"/>
      <c r="VZ135" s="115"/>
      <c r="WA135" s="115"/>
      <c r="WB135" s="115"/>
      <c r="WC135" s="115"/>
      <c r="WD135" s="115"/>
      <c r="WE135" s="115"/>
      <c r="WF135" s="115"/>
      <c r="WG135" s="115"/>
      <c r="WH135" s="115"/>
      <c r="WI135" s="115"/>
      <c r="WJ135" s="115"/>
      <c r="WK135" s="115"/>
      <c r="WL135" s="115"/>
      <c r="WM135" s="115"/>
      <c r="WN135" s="115"/>
      <c r="WO135" s="115"/>
      <c r="WP135" s="115"/>
      <c r="WQ135" s="115"/>
      <c r="WR135" s="115"/>
      <c r="WS135" s="115"/>
      <c r="WT135" s="115"/>
      <c r="WU135" s="115"/>
      <c r="WV135" s="115"/>
      <c r="WW135" s="115"/>
      <c r="WX135" s="115"/>
      <c r="WY135" s="115"/>
      <c r="WZ135" s="115"/>
      <c r="XA135" s="115"/>
      <c r="XB135" s="115"/>
      <c r="XC135" s="115"/>
      <c r="XD135" s="115"/>
      <c r="XE135" s="115"/>
      <c r="XF135" s="115"/>
      <c r="XG135" s="115"/>
      <c r="XH135" s="115"/>
      <c r="XI135" s="115"/>
      <c r="XJ135" s="115"/>
      <c r="XK135" s="115"/>
      <c r="XL135" s="115"/>
      <c r="XM135" s="115"/>
      <c r="XN135" s="115"/>
      <c r="XO135" s="115"/>
      <c r="XP135" s="115"/>
      <c r="XQ135" s="115"/>
      <c r="XR135" s="115"/>
      <c r="XS135" s="115"/>
      <c r="XT135" s="115"/>
      <c r="XU135" s="115"/>
      <c r="XV135" s="115"/>
      <c r="XW135" s="115"/>
      <c r="XX135" s="115"/>
      <c r="XY135" s="115"/>
      <c r="XZ135" s="115"/>
      <c r="YA135" s="115"/>
      <c r="YB135" s="115"/>
      <c r="YC135" s="115"/>
      <c r="YD135" s="115"/>
      <c r="YE135" s="115"/>
      <c r="YF135" s="115"/>
      <c r="YG135" s="115"/>
      <c r="YH135" s="115"/>
      <c r="YI135" s="115"/>
      <c r="YJ135" s="115"/>
      <c r="YK135" s="115"/>
      <c r="YL135" s="115"/>
      <c r="YM135" s="115"/>
      <c r="YN135" s="115"/>
      <c r="YO135" s="115"/>
      <c r="YP135" s="115"/>
      <c r="YQ135" s="115"/>
      <c r="YX135" s="22">
        <v>72930</v>
      </c>
      <c r="YY135" s="22">
        <f>VLOOKUP(B135,'SCAFFOLDING MATERIAL OVERALL'!B137:S319,18,FALSE)</f>
        <v>25.105</v>
      </c>
      <c r="YZ135" s="22">
        <f t="shared" si="1"/>
        <v>1830907.6500000001</v>
      </c>
    </row>
    <row r="136" spans="1:676" s="22" customFormat="1" x14ac:dyDescent="0.25">
      <c r="A136" s="14">
        <v>132</v>
      </c>
      <c r="B136" s="15">
        <v>3000002334</v>
      </c>
      <c r="C136" s="16" t="s">
        <v>146</v>
      </c>
      <c r="D136" s="44" t="s">
        <v>12</v>
      </c>
      <c r="OZ136" s="115"/>
      <c r="PA136" s="115"/>
      <c r="PB136" s="115"/>
      <c r="PC136" s="115"/>
      <c r="PD136" s="115"/>
      <c r="PE136" s="115"/>
      <c r="PF136" s="115"/>
      <c r="PG136" s="115"/>
      <c r="PH136" s="115"/>
      <c r="PI136" s="115"/>
      <c r="PJ136" s="115"/>
      <c r="PK136" s="115"/>
      <c r="PL136" s="115"/>
      <c r="PM136" s="115"/>
      <c r="PN136" s="115"/>
      <c r="PO136" s="115"/>
      <c r="PP136" s="115"/>
      <c r="PQ136" s="115"/>
      <c r="PR136" s="115"/>
      <c r="PS136" s="115"/>
      <c r="PT136" s="115"/>
      <c r="PU136" s="115"/>
      <c r="PV136" s="115"/>
      <c r="PW136" s="115"/>
      <c r="PX136" s="115"/>
      <c r="PY136" s="115"/>
      <c r="PZ136" s="115"/>
      <c r="QA136" s="115"/>
      <c r="QB136" s="115"/>
      <c r="QC136" s="115"/>
      <c r="QD136" s="115"/>
      <c r="QE136" s="115"/>
      <c r="QF136" s="115"/>
      <c r="QG136" s="115"/>
      <c r="QH136" s="115"/>
      <c r="QI136" s="115"/>
      <c r="QJ136" s="115"/>
      <c r="QK136" s="115"/>
      <c r="QL136" s="115"/>
      <c r="QM136" s="115"/>
      <c r="QN136" s="115"/>
      <c r="QO136" s="115"/>
      <c r="QP136" s="115"/>
      <c r="QQ136" s="115"/>
      <c r="QR136" s="115"/>
      <c r="QS136" s="115"/>
      <c r="QT136" s="115"/>
      <c r="QU136" s="115"/>
      <c r="QV136" s="115"/>
      <c r="QW136" s="115"/>
      <c r="QX136" s="115"/>
      <c r="QY136" s="115"/>
      <c r="QZ136" s="115"/>
      <c r="RA136" s="115"/>
      <c r="RB136" s="115"/>
      <c r="RC136" s="115"/>
      <c r="RD136" s="115"/>
      <c r="RE136" s="115"/>
      <c r="RF136" s="115"/>
      <c r="RG136" s="115"/>
      <c r="RH136" s="115"/>
      <c r="RI136" s="115"/>
      <c r="RJ136" s="115"/>
      <c r="RK136" s="115"/>
      <c r="RL136" s="115"/>
      <c r="RM136" s="115"/>
      <c r="RN136" s="115"/>
      <c r="RO136" s="115"/>
      <c r="RP136" s="115"/>
      <c r="RQ136" s="115"/>
      <c r="RR136" s="115"/>
      <c r="RS136" s="115"/>
      <c r="RT136" s="115"/>
      <c r="RU136" s="115"/>
      <c r="RV136" s="115"/>
      <c r="RW136" s="115"/>
      <c r="RX136" s="115"/>
      <c r="RY136" s="115"/>
      <c r="RZ136" s="115"/>
      <c r="SA136" s="115"/>
      <c r="SB136" s="115"/>
      <c r="SC136" s="115"/>
      <c r="SD136" s="115"/>
      <c r="SE136" s="115"/>
      <c r="SF136" s="115"/>
      <c r="SG136" s="115"/>
      <c r="SH136" s="115"/>
      <c r="SI136" s="115"/>
      <c r="SJ136" s="115"/>
      <c r="SK136" s="115"/>
      <c r="SL136" s="115"/>
      <c r="SM136" s="115"/>
      <c r="SN136" s="115"/>
      <c r="SO136" s="115"/>
      <c r="SP136" s="115"/>
      <c r="SQ136" s="115"/>
      <c r="SR136" s="115"/>
      <c r="SS136" s="115"/>
      <c r="ST136" s="115"/>
      <c r="SU136" s="115"/>
      <c r="SV136" s="115"/>
      <c r="SW136" s="115"/>
      <c r="SX136" s="115"/>
      <c r="SY136" s="115"/>
      <c r="SZ136" s="115"/>
      <c r="TA136" s="115"/>
      <c r="TB136" s="115"/>
      <c r="TC136" s="115"/>
      <c r="TD136" s="115"/>
      <c r="TE136" s="115"/>
      <c r="TF136" s="115"/>
      <c r="TG136" s="115"/>
      <c r="TH136" s="115"/>
      <c r="TI136" s="115"/>
      <c r="TJ136" s="115"/>
      <c r="TK136" s="115"/>
      <c r="TL136" s="115"/>
      <c r="TM136" s="115"/>
      <c r="TN136" s="115"/>
      <c r="TO136" s="115"/>
      <c r="TP136" s="115"/>
      <c r="TQ136" s="115"/>
      <c r="TR136" s="115"/>
      <c r="TS136" s="115"/>
      <c r="TT136" s="115"/>
      <c r="TU136" s="115"/>
      <c r="TV136" s="115"/>
      <c r="TW136" s="115"/>
      <c r="TX136" s="115"/>
      <c r="TY136" s="115"/>
      <c r="TZ136" s="115"/>
      <c r="UA136" s="115"/>
      <c r="UB136" s="115"/>
      <c r="UC136" s="115"/>
      <c r="UD136" s="115"/>
      <c r="UE136" s="115"/>
      <c r="UF136" s="115"/>
      <c r="UG136" s="115"/>
      <c r="UH136" s="115"/>
      <c r="UI136" s="115"/>
      <c r="UJ136" s="115"/>
      <c r="UK136" s="115"/>
      <c r="UL136" s="115"/>
      <c r="UM136" s="115"/>
      <c r="UN136" s="115"/>
      <c r="UO136" s="115"/>
      <c r="UP136" s="115"/>
      <c r="UQ136" s="115"/>
      <c r="UR136" s="115"/>
      <c r="US136" s="115"/>
      <c r="UT136" s="115"/>
      <c r="UU136" s="115"/>
      <c r="UV136" s="115"/>
      <c r="UW136" s="115"/>
      <c r="UX136" s="115"/>
      <c r="UY136" s="115"/>
      <c r="UZ136" s="115"/>
      <c r="VA136" s="115"/>
      <c r="VB136" s="115"/>
      <c r="VC136" s="115"/>
      <c r="VD136" s="115"/>
      <c r="VE136" s="115"/>
      <c r="VF136" s="115"/>
      <c r="VG136" s="115"/>
      <c r="VH136" s="115"/>
      <c r="VI136" s="115"/>
      <c r="VJ136" s="115"/>
      <c r="VK136" s="115"/>
      <c r="VL136" s="115"/>
      <c r="VM136" s="115"/>
      <c r="VN136" s="115"/>
      <c r="VO136" s="115"/>
      <c r="VP136" s="115"/>
      <c r="VQ136" s="115"/>
      <c r="VR136" s="115"/>
      <c r="VS136" s="115"/>
      <c r="VT136" s="115"/>
      <c r="VU136" s="115"/>
      <c r="VV136" s="115"/>
      <c r="VW136" s="115"/>
      <c r="VX136" s="115"/>
      <c r="VY136" s="115"/>
      <c r="VZ136" s="115"/>
      <c r="WA136" s="115"/>
      <c r="WB136" s="115"/>
      <c r="WC136" s="115"/>
      <c r="WD136" s="115"/>
      <c r="WE136" s="115"/>
      <c r="WF136" s="115"/>
      <c r="WG136" s="115"/>
      <c r="WH136" s="115"/>
      <c r="WI136" s="115"/>
      <c r="WJ136" s="115"/>
      <c r="WK136" s="115"/>
      <c r="WL136" s="115"/>
      <c r="WM136" s="115"/>
      <c r="WN136" s="115"/>
      <c r="WO136" s="115"/>
      <c r="WP136" s="115"/>
      <c r="WQ136" s="115"/>
      <c r="WR136" s="115"/>
      <c r="WS136" s="115"/>
      <c r="WT136" s="115"/>
      <c r="WU136" s="115"/>
      <c r="WV136" s="115"/>
      <c r="WW136" s="115"/>
      <c r="WX136" s="115"/>
      <c r="WY136" s="115"/>
      <c r="WZ136" s="115"/>
      <c r="XA136" s="115"/>
      <c r="XB136" s="115"/>
      <c r="XC136" s="115"/>
      <c r="XD136" s="115"/>
      <c r="XE136" s="115"/>
      <c r="XF136" s="115"/>
      <c r="XG136" s="115"/>
      <c r="XH136" s="115"/>
      <c r="XI136" s="115"/>
      <c r="XJ136" s="115"/>
      <c r="XK136" s="115"/>
      <c r="XL136" s="115"/>
      <c r="XM136" s="115"/>
      <c r="XN136" s="115"/>
      <c r="XO136" s="115"/>
      <c r="XP136" s="115"/>
      <c r="XQ136" s="115"/>
      <c r="XR136" s="115"/>
      <c r="XS136" s="115"/>
      <c r="XT136" s="115"/>
      <c r="XU136" s="115"/>
      <c r="XV136" s="115"/>
      <c r="XW136" s="115"/>
      <c r="XX136" s="115"/>
      <c r="XY136" s="115"/>
      <c r="XZ136" s="115"/>
      <c r="YA136" s="115"/>
      <c r="YB136" s="115"/>
      <c r="YC136" s="115"/>
      <c r="YD136" s="115"/>
      <c r="YE136" s="115"/>
      <c r="YF136" s="115"/>
      <c r="YG136" s="115"/>
      <c r="YH136" s="115"/>
      <c r="YI136" s="115"/>
      <c r="YJ136" s="115"/>
      <c r="YK136" s="115"/>
      <c r="YL136" s="115"/>
      <c r="YM136" s="115"/>
      <c r="YN136" s="115"/>
      <c r="YO136" s="115"/>
      <c r="YP136" s="115"/>
      <c r="YQ136" s="115"/>
      <c r="YX136" s="22">
        <v>0</v>
      </c>
      <c r="YY136" s="22">
        <f>VLOOKUP(B136,'SCAFFOLDING MATERIAL OVERALL'!B138:S320,18,FALSE)</f>
        <v>17.71</v>
      </c>
      <c r="YZ136" s="22">
        <f t="shared" ref="YZ136:YZ187" si="2">YX136*YY136</f>
        <v>0</v>
      </c>
    </row>
    <row r="137" spans="1:676" s="22" customFormat="1" x14ac:dyDescent="0.25">
      <c r="A137" s="14">
        <v>133</v>
      </c>
      <c r="B137" s="15">
        <v>3000003828</v>
      </c>
      <c r="C137" s="16" t="s">
        <v>147</v>
      </c>
      <c r="D137" s="44" t="s">
        <v>12</v>
      </c>
      <c r="OZ137" s="115"/>
      <c r="PA137" s="115"/>
      <c r="PB137" s="115"/>
      <c r="PC137" s="115"/>
      <c r="PD137" s="115"/>
      <c r="PE137" s="115"/>
      <c r="PF137" s="115"/>
      <c r="PG137" s="115"/>
      <c r="PH137" s="115"/>
      <c r="PI137" s="115"/>
      <c r="PJ137" s="115"/>
      <c r="PK137" s="115"/>
      <c r="PL137" s="115"/>
      <c r="PM137" s="115"/>
      <c r="PN137" s="115"/>
      <c r="PO137" s="115"/>
      <c r="PP137" s="115"/>
      <c r="PQ137" s="115"/>
      <c r="PR137" s="115"/>
      <c r="PS137" s="115"/>
      <c r="PT137" s="115"/>
      <c r="PU137" s="115"/>
      <c r="PV137" s="115"/>
      <c r="PW137" s="115"/>
      <c r="PX137" s="115"/>
      <c r="PY137" s="115"/>
      <c r="PZ137" s="115"/>
      <c r="QA137" s="115"/>
      <c r="QB137" s="115"/>
      <c r="QC137" s="115"/>
      <c r="QD137" s="115"/>
      <c r="QE137" s="115"/>
      <c r="QF137" s="115"/>
      <c r="QG137" s="115"/>
      <c r="QH137" s="115"/>
      <c r="QI137" s="115"/>
      <c r="QJ137" s="115"/>
      <c r="QK137" s="115"/>
      <c r="QL137" s="115"/>
      <c r="QM137" s="115"/>
      <c r="QN137" s="115"/>
      <c r="QO137" s="115"/>
      <c r="QP137" s="115"/>
      <c r="QQ137" s="115"/>
      <c r="QR137" s="115"/>
      <c r="QS137" s="115"/>
      <c r="QT137" s="115"/>
      <c r="QU137" s="115"/>
      <c r="QV137" s="115"/>
      <c r="QW137" s="115"/>
      <c r="QX137" s="115"/>
      <c r="QY137" s="115"/>
      <c r="QZ137" s="115"/>
      <c r="RA137" s="115"/>
      <c r="RB137" s="115"/>
      <c r="RC137" s="115"/>
      <c r="RD137" s="115"/>
      <c r="RE137" s="115"/>
      <c r="RF137" s="115"/>
      <c r="RG137" s="115"/>
      <c r="RH137" s="115"/>
      <c r="RI137" s="115"/>
      <c r="RJ137" s="115"/>
      <c r="RK137" s="115"/>
      <c r="RL137" s="115"/>
      <c r="RM137" s="115"/>
      <c r="RN137" s="115"/>
      <c r="RO137" s="115"/>
      <c r="RP137" s="115"/>
      <c r="RQ137" s="115"/>
      <c r="RR137" s="115"/>
      <c r="RS137" s="115"/>
      <c r="RT137" s="115"/>
      <c r="RU137" s="115"/>
      <c r="RV137" s="115"/>
      <c r="RW137" s="115"/>
      <c r="RX137" s="115"/>
      <c r="RY137" s="115"/>
      <c r="RZ137" s="115"/>
      <c r="SA137" s="115"/>
      <c r="SB137" s="115"/>
      <c r="SC137" s="115"/>
      <c r="SD137" s="115"/>
      <c r="SE137" s="115"/>
      <c r="SF137" s="115"/>
      <c r="SG137" s="115"/>
      <c r="SH137" s="115"/>
      <c r="SI137" s="115"/>
      <c r="SJ137" s="115"/>
      <c r="SK137" s="115"/>
      <c r="SL137" s="115"/>
      <c r="SM137" s="115"/>
      <c r="SN137" s="115"/>
      <c r="SO137" s="115"/>
      <c r="SP137" s="115"/>
      <c r="SQ137" s="115"/>
      <c r="SR137" s="115"/>
      <c r="SS137" s="115"/>
      <c r="ST137" s="115"/>
      <c r="SU137" s="115"/>
      <c r="SV137" s="115"/>
      <c r="SW137" s="115"/>
      <c r="SX137" s="115"/>
      <c r="SY137" s="115"/>
      <c r="SZ137" s="115"/>
      <c r="TA137" s="115"/>
      <c r="TB137" s="115"/>
      <c r="TC137" s="115"/>
      <c r="TD137" s="115"/>
      <c r="TE137" s="115"/>
      <c r="TF137" s="115"/>
      <c r="TG137" s="115"/>
      <c r="TH137" s="115"/>
      <c r="TI137" s="115"/>
      <c r="TJ137" s="115"/>
      <c r="TK137" s="115"/>
      <c r="TL137" s="115"/>
      <c r="TM137" s="115"/>
      <c r="TN137" s="115"/>
      <c r="TO137" s="115"/>
      <c r="TP137" s="115"/>
      <c r="TQ137" s="115"/>
      <c r="TR137" s="115"/>
      <c r="TS137" s="115"/>
      <c r="TT137" s="115"/>
      <c r="TU137" s="115"/>
      <c r="TV137" s="115"/>
      <c r="TW137" s="115"/>
      <c r="TX137" s="115"/>
      <c r="TY137" s="115"/>
      <c r="TZ137" s="115"/>
      <c r="UA137" s="115"/>
      <c r="UB137" s="115"/>
      <c r="UC137" s="115"/>
      <c r="UD137" s="115"/>
      <c r="UE137" s="115"/>
      <c r="UF137" s="115"/>
      <c r="UG137" s="115"/>
      <c r="UH137" s="115"/>
      <c r="UI137" s="115"/>
      <c r="UJ137" s="115"/>
      <c r="UK137" s="115"/>
      <c r="UL137" s="115"/>
      <c r="UM137" s="115"/>
      <c r="UN137" s="115"/>
      <c r="UO137" s="115"/>
      <c r="UP137" s="115"/>
      <c r="UQ137" s="115"/>
      <c r="UR137" s="115"/>
      <c r="US137" s="115"/>
      <c r="UT137" s="115"/>
      <c r="UU137" s="115"/>
      <c r="UV137" s="115"/>
      <c r="UW137" s="115"/>
      <c r="UX137" s="115"/>
      <c r="UY137" s="115"/>
      <c r="UZ137" s="115"/>
      <c r="VA137" s="115"/>
      <c r="VB137" s="115"/>
      <c r="VC137" s="115"/>
      <c r="VD137" s="115"/>
      <c r="VE137" s="115"/>
      <c r="VF137" s="115"/>
      <c r="VG137" s="115"/>
      <c r="VH137" s="115"/>
      <c r="VI137" s="115"/>
      <c r="VJ137" s="115"/>
      <c r="VK137" s="115"/>
      <c r="VL137" s="115"/>
      <c r="VM137" s="115"/>
      <c r="VN137" s="115"/>
      <c r="VO137" s="115"/>
      <c r="VP137" s="115"/>
      <c r="VQ137" s="115"/>
      <c r="VR137" s="115"/>
      <c r="VS137" s="115"/>
      <c r="VT137" s="115"/>
      <c r="VU137" s="115"/>
      <c r="VV137" s="115"/>
      <c r="VW137" s="115"/>
      <c r="VX137" s="115"/>
      <c r="VY137" s="115"/>
      <c r="VZ137" s="115"/>
      <c r="WA137" s="115"/>
      <c r="WB137" s="115"/>
      <c r="WC137" s="115"/>
      <c r="WD137" s="115"/>
      <c r="WE137" s="115"/>
      <c r="WF137" s="115"/>
      <c r="WG137" s="115"/>
      <c r="WH137" s="115"/>
      <c r="WI137" s="115"/>
      <c r="WJ137" s="115"/>
      <c r="WK137" s="115"/>
      <c r="WL137" s="115"/>
      <c r="WM137" s="115"/>
      <c r="WN137" s="115"/>
      <c r="WO137" s="115"/>
      <c r="WP137" s="115"/>
      <c r="WQ137" s="115"/>
      <c r="WR137" s="115"/>
      <c r="WS137" s="115"/>
      <c r="WT137" s="115"/>
      <c r="WU137" s="115"/>
      <c r="WV137" s="115"/>
      <c r="WW137" s="115"/>
      <c r="WX137" s="115"/>
      <c r="WY137" s="115"/>
      <c r="WZ137" s="115"/>
      <c r="XA137" s="115"/>
      <c r="XB137" s="115"/>
      <c r="XC137" s="115"/>
      <c r="XD137" s="115"/>
      <c r="XE137" s="115"/>
      <c r="XF137" s="115"/>
      <c r="XG137" s="115"/>
      <c r="XH137" s="115"/>
      <c r="XI137" s="115"/>
      <c r="XJ137" s="115"/>
      <c r="XK137" s="115"/>
      <c r="XL137" s="115"/>
      <c r="XM137" s="115"/>
      <c r="XN137" s="115"/>
      <c r="XO137" s="115"/>
      <c r="XP137" s="115"/>
      <c r="XQ137" s="115"/>
      <c r="XR137" s="115"/>
      <c r="XS137" s="115"/>
      <c r="XT137" s="115"/>
      <c r="XU137" s="115"/>
      <c r="XV137" s="115"/>
      <c r="XW137" s="115"/>
      <c r="XX137" s="115"/>
      <c r="XY137" s="115"/>
      <c r="XZ137" s="115"/>
      <c r="YA137" s="115"/>
      <c r="YB137" s="115"/>
      <c r="YC137" s="115"/>
      <c r="YD137" s="115"/>
      <c r="YE137" s="115"/>
      <c r="YF137" s="115"/>
      <c r="YG137" s="115"/>
      <c r="YH137" s="115"/>
      <c r="YI137" s="115"/>
      <c r="YJ137" s="115"/>
      <c r="YK137" s="115"/>
      <c r="YL137" s="115"/>
      <c r="YM137" s="115"/>
      <c r="YN137" s="115"/>
      <c r="YO137" s="115"/>
      <c r="YP137" s="115"/>
      <c r="YQ137" s="115"/>
      <c r="YX137" s="22">
        <v>0</v>
      </c>
      <c r="YY137" s="22">
        <f>VLOOKUP(B137,'SCAFFOLDING MATERIAL OVERALL'!B139:S321,18,FALSE)</f>
        <v>23.1</v>
      </c>
      <c r="YZ137" s="22">
        <f t="shared" si="2"/>
        <v>0</v>
      </c>
    </row>
    <row r="138" spans="1:676" s="22" customFormat="1" x14ac:dyDescent="0.25">
      <c r="A138" s="17">
        <v>134</v>
      </c>
      <c r="B138" s="15">
        <v>3000000358</v>
      </c>
      <c r="C138" s="16" t="s">
        <v>148</v>
      </c>
      <c r="D138" s="44" t="s">
        <v>12</v>
      </c>
      <c r="OZ138" s="115"/>
      <c r="PA138" s="115"/>
      <c r="PB138" s="115"/>
      <c r="PC138" s="115"/>
      <c r="PD138" s="115"/>
      <c r="PE138" s="115"/>
      <c r="PF138" s="115"/>
      <c r="PG138" s="115"/>
      <c r="PH138" s="115"/>
      <c r="PI138" s="115"/>
      <c r="PJ138" s="115"/>
      <c r="PK138" s="115"/>
      <c r="PL138" s="115"/>
      <c r="PM138" s="115"/>
      <c r="PN138" s="115"/>
      <c r="PO138" s="115"/>
      <c r="PP138" s="115"/>
      <c r="PQ138" s="115"/>
      <c r="PR138" s="115"/>
      <c r="PS138" s="115"/>
      <c r="PT138" s="115"/>
      <c r="PU138" s="115"/>
      <c r="PV138" s="115"/>
      <c r="PW138" s="115"/>
      <c r="PX138" s="115"/>
      <c r="PY138" s="115"/>
      <c r="PZ138" s="115"/>
      <c r="QA138" s="115"/>
      <c r="QB138" s="115"/>
      <c r="QC138" s="115"/>
      <c r="QD138" s="115"/>
      <c r="QE138" s="115"/>
      <c r="QF138" s="115"/>
      <c r="QG138" s="115"/>
      <c r="QH138" s="115"/>
      <c r="QI138" s="115"/>
      <c r="QJ138" s="115"/>
      <c r="QK138" s="115"/>
      <c r="QL138" s="115"/>
      <c r="QM138" s="115"/>
      <c r="QN138" s="115"/>
      <c r="QO138" s="115"/>
      <c r="QP138" s="115"/>
      <c r="QQ138" s="115"/>
      <c r="QR138" s="115"/>
      <c r="QS138" s="115"/>
      <c r="QT138" s="115"/>
      <c r="QU138" s="115"/>
      <c r="QV138" s="115"/>
      <c r="QW138" s="115"/>
      <c r="QX138" s="115"/>
      <c r="QY138" s="115"/>
      <c r="QZ138" s="115"/>
      <c r="RA138" s="115"/>
      <c r="RB138" s="115"/>
      <c r="RC138" s="115"/>
      <c r="RD138" s="115"/>
      <c r="RE138" s="115"/>
      <c r="RF138" s="115"/>
      <c r="RG138" s="115"/>
      <c r="RH138" s="115"/>
      <c r="RI138" s="115"/>
      <c r="RJ138" s="115"/>
      <c r="RK138" s="115"/>
      <c r="RL138" s="115"/>
      <c r="RM138" s="115"/>
      <c r="RN138" s="115"/>
      <c r="RO138" s="115"/>
      <c r="RP138" s="115"/>
      <c r="RQ138" s="115"/>
      <c r="RR138" s="115"/>
      <c r="RS138" s="115"/>
      <c r="RT138" s="115"/>
      <c r="RU138" s="115"/>
      <c r="RV138" s="115"/>
      <c r="RW138" s="115"/>
      <c r="RX138" s="115"/>
      <c r="RY138" s="115"/>
      <c r="RZ138" s="115"/>
      <c r="SA138" s="115"/>
      <c r="SB138" s="115"/>
      <c r="SC138" s="115"/>
      <c r="SD138" s="115"/>
      <c r="SE138" s="115"/>
      <c r="SF138" s="115"/>
      <c r="SG138" s="115"/>
      <c r="SH138" s="115"/>
      <c r="SI138" s="115"/>
      <c r="SJ138" s="115"/>
      <c r="SK138" s="115"/>
      <c r="SL138" s="115"/>
      <c r="SM138" s="115"/>
      <c r="SN138" s="115"/>
      <c r="SO138" s="115"/>
      <c r="SP138" s="115"/>
      <c r="SQ138" s="115"/>
      <c r="SR138" s="115"/>
      <c r="SS138" s="115"/>
      <c r="ST138" s="115"/>
      <c r="SU138" s="115"/>
      <c r="SV138" s="115"/>
      <c r="SW138" s="115"/>
      <c r="SX138" s="115"/>
      <c r="SY138" s="115"/>
      <c r="SZ138" s="115"/>
      <c r="TA138" s="115"/>
      <c r="TB138" s="115"/>
      <c r="TC138" s="115"/>
      <c r="TD138" s="115"/>
      <c r="TE138" s="115"/>
      <c r="TF138" s="115"/>
      <c r="TG138" s="115"/>
      <c r="TH138" s="115"/>
      <c r="TI138" s="115"/>
      <c r="TJ138" s="115"/>
      <c r="TK138" s="115"/>
      <c r="TL138" s="115"/>
      <c r="TM138" s="115"/>
      <c r="TN138" s="115"/>
      <c r="TO138" s="115"/>
      <c r="TP138" s="115"/>
      <c r="TQ138" s="115"/>
      <c r="TR138" s="115"/>
      <c r="TS138" s="115"/>
      <c r="TT138" s="115"/>
      <c r="TU138" s="115"/>
      <c r="TV138" s="115"/>
      <c r="TW138" s="115"/>
      <c r="TX138" s="115"/>
      <c r="TY138" s="115"/>
      <c r="TZ138" s="115"/>
      <c r="UA138" s="115"/>
      <c r="UB138" s="115"/>
      <c r="UC138" s="115"/>
      <c r="UD138" s="115"/>
      <c r="UE138" s="115"/>
      <c r="UF138" s="115"/>
      <c r="UG138" s="115"/>
      <c r="UH138" s="115"/>
      <c r="UI138" s="115"/>
      <c r="UJ138" s="115"/>
      <c r="UK138" s="115"/>
      <c r="UL138" s="115"/>
      <c r="UM138" s="115"/>
      <c r="UN138" s="115"/>
      <c r="UO138" s="115"/>
      <c r="UP138" s="115"/>
      <c r="UQ138" s="115"/>
      <c r="UR138" s="115"/>
      <c r="US138" s="115"/>
      <c r="UT138" s="115"/>
      <c r="UU138" s="115"/>
      <c r="UV138" s="115"/>
      <c r="UW138" s="115"/>
      <c r="UX138" s="115"/>
      <c r="UY138" s="115"/>
      <c r="UZ138" s="115"/>
      <c r="VA138" s="115"/>
      <c r="VB138" s="115"/>
      <c r="VC138" s="115"/>
      <c r="VD138" s="115"/>
      <c r="VE138" s="115"/>
      <c r="VF138" s="115"/>
      <c r="VG138" s="115"/>
      <c r="VH138" s="115"/>
      <c r="VI138" s="115"/>
      <c r="VJ138" s="115"/>
      <c r="VK138" s="115"/>
      <c r="VL138" s="115"/>
      <c r="VM138" s="115"/>
      <c r="VN138" s="115"/>
      <c r="VO138" s="115"/>
      <c r="VP138" s="115"/>
      <c r="VQ138" s="115"/>
      <c r="VR138" s="115"/>
      <c r="VS138" s="115"/>
      <c r="VT138" s="115"/>
      <c r="VU138" s="115"/>
      <c r="VV138" s="115"/>
      <c r="VW138" s="115"/>
      <c r="VX138" s="115"/>
      <c r="VY138" s="115"/>
      <c r="VZ138" s="115"/>
      <c r="WA138" s="115"/>
      <c r="WB138" s="115"/>
      <c r="WC138" s="115"/>
      <c r="WD138" s="115"/>
      <c r="WE138" s="115"/>
      <c r="WF138" s="115"/>
      <c r="WG138" s="115"/>
      <c r="WH138" s="115"/>
      <c r="WI138" s="115"/>
      <c r="WJ138" s="115"/>
      <c r="WK138" s="115"/>
      <c r="WL138" s="115"/>
      <c r="WM138" s="115"/>
      <c r="WN138" s="115"/>
      <c r="WO138" s="115"/>
      <c r="WP138" s="115"/>
      <c r="WQ138" s="115"/>
      <c r="WR138" s="115"/>
      <c r="WS138" s="115"/>
      <c r="WT138" s="115"/>
      <c r="WU138" s="115"/>
      <c r="WV138" s="115"/>
      <c r="WW138" s="115"/>
      <c r="WX138" s="115"/>
      <c r="WY138" s="115"/>
      <c r="WZ138" s="115"/>
      <c r="XA138" s="115"/>
      <c r="XB138" s="115"/>
      <c r="XC138" s="115"/>
      <c r="XD138" s="115"/>
      <c r="XE138" s="115"/>
      <c r="XF138" s="115"/>
      <c r="XG138" s="115"/>
      <c r="XH138" s="115"/>
      <c r="XI138" s="115"/>
      <c r="XJ138" s="115"/>
      <c r="XK138" s="115"/>
      <c r="XL138" s="115"/>
      <c r="XM138" s="115"/>
      <c r="XN138" s="115"/>
      <c r="XO138" s="115"/>
      <c r="XP138" s="115"/>
      <c r="XQ138" s="115"/>
      <c r="XR138" s="115"/>
      <c r="XS138" s="115"/>
      <c r="XT138" s="115"/>
      <c r="XU138" s="115"/>
      <c r="XV138" s="115"/>
      <c r="XW138" s="115"/>
      <c r="XX138" s="115"/>
      <c r="XY138" s="115"/>
      <c r="XZ138" s="115"/>
      <c r="YA138" s="115"/>
      <c r="YB138" s="115"/>
      <c r="YC138" s="115"/>
      <c r="YD138" s="115"/>
      <c r="YE138" s="115"/>
      <c r="YF138" s="115"/>
      <c r="YG138" s="115"/>
      <c r="YH138" s="115"/>
      <c r="YI138" s="115"/>
      <c r="YJ138" s="115"/>
      <c r="YK138" s="115"/>
      <c r="YL138" s="115"/>
      <c r="YM138" s="115"/>
      <c r="YN138" s="115"/>
      <c r="YO138" s="115"/>
      <c r="YP138" s="115"/>
      <c r="YQ138" s="115"/>
      <c r="YX138" s="22">
        <v>0</v>
      </c>
      <c r="YY138" s="22">
        <f>VLOOKUP(B138,'SCAFFOLDING MATERIAL OVERALL'!B140:S322,18,FALSE)</f>
        <v>26.565000000000001</v>
      </c>
      <c r="YZ138" s="22">
        <f t="shared" si="2"/>
        <v>0</v>
      </c>
    </row>
    <row r="139" spans="1:676" s="22" customFormat="1" x14ac:dyDescent="0.25">
      <c r="A139" s="14">
        <v>135</v>
      </c>
      <c r="B139" s="15">
        <v>3000000359</v>
      </c>
      <c r="C139" s="16" t="s">
        <v>149</v>
      </c>
      <c r="D139" s="44" t="s">
        <v>12</v>
      </c>
      <c r="OZ139" s="115"/>
      <c r="PA139" s="115"/>
      <c r="PB139" s="115"/>
      <c r="PC139" s="115"/>
      <c r="PD139" s="115"/>
      <c r="PE139" s="115"/>
      <c r="PF139" s="115"/>
      <c r="PG139" s="115"/>
      <c r="PH139" s="115"/>
      <c r="PI139" s="115"/>
      <c r="PJ139" s="115"/>
      <c r="PK139" s="115"/>
      <c r="PL139" s="115"/>
      <c r="PM139" s="115"/>
      <c r="PN139" s="115"/>
      <c r="PO139" s="115"/>
      <c r="PP139" s="115"/>
      <c r="PQ139" s="115"/>
      <c r="PR139" s="115"/>
      <c r="PS139" s="115"/>
      <c r="PT139" s="115"/>
      <c r="PU139" s="115"/>
      <c r="PV139" s="115"/>
      <c r="PW139" s="115"/>
      <c r="PX139" s="115"/>
      <c r="PY139" s="115"/>
      <c r="PZ139" s="115"/>
      <c r="QA139" s="115"/>
      <c r="QB139" s="115"/>
      <c r="QC139" s="115"/>
      <c r="QD139" s="115"/>
      <c r="QE139" s="115"/>
      <c r="QF139" s="115"/>
      <c r="QG139" s="115"/>
      <c r="QH139" s="115"/>
      <c r="QI139" s="115"/>
      <c r="QJ139" s="115"/>
      <c r="QK139" s="115"/>
      <c r="QL139" s="115"/>
      <c r="QM139" s="115"/>
      <c r="QN139" s="115"/>
      <c r="QO139" s="115"/>
      <c r="QP139" s="115"/>
      <c r="QQ139" s="115"/>
      <c r="QR139" s="115"/>
      <c r="QS139" s="115"/>
      <c r="QT139" s="115"/>
      <c r="QU139" s="115"/>
      <c r="QV139" s="115"/>
      <c r="QW139" s="115"/>
      <c r="QX139" s="115"/>
      <c r="QY139" s="115"/>
      <c r="QZ139" s="115"/>
      <c r="RA139" s="115"/>
      <c r="RB139" s="115"/>
      <c r="RC139" s="115"/>
      <c r="RD139" s="115"/>
      <c r="RE139" s="115"/>
      <c r="RF139" s="115"/>
      <c r="RG139" s="115"/>
      <c r="RH139" s="115"/>
      <c r="RI139" s="115"/>
      <c r="RJ139" s="115"/>
      <c r="RK139" s="115"/>
      <c r="RL139" s="115"/>
      <c r="RM139" s="115"/>
      <c r="RN139" s="115"/>
      <c r="RO139" s="115"/>
      <c r="RP139" s="115"/>
      <c r="RQ139" s="115"/>
      <c r="RR139" s="115"/>
      <c r="RS139" s="115"/>
      <c r="RT139" s="115"/>
      <c r="RU139" s="115"/>
      <c r="RV139" s="115"/>
      <c r="RW139" s="115"/>
      <c r="RX139" s="115"/>
      <c r="RY139" s="115"/>
      <c r="RZ139" s="115"/>
      <c r="SA139" s="115"/>
      <c r="SB139" s="115"/>
      <c r="SC139" s="115"/>
      <c r="SD139" s="115"/>
      <c r="SE139" s="115"/>
      <c r="SF139" s="115"/>
      <c r="SG139" s="115"/>
      <c r="SH139" s="115"/>
      <c r="SI139" s="115"/>
      <c r="SJ139" s="115"/>
      <c r="SK139" s="115"/>
      <c r="SL139" s="115"/>
      <c r="SM139" s="115"/>
      <c r="SN139" s="115"/>
      <c r="SO139" s="115"/>
      <c r="SP139" s="115"/>
      <c r="SQ139" s="115"/>
      <c r="SR139" s="115"/>
      <c r="SS139" s="115"/>
      <c r="ST139" s="115"/>
      <c r="SU139" s="115"/>
      <c r="SV139" s="115"/>
      <c r="SW139" s="115"/>
      <c r="SX139" s="115"/>
      <c r="SY139" s="115"/>
      <c r="SZ139" s="115"/>
      <c r="TA139" s="115"/>
      <c r="TB139" s="115"/>
      <c r="TC139" s="115"/>
      <c r="TD139" s="115"/>
      <c r="TE139" s="115"/>
      <c r="TF139" s="115"/>
      <c r="TG139" s="115"/>
      <c r="TH139" s="115"/>
      <c r="TI139" s="115"/>
      <c r="TJ139" s="115"/>
      <c r="TK139" s="115"/>
      <c r="TL139" s="115"/>
      <c r="TM139" s="115"/>
      <c r="TN139" s="115"/>
      <c r="TO139" s="115"/>
      <c r="TP139" s="115"/>
      <c r="TQ139" s="115"/>
      <c r="TR139" s="115"/>
      <c r="TS139" s="115"/>
      <c r="TT139" s="115"/>
      <c r="TU139" s="115"/>
      <c r="TV139" s="115"/>
      <c r="TW139" s="115"/>
      <c r="TX139" s="115"/>
      <c r="TY139" s="115"/>
      <c r="TZ139" s="115"/>
      <c r="UA139" s="115"/>
      <c r="UB139" s="115"/>
      <c r="UC139" s="115"/>
      <c r="UD139" s="115"/>
      <c r="UE139" s="115"/>
      <c r="UF139" s="115"/>
      <c r="UG139" s="115"/>
      <c r="UH139" s="115"/>
      <c r="UI139" s="115"/>
      <c r="UJ139" s="115"/>
      <c r="UK139" s="115"/>
      <c r="UL139" s="115"/>
      <c r="UM139" s="115"/>
      <c r="UN139" s="115"/>
      <c r="UO139" s="115"/>
      <c r="UP139" s="115"/>
      <c r="UQ139" s="115"/>
      <c r="UR139" s="115"/>
      <c r="US139" s="115"/>
      <c r="UT139" s="115"/>
      <c r="UU139" s="115"/>
      <c r="UV139" s="115"/>
      <c r="UW139" s="115"/>
      <c r="UX139" s="115"/>
      <c r="UY139" s="115"/>
      <c r="UZ139" s="115"/>
      <c r="VA139" s="115"/>
      <c r="VB139" s="115"/>
      <c r="VC139" s="115"/>
      <c r="VD139" s="115"/>
      <c r="VE139" s="115"/>
      <c r="VF139" s="115"/>
      <c r="VG139" s="115"/>
      <c r="VH139" s="115"/>
      <c r="VI139" s="115"/>
      <c r="VJ139" s="115"/>
      <c r="VK139" s="115"/>
      <c r="VL139" s="115"/>
      <c r="VM139" s="115"/>
      <c r="VN139" s="115"/>
      <c r="VO139" s="115"/>
      <c r="VP139" s="115"/>
      <c r="VQ139" s="115"/>
      <c r="VR139" s="115"/>
      <c r="VS139" s="115"/>
      <c r="VT139" s="115"/>
      <c r="VU139" s="115"/>
      <c r="VV139" s="115"/>
      <c r="VW139" s="115"/>
      <c r="VX139" s="115"/>
      <c r="VY139" s="115"/>
      <c r="VZ139" s="115"/>
      <c r="WA139" s="115"/>
      <c r="WB139" s="115"/>
      <c r="WC139" s="115"/>
      <c r="WD139" s="115"/>
      <c r="WE139" s="115"/>
      <c r="WF139" s="115"/>
      <c r="WG139" s="115"/>
      <c r="WH139" s="115"/>
      <c r="WI139" s="115"/>
      <c r="WJ139" s="115"/>
      <c r="WK139" s="115"/>
      <c r="WL139" s="115"/>
      <c r="WM139" s="115"/>
      <c r="WN139" s="115"/>
      <c r="WO139" s="115"/>
      <c r="WP139" s="115"/>
      <c r="WQ139" s="115"/>
      <c r="WR139" s="115"/>
      <c r="WS139" s="115"/>
      <c r="WT139" s="115"/>
      <c r="WU139" s="115"/>
      <c r="WV139" s="115"/>
      <c r="WW139" s="115"/>
      <c r="WX139" s="115"/>
      <c r="WY139" s="115"/>
      <c r="WZ139" s="115"/>
      <c r="XA139" s="115"/>
      <c r="XB139" s="115"/>
      <c r="XC139" s="115"/>
      <c r="XD139" s="115"/>
      <c r="XE139" s="115"/>
      <c r="XF139" s="115"/>
      <c r="XG139" s="115"/>
      <c r="XH139" s="115"/>
      <c r="XI139" s="115"/>
      <c r="XJ139" s="115"/>
      <c r="XK139" s="115"/>
      <c r="XL139" s="115"/>
      <c r="XM139" s="115"/>
      <c r="XN139" s="115"/>
      <c r="XO139" s="115"/>
      <c r="XP139" s="115"/>
      <c r="XQ139" s="115"/>
      <c r="XR139" s="115"/>
      <c r="XS139" s="115"/>
      <c r="XT139" s="115"/>
      <c r="XU139" s="115"/>
      <c r="XV139" s="115"/>
      <c r="XW139" s="115"/>
      <c r="XX139" s="115"/>
      <c r="XY139" s="115"/>
      <c r="XZ139" s="115"/>
      <c r="YA139" s="115"/>
      <c r="YB139" s="115"/>
      <c r="YC139" s="115"/>
      <c r="YD139" s="115"/>
      <c r="YE139" s="115"/>
      <c r="YF139" s="115"/>
      <c r="YG139" s="115"/>
      <c r="YH139" s="115"/>
      <c r="YI139" s="115"/>
      <c r="YJ139" s="115"/>
      <c r="YK139" s="115"/>
      <c r="YL139" s="115"/>
      <c r="YM139" s="115"/>
      <c r="YN139" s="115"/>
      <c r="YO139" s="115"/>
      <c r="YP139" s="115"/>
      <c r="YQ139" s="115"/>
      <c r="YX139" s="22">
        <v>0</v>
      </c>
      <c r="YY139" s="22">
        <f>VLOOKUP(B139,'SCAFFOLDING MATERIAL OVERALL'!B141:S323,18,FALSE)</f>
        <v>36</v>
      </c>
      <c r="YZ139" s="22">
        <f t="shared" si="2"/>
        <v>0</v>
      </c>
    </row>
    <row r="140" spans="1:676" s="22" customFormat="1" x14ac:dyDescent="0.25">
      <c r="A140" s="14">
        <v>136</v>
      </c>
      <c r="B140" s="15">
        <v>3000000361</v>
      </c>
      <c r="C140" s="16" t="s">
        <v>150</v>
      </c>
      <c r="D140" s="44" t="s">
        <v>12</v>
      </c>
      <c r="OZ140" s="115"/>
      <c r="PA140" s="115"/>
      <c r="PB140" s="115"/>
      <c r="PC140" s="115"/>
      <c r="PD140" s="115"/>
      <c r="PE140" s="115"/>
      <c r="PF140" s="115"/>
      <c r="PG140" s="115"/>
      <c r="PH140" s="115"/>
      <c r="PI140" s="115"/>
      <c r="PJ140" s="115"/>
      <c r="PK140" s="115"/>
      <c r="PL140" s="115"/>
      <c r="PM140" s="115"/>
      <c r="PN140" s="115"/>
      <c r="PO140" s="115"/>
      <c r="PP140" s="115"/>
      <c r="PQ140" s="115"/>
      <c r="PR140" s="115"/>
      <c r="PS140" s="115"/>
      <c r="PT140" s="115"/>
      <c r="PU140" s="115"/>
      <c r="PV140" s="115"/>
      <c r="PW140" s="115"/>
      <c r="PX140" s="115"/>
      <c r="PY140" s="115"/>
      <c r="PZ140" s="115"/>
      <c r="QA140" s="115"/>
      <c r="QB140" s="115"/>
      <c r="QC140" s="115"/>
      <c r="QD140" s="115"/>
      <c r="QE140" s="115"/>
      <c r="QF140" s="115"/>
      <c r="QG140" s="115"/>
      <c r="QH140" s="115"/>
      <c r="QI140" s="115"/>
      <c r="QJ140" s="115"/>
      <c r="QK140" s="115"/>
      <c r="QL140" s="115"/>
      <c r="QM140" s="115"/>
      <c r="QN140" s="115"/>
      <c r="QO140" s="115"/>
      <c r="QP140" s="115"/>
      <c r="QQ140" s="115"/>
      <c r="QR140" s="115"/>
      <c r="QS140" s="115"/>
      <c r="QT140" s="115"/>
      <c r="QU140" s="115"/>
      <c r="QV140" s="115"/>
      <c r="QW140" s="115"/>
      <c r="QX140" s="115"/>
      <c r="QY140" s="115"/>
      <c r="QZ140" s="115"/>
      <c r="RA140" s="115"/>
      <c r="RB140" s="115"/>
      <c r="RC140" s="115"/>
      <c r="RD140" s="115"/>
      <c r="RE140" s="115"/>
      <c r="RF140" s="115"/>
      <c r="RG140" s="115"/>
      <c r="RH140" s="115"/>
      <c r="RI140" s="115"/>
      <c r="RJ140" s="115"/>
      <c r="RK140" s="115"/>
      <c r="RL140" s="115"/>
      <c r="RM140" s="115"/>
      <c r="RN140" s="115"/>
      <c r="RO140" s="115"/>
      <c r="RP140" s="115"/>
      <c r="RQ140" s="115"/>
      <c r="RR140" s="115"/>
      <c r="RS140" s="115"/>
      <c r="RT140" s="115"/>
      <c r="RU140" s="115"/>
      <c r="RV140" s="115"/>
      <c r="RW140" s="115"/>
      <c r="RX140" s="115"/>
      <c r="RY140" s="115"/>
      <c r="RZ140" s="115"/>
      <c r="SA140" s="115"/>
      <c r="SB140" s="115"/>
      <c r="SC140" s="115"/>
      <c r="SD140" s="115"/>
      <c r="SE140" s="115"/>
      <c r="SF140" s="115"/>
      <c r="SG140" s="115"/>
      <c r="SH140" s="115"/>
      <c r="SI140" s="115"/>
      <c r="SJ140" s="115"/>
      <c r="SK140" s="115"/>
      <c r="SL140" s="115"/>
      <c r="SM140" s="115"/>
      <c r="SN140" s="115"/>
      <c r="SO140" s="115"/>
      <c r="SP140" s="115"/>
      <c r="SQ140" s="115"/>
      <c r="SR140" s="115"/>
      <c r="SS140" s="115"/>
      <c r="ST140" s="115"/>
      <c r="SU140" s="115"/>
      <c r="SV140" s="115"/>
      <c r="SW140" s="115"/>
      <c r="SX140" s="115"/>
      <c r="SY140" s="115"/>
      <c r="SZ140" s="115"/>
      <c r="TA140" s="115"/>
      <c r="TB140" s="115"/>
      <c r="TC140" s="115"/>
      <c r="TD140" s="115"/>
      <c r="TE140" s="115"/>
      <c r="TF140" s="115"/>
      <c r="TG140" s="115"/>
      <c r="TH140" s="115"/>
      <c r="TI140" s="115"/>
      <c r="TJ140" s="115"/>
      <c r="TK140" s="115"/>
      <c r="TL140" s="115"/>
      <c r="TM140" s="115"/>
      <c r="TN140" s="115"/>
      <c r="TO140" s="115"/>
      <c r="TP140" s="115"/>
      <c r="TQ140" s="115"/>
      <c r="TR140" s="115"/>
      <c r="TS140" s="115"/>
      <c r="TT140" s="115"/>
      <c r="TU140" s="115"/>
      <c r="TV140" s="115"/>
      <c r="TW140" s="115"/>
      <c r="TX140" s="115"/>
      <c r="TY140" s="115"/>
      <c r="TZ140" s="115"/>
      <c r="UA140" s="115"/>
      <c r="UB140" s="115"/>
      <c r="UC140" s="115"/>
      <c r="UD140" s="115"/>
      <c r="UE140" s="115"/>
      <c r="UF140" s="115"/>
      <c r="UG140" s="115"/>
      <c r="UH140" s="115"/>
      <c r="UI140" s="115"/>
      <c r="UJ140" s="115"/>
      <c r="UK140" s="115"/>
      <c r="UL140" s="115"/>
      <c r="UM140" s="115"/>
      <c r="UN140" s="115"/>
      <c r="UO140" s="115"/>
      <c r="UP140" s="115"/>
      <c r="UQ140" s="115"/>
      <c r="UR140" s="115"/>
      <c r="US140" s="115"/>
      <c r="UT140" s="115"/>
      <c r="UU140" s="115"/>
      <c r="UV140" s="115"/>
      <c r="UW140" s="115"/>
      <c r="UX140" s="115"/>
      <c r="UY140" s="115"/>
      <c r="UZ140" s="115"/>
      <c r="VA140" s="115"/>
      <c r="VB140" s="115"/>
      <c r="VC140" s="115"/>
      <c r="VD140" s="115"/>
      <c r="VE140" s="115"/>
      <c r="VF140" s="115"/>
      <c r="VG140" s="115"/>
      <c r="VH140" s="115"/>
      <c r="VI140" s="115"/>
      <c r="VJ140" s="115"/>
      <c r="VK140" s="115"/>
      <c r="VL140" s="115"/>
      <c r="VM140" s="115"/>
      <c r="VN140" s="115"/>
      <c r="VO140" s="115"/>
      <c r="VP140" s="115"/>
      <c r="VQ140" s="115"/>
      <c r="VR140" s="115"/>
      <c r="VS140" s="115"/>
      <c r="VT140" s="115"/>
      <c r="VU140" s="115"/>
      <c r="VV140" s="115"/>
      <c r="VW140" s="115"/>
      <c r="VX140" s="115"/>
      <c r="VY140" s="115"/>
      <c r="VZ140" s="115"/>
      <c r="WA140" s="115"/>
      <c r="WB140" s="115"/>
      <c r="WC140" s="115"/>
      <c r="WD140" s="115"/>
      <c r="WE140" s="115"/>
      <c r="WF140" s="115"/>
      <c r="WG140" s="115"/>
      <c r="WH140" s="115"/>
      <c r="WI140" s="115"/>
      <c r="WJ140" s="115"/>
      <c r="WK140" s="115"/>
      <c r="WL140" s="115"/>
      <c r="WM140" s="115"/>
      <c r="WN140" s="115"/>
      <c r="WO140" s="115"/>
      <c r="WP140" s="115"/>
      <c r="WQ140" s="115"/>
      <c r="WR140" s="115"/>
      <c r="WS140" s="115"/>
      <c r="WT140" s="115"/>
      <c r="WU140" s="115"/>
      <c r="WV140" s="115"/>
      <c r="WW140" s="115"/>
      <c r="WX140" s="115"/>
      <c r="WY140" s="115"/>
      <c r="WZ140" s="115"/>
      <c r="XA140" s="115"/>
      <c r="XB140" s="115"/>
      <c r="XC140" s="115"/>
      <c r="XD140" s="115"/>
      <c r="XE140" s="115"/>
      <c r="XF140" s="115"/>
      <c r="XG140" s="115"/>
      <c r="XH140" s="115"/>
      <c r="XI140" s="115"/>
      <c r="XJ140" s="115"/>
      <c r="XK140" s="115"/>
      <c r="XL140" s="115"/>
      <c r="XM140" s="115"/>
      <c r="XN140" s="115"/>
      <c r="XO140" s="115"/>
      <c r="XP140" s="115"/>
      <c r="XQ140" s="115"/>
      <c r="XR140" s="115"/>
      <c r="XS140" s="115"/>
      <c r="XT140" s="115"/>
      <c r="XU140" s="115"/>
      <c r="XV140" s="115"/>
      <c r="XW140" s="115"/>
      <c r="XX140" s="115"/>
      <c r="XY140" s="115"/>
      <c r="XZ140" s="115"/>
      <c r="YA140" s="115"/>
      <c r="YB140" s="115"/>
      <c r="YC140" s="115"/>
      <c r="YD140" s="115"/>
      <c r="YE140" s="115"/>
      <c r="YF140" s="115"/>
      <c r="YG140" s="115"/>
      <c r="YH140" s="115"/>
      <c r="YI140" s="115"/>
      <c r="YJ140" s="115"/>
      <c r="YK140" s="115"/>
      <c r="YL140" s="115"/>
      <c r="YM140" s="115"/>
      <c r="YN140" s="115"/>
      <c r="YO140" s="115"/>
      <c r="YP140" s="115"/>
      <c r="YQ140" s="115"/>
      <c r="YX140" s="22">
        <v>0</v>
      </c>
      <c r="YY140" s="22">
        <f>VLOOKUP(B140,'SCAFFOLDING MATERIAL OVERALL'!B142:S324,18,FALSE)</f>
        <v>44.274999999999999</v>
      </c>
      <c r="YZ140" s="22">
        <f t="shared" si="2"/>
        <v>0</v>
      </c>
    </row>
    <row r="141" spans="1:676" s="22" customFormat="1" x14ac:dyDescent="0.25">
      <c r="A141" s="17">
        <v>137</v>
      </c>
      <c r="B141" s="15">
        <v>3000000363</v>
      </c>
      <c r="C141" s="16" t="s">
        <v>151</v>
      </c>
      <c r="D141" s="44" t="s">
        <v>12</v>
      </c>
      <c r="OZ141" s="115"/>
      <c r="PA141" s="115"/>
      <c r="PB141" s="115"/>
      <c r="PC141" s="115"/>
      <c r="PD141" s="115"/>
      <c r="PE141" s="115"/>
      <c r="PF141" s="115"/>
      <c r="PG141" s="115"/>
      <c r="PH141" s="115"/>
      <c r="PI141" s="115"/>
      <c r="PJ141" s="115"/>
      <c r="PK141" s="115"/>
      <c r="PL141" s="115"/>
      <c r="PM141" s="115"/>
      <c r="PN141" s="115"/>
      <c r="PO141" s="115"/>
      <c r="PP141" s="115"/>
      <c r="PQ141" s="115"/>
      <c r="PR141" s="115"/>
      <c r="PS141" s="115"/>
      <c r="PT141" s="115"/>
      <c r="PU141" s="115"/>
      <c r="PV141" s="115"/>
      <c r="PW141" s="115"/>
      <c r="PX141" s="115"/>
      <c r="PY141" s="115"/>
      <c r="PZ141" s="115"/>
      <c r="QA141" s="115"/>
      <c r="QB141" s="115"/>
      <c r="QC141" s="115"/>
      <c r="QD141" s="115"/>
      <c r="QE141" s="115"/>
      <c r="QF141" s="115"/>
      <c r="QG141" s="115"/>
      <c r="QH141" s="115"/>
      <c r="QI141" s="115"/>
      <c r="QJ141" s="115"/>
      <c r="QK141" s="115"/>
      <c r="QL141" s="115"/>
      <c r="QM141" s="115"/>
      <c r="QN141" s="115"/>
      <c r="QO141" s="115"/>
      <c r="QP141" s="115"/>
      <c r="QQ141" s="115"/>
      <c r="QR141" s="115"/>
      <c r="QS141" s="115"/>
      <c r="QT141" s="115"/>
      <c r="QU141" s="115"/>
      <c r="QV141" s="115"/>
      <c r="QW141" s="115"/>
      <c r="QX141" s="115"/>
      <c r="QY141" s="115"/>
      <c r="QZ141" s="115"/>
      <c r="RA141" s="115"/>
      <c r="RB141" s="115"/>
      <c r="RC141" s="115"/>
      <c r="RD141" s="115"/>
      <c r="RE141" s="115"/>
      <c r="RF141" s="115"/>
      <c r="RG141" s="115"/>
      <c r="RH141" s="115"/>
      <c r="RI141" s="115"/>
      <c r="RJ141" s="115"/>
      <c r="RK141" s="115"/>
      <c r="RL141" s="115"/>
      <c r="RM141" s="115"/>
      <c r="RN141" s="115"/>
      <c r="RO141" s="115"/>
      <c r="RP141" s="115"/>
      <c r="RQ141" s="115"/>
      <c r="RR141" s="115"/>
      <c r="RS141" s="115"/>
      <c r="RT141" s="115"/>
      <c r="RU141" s="115"/>
      <c r="RV141" s="115"/>
      <c r="RW141" s="115"/>
      <c r="RX141" s="115"/>
      <c r="RY141" s="115"/>
      <c r="RZ141" s="115"/>
      <c r="SA141" s="115"/>
      <c r="SB141" s="115"/>
      <c r="SC141" s="115"/>
      <c r="SD141" s="115"/>
      <c r="SE141" s="115"/>
      <c r="SF141" s="115"/>
      <c r="SG141" s="115"/>
      <c r="SH141" s="115"/>
      <c r="SI141" s="115"/>
      <c r="SJ141" s="115"/>
      <c r="SK141" s="115"/>
      <c r="SL141" s="115"/>
      <c r="SM141" s="115"/>
      <c r="SN141" s="115"/>
      <c r="SO141" s="115"/>
      <c r="SP141" s="115"/>
      <c r="SQ141" s="115"/>
      <c r="SR141" s="115"/>
      <c r="SS141" s="115"/>
      <c r="ST141" s="115"/>
      <c r="SU141" s="115"/>
      <c r="SV141" s="115"/>
      <c r="SW141" s="115"/>
      <c r="SX141" s="115"/>
      <c r="SY141" s="115"/>
      <c r="SZ141" s="115"/>
      <c r="TA141" s="115"/>
      <c r="TB141" s="115"/>
      <c r="TC141" s="115"/>
      <c r="TD141" s="115"/>
      <c r="TE141" s="115"/>
      <c r="TF141" s="115"/>
      <c r="TG141" s="115"/>
      <c r="TH141" s="115"/>
      <c r="TI141" s="115"/>
      <c r="TJ141" s="115"/>
      <c r="TK141" s="115"/>
      <c r="TL141" s="115"/>
      <c r="TM141" s="115"/>
      <c r="TN141" s="115"/>
      <c r="TO141" s="115"/>
      <c r="TP141" s="115"/>
      <c r="TQ141" s="115"/>
      <c r="TR141" s="115"/>
      <c r="TS141" s="115"/>
      <c r="TT141" s="115"/>
      <c r="TU141" s="115"/>
      <c r="TV141" s="115"/>
      <c r="TW141" s="115"/>
      <c r="TX141" s="115"/>
      <c r="TY141" s="115"/>
      <c r="TZ141" s="115"/>
      <c r="UA141" s="115"/>
      <c r="UB141" s="115"/>
      <c r="UC141" s="115"/>
      <c r="UD141" s="115"/>
      <c r="UE141" s="115"/>
      <c r="UF141" s="115"/>
      <c r="UG141" s="115"/>
      <c r="UH141" s="115"/>
      <c r="UI141" s="115"/>
      <c r="UJ141" s="115"/>
      <c r="UK141" s="115"/>
      <c r="UL141" s="115"/>
      <c r="UM141" s="115"/>
      <c r="UN141" s="115"/>
      <c r="UO141" s="115"/>
      <c r="UP141" s="115"/>
      <c r="UQ141" s="115"/>
      <c r="UR141" s="115"/>
      <c r="US141" s="115"/>
      <c r="UT141" s="115"/>
      <c r="UU141" s="115"/>
      <c r="UV141" s="115"/>
      <c r="UW141" s="115"/>
      <c r="UX141" s="115"/>
      <c r="UY141" s="115"/>
      <c r="UZ141" s="115"/>
      <c r="VA141" s="115"/>
      <c r="VB141" s="115"/>
      <c r="VC141" s="115"/>
      <c r="VD141" s="115"/>
      <c r="VE141" s="115"/>
      <c r="VF141" s="115"/>
      <c r="VG141" s="115"/>
      <c r="VH141" s="115"/>
      <c r="VI141" s="115"/>
      <c r="VJ141" s="115"/>
      <c r="VK141" s="115"/>
      <c r="VL141" s="115"/>
      <c r="VM141" s="115"/>
      <c r="VN141" s="115"/>
      <c r="VO141" s="115"/>
      <c r="VP141" s="115"/>
      <c r="VQ141" s="115"/>
      <c r="VR141" s="115"/>
      <c r="VS141" s="115"/>
      <c r="VT141" s="115"/>
      <c r="VU141" s="115"/>
      <c r="VV141" s="115"/>
      <c r="VW141" s="115"/>
      <c r="VX141" s="115"/>
      <c r="VY141" s="115"/>
      <c r="VZ141" s="115"/>
      <c r="WA141" s="115"/>
      <c r="WB141" s="115"/>
      <c r="WC141" s="115"/>
      <c r="WD141" s="115"/>
      <c r="WE141" s="115"/>
      <c r="WF141" s="115"/>
      <c r="WG141" s="115"/>
      <c r="WH141" s="115"/>
      <c r="WI141" s="115"/>
      <c r="WJ141" s="115"/>
      <c r="WK141" s="115"/>
      <c r="WL141" s="115"/>
      <c r="WM141" s="115"/>
      <c r="WN141" s="115"/>
      <c r="WO141" s="115"/>
      <c r="WP141" s="115"/>
      <c r="WQ141" s="115"/>
      <c r="WR141" s="115"/>
      <c r="WS141" s="115"/>
      <c r="WT141" s="115"/>
      <c r="WU141" s="115"/>
      <c r="WV141" s="115"/>
      <c r="WW141" s="115"/>
      <c r="WX141" s="115"/>
      <c r="WY141" s="115"/>
      <c r="WZ141" s="115"/>
      <c r="XA141" s="115"/>
      <c r="XB141" s="115"/>
      <c r="XC141" s="115"/>
      <c r="XD141" s="115"/>
      <c r="XE141" s="115"/>
      <c r="XF141" s="115"/>
      <c r="XG141" s="115"/>
      <c r="XH141" s="115"/>
      <c r="XI141" s="115"/>
      <c r="XJ141" s="115"/>
      <c r="XK141" s="115"/>
      <c r="XL141" s="115"/>
      <c r="XM141" s="115"/>
      <c r="XN141" s="115"/>
      <c r="XO141" s="115"/>
      <c r="XP141" s="115"/>
      <c r="XQ141" s="115"/>
      <c r="XR141" s="115"/>
      <c r="XS141" s="115"/>
      <c r="XT141" s="115"/>
      <c r="XU141" s="115"/>
      <c r="XV141" s="115"/>
      <c r="XW141" s="115"/>
      <c r="XX141" s="115"/>
      <c r="XY141" s="115"/>
      <c r="XZ141" s="115"/>
      <c r="YA141" s="115"/>
      <c r="YB141" s="115"/>
      <c r="YC141" s="115"/>
      <c r="YD141" s="115"/>
      <c r="YE141" s="115"/>
      <c r="YF141" s="115"/>
      <c r="YG141" s="115"/>
      <c r="YH141" s="115"/>
      <c r="YI141" s="115"/>
      <c r="YJ141" s="115"/>
      <c r="YK141" s="115"/>
      <c r="YL141" s="115"/>
      <c r="YM141" s="115"/>
      <c r="YN141" s="115"/>
      <c r="YO141" s="115"/>
      <c r="YP141" s="115"/>
      <c r="YQ141" s="115"/>
      <c r="YX141" s="22">
        <v>0</v>
      </c>
      <c r="YY141" s="22">
        <f>VLOOKUP(B141,'SCAFFOLDING MATERIAL OVERALL'!B143:S325,18,FALSE)</f>
        <v>62</v>
      </c>
      <c r="YZ141" s="22">
        <f t="shared" si="2"/>
        <v>0</v>
      </c>
    </row>
    <row r="142" spans="1:676" s="22" customFormat="1" x14ac:dyDescent="0.25">
      <c r="A142" s="14">
        <v>138</v>
      </c>
      <c r="B142" s="15">
        <v>3000000364</v>
      </c>
      <c r="C142" s="16" t="s">
        <v>152</v>
      </c>
      <c r="D142" s="44" t="s">
        <v>12</v>
      </c>
      <c r="OZ142" s="115"/>
      <c r="PA142" s="115"/>
      <c r="PB142" s="115"/>
      <c r="PC142" s="115"/>
      <c r="PD142" s="115"/>
      <c r="PE142" s="115"/>
      <c r="PF142" s="115"/>
      <c r="PG142" s="115"/>
      <c r="PH142" s="115"/>
      <c r="PI142" s="115"/>
      <c r="PJ142" s="115"/>
      <c r="PK142" s="115"/>
      <c r="PL142" s="115"/>
      <c r="PM142" s="115"/>
      <c r="PN142" s="115"/>
      <c r="PO142" s="115"/>
      <c r="PP142" s="115"/>
      <c r="PQ142" s="115"/>
      <c r="PR142" s="115"/>
      <c r="PS142" s="115"/>
      <c r="PT142" s="115"/>
      <c r="PU142" s="115"/>
      <c r="PV142" s="115"/>
      <c r="PW142" s="115"/>
      <c r="PX142" s="115"/>
      <c r="PY142" s="115"/>
      <c r="PZ142" s="115"/>
      <c r="QA142" s="115"/>
      <c r="QB142" s="115"/>
      <c r="QC142" s="115"/>
      <c r="QD142" s="115"/>
      <c r="QE142" s="115"/>
      <c r="QF142" s="115"/>
      <c r="QG142" s="115"/>
      <c r="QH142" s="115"/>
      <c r="QI142" s="115"/>
      <c r="QJ142" s="115"/>
      <c r="QK142" s="115"/>
      <c r="QL142" s="115"/>
      <c r="QM142" s="115"/>
      <c r="QN142" s="115"/>
      <c r="QO142" s="115"/>
      <c r="QP142" s="115"/>
      <c r="QQ142" s="115"/>
      <c r="QR142" s="115"/>
      <c r="QS142" s="115"/>
      <c r="QT142" s="115"/>
      <c r="QU142" s="115"/>
      <c r="QV142" s="115"/>
      <c r="QW142" s="115"/>
      <c r="QX142" s="115"/>
      <c r="QY142" s="115"/>
      <c r="QZ142" s="115"/>
      <c r="RA142" s="115"/>
      <c r="RB142" s="115"/>
      <c r="RC142" s="115"/>
      <c r="RD142" s="115"/>
      <c r="RE142" s="115"/>
      <c r="RF142" s="115"/>
      <c r="RG142" s="115"/>
      <c r="RH142" s="115"/>
      <c r="RI142" s="115"/>
      <c r="RJ142" s="115"/>
      <c r="RK142" s="115"/>
      <c r="RL142" s="115"/>
      <c r="RM142" s="115"/>
      <c r="RN142" s="115"/>
      <c r="RO142" s="115"/>
      <c r="RP142" s="115"/>
      <c r="RQ142" s="115"/>
      <c r="RR142" s="115"/>
      <c r="RS142" s="115"/>
      <c r="RT142" s="115"/>
      <c r="RU142" s="115"/>
      <c r="RV142" s="115"/>
      <c r="RW142" s="115"/>
      <c r="RX142" s="115"/>
      <c r="RY142" s="115"/>
      <c r="RZ142" s="115"/>
      <c r="SA142" s="115"/>
      <c r="SB142" s="115"/>
      <c r="SC142" s="115"/>
      <c r="SD142" s="115"/>
      <c r="SE142" s="115"/>
      <c r="SF142" s="115"/>
      <c r="SG142" s="115"/>
      <c r="SH142" s="115"/>
      <c r="SI142" s="115"/>
      <c r="SJ142" s="115"/>
      <c r="SK142" s="115"/>
      <c r="SL142" s="115"/>
      <c r="SM142" s="115"/>
      <c r="SN142" s="115"/>
      <c r="SO142" s="115"/>
      <c r="SP142" s="115"/>
      <c r="SQ142" s="115"/>
      <c r="SR142" s="115"/>
      <c r="SS142" s="115"/>
      <c r="ST142" s="115"/>
      <c r="SU142" s="115"/>
      <c r="SV142" s="115"/>
      <c r="SW142" s="115"/>
      <c r="SX142" s="115"/>
      <c r="SY142" s="115"/>
      <c r="SZ142" s="115"/>
      <c r="TA142" s="115"/>
      <c r="TB142" s="115"/>
      <c r="TC142" s="115"/>
      <c r="TD142" s="115"/>
      <c r="TE142" s="115"/>
      <c r="TF142" s="115"/>
      <c r="TG142" s="115"/>
      <c r="TH142" s="115"/>
      <c r="TI142" s="115"/>
      <c r="TJ142" s="115"/>
      <c r="TK142" s="115"/>
      <c r="TL142" s="115"/>
      <c r="TM142" s="115"/>
      <c r="TN142" s="115"/>
      <c r="TO142" s="115"/>
      <c r="TP142" s="115"/>
      <c r="TQ142" s="115"/>
      <c r="TR142" s="115"/>
      <c r="TS142" s="115"/>
      <c r="TT142" s="115"/>
      <c r="TU142" s="115"/>
      <c r="TV142" s="115"/>
      <c r="TW142" s="115"/>
      <c r="TX142" s="115"/>
      <c r="TY142" s="115"/>
      <c r="TZ142" s="115"/>
      <c r="UA142" s="115"/>
      <c r="UB142" s="115"/>
      <c r="UC142" s="115"/>
      <c r="UD142" s="115"/>
      <c r="UE142" s="115"/>
      <c r="UF142" s="115"/>
      <c r="UG142" s="115"/>
      <c r="UH142" s="115"/>
      <c r="UI142" s="115"/>
      <c r="UJ142" s="115"/>
      <c r="UK142" s="115"/>
      <c r="UL142" s="115"/>
      <c r="UM142" s="115"/>
      <c r="UN142" s="115"/>
      <c r="UO142" s="115"/>
      <c r="UP142" s="115"/>
      <c r="UQ142" s="115"/>
      <c r="UR142" s="115"/>
      <c r="US142" s="115"/>
      <c r="UT142" s="115"/>
      <c r="UU142" s="115"/>
      <c r="UV142" s="115"/>
      <c r="UW142" s="115"/>
      <c r="UX142" s="115"/>
      <c r="UY142" s="115"/>
      <c r="UZ142" s="115"/>
      <c r="VA142" s="115"/>
      <c r="VB142" s="115"/>
      <c r="VC142" s="115"/>
      <c r="VD142" s="115"/>
      <c r="VE142" s="115"/>
      <c r="VF142" s="115"/>
      <c r="VG142" s="115"/>
      <c r="VH142" s="115"/>
      <c r="VI142" s="115"/>
      <c r="VJ142" s="115"/>
      <c r="VK142" s="115"/>
      <c r="VL142" s="115"/>
      <c r="VM142" s="115"/>
      <c r="VN142" s="115"/>
      <c r="VO142" s="115"/>
      <c r="VP142" s="115"/>
      <c r="VQ142" s="115"/>
      <c r="VR142" s="115"/>
      <c r="VS142" s="115"/>
      <c r="VT142" s="115"/>
      <c r="VU142" s="115"/>
      <c r="VV142" s="115"/>
      <c r="VW142" s="115"/>
      <c r="VX142" s="115"/>
      <c r="VY142" s="115"/>
      <c r="VZ142" s="115"/>
      <c r="WA142" s="115"/>
      <c r="WB142" s="115"/>
      <c r="WC142" s="115"/>
      <c r="WD142" s="115"/>
      <c r="WE142" s="115"/>
      <c r="WF142" s="115"/>
      <c r="WG142" s="115"/>
      <c r="WH142" s="115"/>
      <c r="WI142" s="115"/>
      <c r="WJ142" s="115"/>
      <c r="WK142" s="115"/>
      <c r="WL142" s="115"/>
      <c r="WM142" s="115"/>
      <c r="WN142" s="115"/>
      <c r="WO142" s="115"/>
      <c r="WP142" s="115"/>
      <c r="WQ142" s="115"/>
      <c r="WR142" s="115"/>
      <c r="WS142" s="115"/>
      <c r="WT142" s="115"/>
      <c r="WU142" s="115"/>
      <c r="WV142" s="115"/>
      <c r="WW142" s="115"/>
      <c r="WX142" s="115"/>
      <c r="WY142" s="115"/>
      <c r="WZ142" s="115"/>
      <c r="XA142" s="115"/>
      <c r="XB142" s="115"/>
      <c r="XC142" s="115"/>
      <c r="XD142" s="115"/>
      <c r="XE142" s="115"/>
      <c r="XF142" s="115"/>
      <c r="XG142" s="115"/>
      <c r="XH142" s="115"/>
      <c r="XI142" s="115"/>
      <c r="XJ142" s="115"/>
      <c r="XK142" s="115"/>
      <c r="XL142" s="115"/>
      <c r="XM142" s="115"/>
      <c r="XN142" s="115"/>
      <c r="XO142" s="115"/>
      <c r="XP142" s="115"/>
      <c r="XQ142" s="115"/>
      <c r="XR142" s="115"/>
      <c r="XS142" s="115"/>
      <c r="XT142" s="115"/>
      <c r="XU142" s="115"/>
      <c r="XV142" s="115"/>
      <c r="XW142" s="115"/>
      <c r="XX142" s="115"/>
      <c r="XY142" s="115"/>
      <c r="XZ142" s="115"/>
      <c r="YA142" s="115"/>
      <c r="YB142" s="115"/>
      <c r="YC142" s="115"/>
      <c r="YD142" s="115"/>
      <c r="YE142" s="115"/>
      <c r="YF142" s="115"/>
      <c r="YG142" s="115"/>
      <c r="YH142" s="115"/>
      <c r="YI142" s="115"/>
      <c r="YJ142" s="115"/>
      <c r="YK142" s="115"/>
      <c r="YL142" s="115"/>
      <c r="YM142" s="115"/>
      <c r="YN142" s="115"/>
      <c r="YO142" s="115"/>
      <c r="YP142" s="115"/>
      <c r="YQ142" s="115"/>
      <c r="YX142" s="22">
        <v>0</v>
      </c>
      <c r="YY142" s="22">
        <f>VLOOKUP(B142,'SCAFFOLDING MATERIAL OVERALL'!B144:S326,18,FALSE)</f>
        <v>72</v>
      </c>
      <c r="YZ142" s="22">
        <f t="shared" si="2"/>
        <v>0</v>
      </c>
    </row>
    <row r="143" spans="1:676" s="22" customFormat="1" x14ac:dyDescent="0.25">
      <c r="A143" s="14">
        <v>139</v>
      </c>
      <c r="B143" s="15">
        <v>3000001229</v>
      </c>
      <c r="C143" s="16" t="s">
        <v>153</v>
      </c>
      <c r="D143" s="44" t="s">
        <v>12</v>
      </c>
      <c r="I143" s="22">
        <v>3000</v>
      </c>
      <c r="J143" s="22">
        <v>300</v>
      </c>
      <c r="K143" s="22">
        <v>8000</v>
      </c>
      <c r="L143" s="22">
        <v>6000</v>
      </c>
      <c r="DV143" s="22">
        <v>914</v>
      </c>
      <c r="EU143" s="22">
        <v>2750</v>
      </c>
      <c r="GR143" s="22">
        <v>2874</v>
      </c>
      <c r="HA143" s="22">
        <v>1000</v>
      </c>
      <c r="HM143" s="22">
        <v>9000</v>
      </c>
      <c r="IS143" s="22">
        <v>15000</v>
      </c>
      <c r="NX143" s="22">
        <v>900</v>
      </c>
      <c r="OZ143" s="115"/>
      <c r="PA143" s="115">
        <v>2800</v>
      </c>
      <c r="PB143" s="115"/>
      <c r="PC143" s="115"/>
      <c r="PD143" s="115"/>
      <c r="PE143" s="115"/>
      <c r="PF143" s="115"/>
      <c r="PG143" s="115"/>
      <c r="PH143" s="115"/>
      <c r="PI143" s="115"/>
      <c r="PJ143" s="115"/>
      <c r="PK143" s="115"/>
      <c r="PL143" s="115"/>
      <c r="PM143" s="115"/>
      <c r="PN143" s="115"/>
      <c r="PO143" s="115"/>
      <c r="PP143" s="115"/>
      <c r="PQ143" s="115"/>
      <c r="PR143" s="115"/>
      <c r="PS143" s="115"/>
      <c r="PT143" s="115"/>
      <c r="PU143" s="115"/>
      <c r="PV143" s="115"/>
      <c r="PW143" s="115"/>
      <c r="PX143" s="115"/>
      <c r="PY143" s="115"/>
      <c r="PZ143" s="115"/>
      <c r="QA143" s="115"/>
      <c r="QB143" s="115"/>
      <c r="QC143" s="115"/>
      <c r="QD143" s="115"/>
      <c r="QE143" s="115"/>
      <c r="QF143" s="115"/>
      <c r="QG143" s="115"/>
      <c r="QH143" s="115"/>
      <c r="QI143" s="115"/>
      <c r="QJ143" s="115"/>
      <c r="QK143" s="115"/>
      <c r="QL143" s="115"/>
      <c r="QM143" s="115"/>
      <c r="QN143" s="115"/>
      <c r="QO143" s="115"/>
      <c r="QP143" s="115"/>
      <c r="QQ143" s="115"/>
      <c r="QR143" s="115"/>
      <c r="QS143" s="115"/>
      <c r="QT143" s="115"/>
      <c r="QU143" s="115"/>
      <c r="QV143" s="115"/>
      <c r="QW143" s="115"/>
      <c r="QX143" s="115"/>
      <c r="QY143" s="115"/>
      <c r="QZ143" s="115"/>
      <c r="RA143" s="115"/>
      <c r="RB143" s="115"/>
      <c r="RC143" s="115">
        <v>4000</v>
      </c>
      <c r="RD143" s="115"/>
      <c r="RE143" s="115"/>
      <c r="RF143" s="115"/>
      <c r="RG143" s="115"/>
      <c r="RH143" s="115"/>
      <c r="RI143" s="115"/>
      <c r="RJ143" s="115"/>
      <c r="RK143" s="115"/>
      <c r="RL143" s="115">
        <v>1000</v>
      </c>
      <c r="RM143" s="115"/>
      <c r="RN143" s="115"/>
      <c r="RO143" s="115"/>
      <c r="RP143" s="115"/>
      <c r="RQ143" s="115"/>
      <c r="RR143" s="115"/>
      <c r="RS143" s="115"/>
      <c r="RT143" s="115"/>
      <c r="RU143" s="115"/>
      <c r="RV143" s="115"/>
      <c r="RW143" s="115"/>
      <c r="RX143" s="115"/>
      <c r="RY143" s="115"/>
      <c r="RZ143" s="115"/>
      <c r="SA143" s="115"/>
      <c r="SB143" s="115"/>
      <c r="SC143" s="115"/>
      <c r="SD143" s="115"/>
      <c r="SE143" s="115"/>
      <c r="SF143" s="115"/>
      <c r="SG143" s="115"/>
      <c r="SH143" s="115"/>
      <c r="SI143" s="115"/>
      <c r="SJ143" s="115"/>
      <c r="SK143" s="115"/>
      <c r="SL143" s="115"/>
      <c r="SM143" s="115"/>
      <c r="SN143" s="115"/>
      <c r="SO143" s="115"/>
      <c r="SP143" s="115"/>
      <c r="SQ143" s="115"/>
      <c r="SR143" s="115"/>
      <c r="SS143" s="115"/>
      <c r="ST143" s="115"/>
      <c r="SU143" s="115"/>
      <c r="SV143" s="115"/>
      <c r="SW143" s="115"/>
      <c r="SX143" s="115"/>
      <c r="SY143" s="115"/>
      <c r="SZ143" s="115"/>
      <c r="TA143" s="115"/>
      <c r="TB143" s="115"/>
      <c r="TC143" s="115"/>
      <c r="TD143" s="115"/>
      <c r="TE143" s="115"/>
      <c r="TF143" s="115"/>
      <c r="TG143" s="115"/>
      <c r="TH143" s="115"/>
      <c r="TI143" s="115"/>
      <c r="TJ143" s="115"/>
      <c r="TK143" s="115"/>
      <c r="TL143" s="115"/>
      <c r="TM143" s="115"/>
      <c r="TN143" s="115"/>
      <c r="TO143" s="115"/>
      <c r="TP143" s="115"/>
      <c r="TQ143" s="115"/>
      <c r="TR143" s="115"/>
      <c r="TS143" s="115"/>
      <c r="TT143" s="115"/>
      <c r="TU143" s="115"/>
      <c r="TV143" s="115"/>
      <c r="TW143" s="115"/>
      <c r="TX143" s="115"/>
      <c r="TY143" s="115"/>
      <c r="TZ143" s="115"/>
      <c r="UA143" s="115"/>
      <c r="UB143" s="115"/>
      <c r="UC143" s="115"/>
      <c r="UD143" s="115"/>
      <c r="UE143" s="115"/>
      <c r="UF143" s="115"/>
      <c r="UG143" s="115"/>
      <c r="UH143" s="115"/>
      <c r="UI143" s="115"/>
      <c r="UJ143" s="115"/>
      <c r="UK143" s="115"/>
      <c r="UL143" s="115"/>
      <c r="UM143" s="115"/>
      <c r="UN143" s="115"/>
      <c r="UO143" s="115"/>
      <c r="UP143" s="115"/>
      <c r="UQ143" s="115"/>
      <c r="UR143" s="115"/>
      <c r="US143" s="115"/>
      <c r="UT143" s="115">
        <v>2000</v>
      </c>
      <c r="UU143" s="115"/>
      <c r="UV143" s="115"/>
      <c r="UW143" s="115"/>
      <c r="UX143" s="115"/>
      <c r="UY143" s="115">
        <v>4000</v>
      </c>
      <c r="UZ143" s="115">
        <v>4000</v>
      </c>
      <c r="VA143" s="115"/>
      <c r="VB143" s="115"/>
      <c r="VC143" s="115"/>
      <c r="VD143" s="115"/>
      <c r="VE143" s="115"/>
      <c r="VF143" s="115"/>
      <c r="VG143" s="115"/>
      <c r="VH143" s="115"/>
      <c r="VI143" s="115">
        <v>1200</v>
      </c>
      <c r="VJ143" s="115"/>
      <c r="VK143" s="115"/>
      <c r="VL143" s="115"/>
      <c r="VM143" s="115"/>
      <c r="VN143" s="115"/>
      <c r="VO143" s="115"/>
      <c r="VP143" s="115">
        <v>1300</v>
      </c>
      <c r="VQ143" s="115"/>
      <c r="VR143" s="115"/>
      <c r="VS143" s="115"/>
      <c r="VT143" s="115"/>
      <c r="VU143" s="115"/>
      <c r="VV143" s="115"/>
      <c r="VW143" s="115"/>
      <c r="VX143" s="115"/>
      <c r="VY143" s="115">
        <v>1200</v>
      </c>
      <c r="VZ143" s="115"/>
      <c r="WA143" s="115"/>
      <c r="WB143" s="115"/>
      <c r="WC143" s="115">
        <v>1300</v>
      </c>
      <c r="WD143" s="115"/>
      <c r="WE143" s="115"/>
      <c r="WF143" s="115"/>
      <c r="WG143" s="115"/>
      <c r="WH143" s="115"/>
      <c r="WI143" s="115"/>
      <c r="WJ143" s="115"/>
      <c r="WK143" s="115"/>
      <c r="WL143" s="115"/>
      <c r="WM143" s="115"/>
      <c r="WN143" s="115"/>
      <c r="WO143" s="115"/>
      <c r="WP143" s="115"/>
      <c r="WQ143" s="115"/>
      <c r="WR143" s="115"/>
      <c r="WS143" s="115"/>
      <c r="WT143" s="115"/>
      <c r="WU143" s="115"/>
      <c r="WV143" s="115"/>
      <c r="WW143" s="115"/>
      <c r="WX143" s="115"/>
      <c r="WY143" s="115"/>
      <c r="WZ143" s="115"/>
      <c r="XA143" s="115"/>
      <c r="XB143" s="115"/>
      <c r="XC143" s="115"/>
      <c r="XD143" s="115"/>
      <c r="XE143" s="115"/>
      <c r="XF143" s="115"/>
      <c r="XG143" s="115"/>
      <c r="XH143" s="115"/>
      <c r="XI143" s="115"/>
      <c r="XJ143" s="115"/>
      <c r="XK143" s="115"/>
      <c r="XL143" s="115"/>
      <c r="XM143" s="115"/>
      <c r="XN143" s="115"/>
      <c r="XO143" s="115"/>
      <c r="XP143" s="115"/>
      <c r="XQ143" s="115"/>
      <c r="XR143" s="115"/>
      <c r="XS143" s="115"/>
      <c r="XT143" s="115"/>
      <c r="XU143" s="115"/>
      <c r="XV143" s="115"/>
      <c r="XW143" s="115"/>
      <c r="XX143" s="115"/>
      <c r="XY143" s="115"/>
      <c r="XZ143" s="115"/>
      <c r="YA143" s="115"/>
      <c r="YB143" s="115"/>
      <c r="YC143" s="115"/>
      <c r="YD143" s="115"/>
      <c r="YE143" s="115"/>
      <c r="YF143" s="115"/>
      <c r="YG143" s="115"/>
      <c r="YH143" s="115"/>
      <c r="YI143" s="115"/>
      <c r="YJ143" s="115"/>
      <c r="YK143" s="115"/>
      <c r="YL143" s="115"/>
      <c r="YM143" s="115"/>
      <c r="YN143" s="115"/>
      <c r="YO143" s="115"/>
      <c r="YP143" s="115"/>
      <c r="YQ143" s="115"/>
      <c r="YX143" s="22">
        <v>72538</v>
      </c>
      <c r="YY143" s="22">
        <f>VLOOKUP(B143,'SCAFFOLDING MATERIAL OVERALL'!B145:S327,18,FALSE)</f>
        <v>1.1000000000000001</v>
      </c>
      <c r="YZ143" s="22">
        <f t="shared" si="2"/>
        <v>79791.8</v>
      </c>
    </row>
    <row r="144" spans="1:676" s="22" customFormat="1" x14ac:dyDescent="0.25">
      <c r="A144" s="17">
        <v>140</v>
      </c>
      <c r="B144" s="15">
        <v>3000001060</v>
      </c>
      <c r="C144" s="16" t="s">
        <v>154</v>
      </c>
      <c r="D144" s="44" t="s">
        <v>12</v>
      </c>
      <c r="OZ144" s="115"/>
      <c r="PA144" s="115"/>
      <c r="PB144" s="115"/>
      <c r="PC144" s="115"/>
      <c r="PD144" s="115"/>
      <c r="PE144" s="115"/>
      <c r="PF144" s="115"/>
      <c r="PG144" s="115"/>
      <c r="PH144" s="115"/>
      <c r="PI144" s="115"/>
      <c r="PJ144" s="115"/>
      <c r="PK144" s="115"/>
      <c r="PL144" s="115"/>
      <c r="PM144" s="115"/>
      <c r="PN144" s="115"/>
      <c r="PO144" s="115"/>
      <c r="PP144" s="115"/>
      <c r="PQ144" s="115"/>
      <c r="PR144" s="115"/>
      <c r="PS144" s="115"/>
      <c r="PT144" s="115"/>
      <c r="PU144" s="115"/>
      <c r="PV144" s="115"/>
      <c r="PW144" s="115"/>
      <c r="PX144" s="115"/>
      <c r="PY144" s="115"/>
      <c r="PZ144" s="115"/>
      <c r="QA144" s="115"/>
      <c r="QB144" s="115"/>
      <c r="QC144" s="115"/>
      <c r="QD144" s="115"/>
      <c r="QE144" s="115"/>
      <c r="QF144" s="115"/>
      <c r="QG144" s="115"/>
      <c r="QH144" s="115"/>
      <c r="QI144" s="115"/>
      <c r="QJ144" s="115"/>
      <c r="QK144" s="115"/>
      <c r="QL144" s="115"/>
      <c r="QM144" s="115"/>
      <c r="QN144" s="115"/>
      <c r="QO144" s="115"/>
      <c r="QP144" s="115"/>
      <c r="QQ144" s="115"/>
      <c r="QR144" s="115"/>
      <c r="QS144" s="115"/>
      <c r="QT144" s="115"/>
      <c r="QU144" s="115"/>
      <c r="QV144" s="115"/>
      <c r="QW144" s="115"/>
      <c r="QX144" s="115"/>
      <c r="QY144" s="115"/>
      <c r="QZ144" s="115"/>
      <c r="RA144" s="115"/>
      <c r="RB144" s="115"/>
      <c r="RC144" s="115"/>
      <c r="RD144" s="115"/>
      <c r="RE144" s="115"/>
      <c r="RF144" s="115"/>
      <c r="RG144" s="115"/>
      <c r="RH144" s="115"/>
      <c r="RI144" s="115"/>
      <c r="RJ144" s="115"/>
      <c r="RK144" s="115"/>
      <c r="RL144" s="115"/>
      <c r="RM144" s="115"/>
      <c r="RN144" s="115"/>
      <c r="RO144" s="115"/>
      <c r="RP144" s="115"/>
      <c r="RQ144" s="115"/>
      <c r="RR144" s="115"/>
      <c r="RS144" s="115"/>
      <c r="RT144" s="115"/>
      <c r="RU144" s="115"/>
      <c r="RV144" s="115"/>
      <c r="RW144" s="115"/>
      <c r="RX144" s="115"/>
      <c r="RY144" s="115"/>
      <c r="RZ144" s="115"/>
      <c r="SA144" s="115"/>
      <c r="SB144" s="115"/>
      <c r="SC144" s="115"/>
      <c r="SD144" s="115"/>
      <c r="SE144" s="115"/>
      <c r="SF144" s="115"/>
      <c r="SG144" s="115"/>
      <c r="SH144" s="115"/>
      <c r="SI144" s="115"/>
      <c r="SJ144" s="115"/>
      <c r="SK144" s="115"/>
      <c r="SL144" s="115"/>
      <c r="SM144" s="115"/>
      <c r="SN144" s="115"/>
      <c r="SO144" s="115"/>
      <c r="SP144" s="115"/>
      <c r="SQ144" s="115"/>
      <c r="SR144" s="115"/>
      <c r="SS144" s="115"/>
      <c r="ST144" s="115"/>
      <c r="SU144" s="115"/>
      <c r="SV144" s="115"/>
      <c r="SW144" s="115"/>
      <c r="SX144" s="115"/>
      <c r="SY144" s="115"/>
      <c r="SZ144" s="115"/>
      <c r="TA144" s="115"/>
      <c r="TB144" s="115"/>
      <c r="TC144" s="115"/>
      <c r="TD144" s="115"/>
      <c r="TE144" s="115"/>
      <c r="TF144" s="115"/>
      <c r="TG144" s="115"/>
      <c r="TH144" s="115"/>
      <c r="TI144" s="115"/>
      <c r="TJ144" s="115"/>
      <c r="TK144" s="115"/>
      <c r="TL144" s="115"/>
      <c r="TM144" s="115"/>
      <c r="TN144" s="115"/>
      <c r="TO144" s="115"/>
      <c r="TP144" s="115"/>
      <c r="TQ144" s="115"/>
      <c r="TR144" s="115"/>
      <c r="TS144" s="115"/>
      <c r="TT144" s="115"/>
      <c r="TU144" s="115"/>
      <c r="TV144" s="115"/>
      <c r="TW144" s="115"/>
      <c r="TX144" s="115"/>
      <c r="TY144" s="115"/>
      <c r="TZ144" s="115"/>
      <c r="UA144" s="115"/>
      <c r="UB144" s="115"/>
      <c r="UC144" s="115"/>
      <c r="UD144" s="115"/>
      <c r="UE144" s="115"/>
      <c r="UF144" s="115"/>
      <c r="UG144" s="115"/>
      <c r="UH144" s="115"/>
      <c r="UI144" s="115"/>
      <c r="UJ144" s="115"/>
      <c r="UK144" s="115"/>
      <c r="UL144" s="115"/>
      <c r="UM144" s="115"/>
      <c r="UN144" s="115"/>
      <c r="UO144" s="115"/>
      <c r="UP144" s="115"/>
      <c r="UQ144" s="115"/>
      <c r="UR144" s="115"/>
      <c r="US144" s="115"/>
      <c r="UT144" s="115"/>
      <c r="UU144" s="115"/>
      <c r="UV144" s="115"/>
      <c r="UW144" s="115"/>
      <c r="UX144" s="115"/>
      <c r="UY144" s="115"/>
      <c r="UZ144" s="115"/>
      <c r="VA144" s="115"/>
      <c r="VB144" s="115"/>
      <c r="VC144" s="115"/>
      <c r="VD144" s="115"/>
      <c r="VE144" s="115"/>
      <c r="VF144" s="115"/>
      <c r="VG144" s="115"/>
      <c r="VH144" s="115"/>
      <c r="VI144" s="115"/>
      <c r="VJ144" s="115"/>
      <c r="VK144" s="115"/>
      <c r="VL144" s="115"/>
      <c r="VM144" s="115"/>
      <c r="VN144" s="115"/>
      <c r="VO144" s="115"/>
      <c r="VP144" s="115"/>
      <c r="VQ144" s="115"/>
      <c r="VR144" s="115"/>
      <c r="VS144" s="115"/>
      <c r="VT144" s="115"/>
      <c r="VU144" s="115"/>
      <c r="VV144" s="115"/>
      <c r="VW144" s="115"/>
      <c r="VX144" s="115"/>
      <c r="VY144" s="115"/>
      <c r="VZ144" s="115"/>
      <c r="WA144" s="115"/>
      <c r="WB144" s="115"/>
      <c r="WC144" s="115"/>
      <c r="WD144" s="115"/>
      <c r="WE144" s="115"/>
      <c r="WF144" s="115"/>
      <c r="WG144" s="115"/>
      <c r="WH144" s="115"/>
      <c r="WI144" s="115"/>
      <c r="WJ144" s="115"/>
      <c r="WK144" s="115"/>
      <c r="WL144" s="115"/>
      <c r="WM144" s="115"/>
      <c r="WN144" s="115"/>
      <c r="WO144" s="115"/>
      <c r="WP144" s="115"/>
      <c r="WQ144" s="115"/>
      <c r="WR144" s="115"/>
      <c r="WS144" s="115"/>
      <c r="WT144" s="115"/>
      <c r="WU144" s="115"/>
      <c r="WV144" s="115"/>
      <c r="WW144" s="115"/>
      <c r="WX144" s="115"/>
      <c r="WY144" s="115"/>
      <c r="WZ144" s="115"/>
      <c r="XA144" s="115"/>
      <c r="XB144" s="115"/>
      <c r="XC144" s="115"/>
      <c r="XD144" s="115"/>
      <c r="XE144" s="115"/>
      <c r="XF144" s="115"/>
      <c r="XG144" s="115"/>
      <c r="XH144" s="115"/>
      <c r="XI144" s="115"/>
      <c r="XJ144" s="115"/>
      <c r="XK144" s="115"/>
      <c r="XL144" s="115"/>
      <c r="XM144" s="115"/>
      <c r="XN144" s="115"/>
      <c r="XO144" s="115"/>
      <c r="XP144" s="115"/>
      <c r="XQ144" s="115"/>
      <c r="XR144" s="115"/>
      <c r="XS144" s="115"/>
      <c r="XT144" s="115"/>
      <c r="XU144" s="115"/>
      <c r="XV144" s="115"/>
      <c r="XW144" s="115"/>
      <c r="XX144" s="115"/>
      <c r="XY144" s="115"/>
      <c r="XZ144" s="115"/>
      <c r="YA144" s="115"/>
      <c r="YB144" s="115"/>
      <c r="YC144" s="115"/>
      <c r="YD144" s="115"/>
      <c r="YE144" s="115"/>
      <c r="YF144" s="115"/>
      <c r="YG144" s="115"/>
      <c r="YH144" s="115"/>
      <c r="YI144" s="115"/>
      <c r="YJ144" s="115"/>
      <c r="YK144" s="115"/>
      <c r="YL144" s="115"/>
      <c r="YM144" s="115"/>
      <c r="YN144" s="115"/>
      <c r="YO144" s="115"/>
      <c r="YP144" s="115"/>
      <c r="YQ144" s="115"/>
      <c r="YX144" s="22">
        <v>0</v>
      </c>
      <c r="YY144" s="22">
        <f>VLOOKUP(B144,'SCAFFOLDING MATERIAL OVERALL'!B146:S328,18,FALSE)</f>
        <v>4.38</v>
      </c>
      <c r="YZ144" s="22">
        <f t="shared" si="2"/>
        <v>0</v>
      </c>
    </row>
    <row r="145" spans="1:676" s="22" customFormat="1" x14ac:dyDescent="0.25">
      <c r="A145" s="14">
        <v>141</v>
      </c>
      <c r="B145" s="15">
        <v>3000001061</v>
      </c>
      <c r="C145" s="16" t="s">
        <v>155</v>
      </c>
      <c r="D145" s="44" t="s">
        <v>12</v>
      </c>
      <c r="OZ145" s="115"/>
      <c r="PA145" s="115"/>
      <c r="PB145" s="115"/>
      <c r="PC145" s="115"/>
      <c r="PD145" s="115"/>
      <c r="PE145" s="115"/>
      <c r="PF145" s="115"/>
      <c r="PG145" s="115"/>
      <c r="PH145" s="115"/>
      <c r="PI145" s="115"/>
      <c r="PJ145" s="115"/>
      <c r="PK145" s="115"/>
      <c r="PL145" s="115"/>
      <c r="PM145" s="115"/>
      <c r="PN145" s="115"/>
      <c r="PO145" s="115"/>
      <c r="PP145" s="115"/>
      <c r="PQ145" s="115"/>
      <c r="PR145" s="115"/>
      <c r="PS145" s="115"/>
      <c r="PT145" s="115"/>
      <c r="PU145" s="115"/>
      <c r="PV145" s="115"/>
      <c r="PW145" s="115"/>
      <c r="PX145" s="115"/>
      <c r="PY145" s="115"/>
      <c r="PZ145" s="115"/>
      <c r="QA145" s="115"/>
      <c r="QB145" s="115"/>
      <c r="QC145" s="115"/>
      <c r="QD145" s="115"/>
      <c r="QE145" s="115"/>
      <c r="QF145" s="115"/>
      <c r="QG145" s="115"/>
      <c r="QH145" s="115"/>
      <c r="QI145" s="115"/>
      <c r="QJ145" s="115"/>
      <c r="QK145" s="115"/>
      <c r="QL145" s="115"/>
      <c r="QM145" s="115"/>
      <c r="QN145" s="115"/>
      <c r="QO145" s="115"/>
      <c r="QP145" s="115"/>
      <c r="QQ145" s="115"/>
      <c r="QR145" s="115"/>
      <c r="QS145" s="115"/>
      <c r="QT145" s="115"/>
      <c r="QU145" s="115"/>
      <c r="QV145" s="115"/>
      <c r="QW145" s="115"/>
      <c r="QX145" s="115"/>
      <c r="QY145" s="115"/>
      <c r="QZ145" s="115"/>
      <c r="RA145" s="115"/>
      <c r="RB145" s="115"/>
      <c r="RC145" s="115"/>
      <c r="RD145" s="115"/>
      <c r="RE145" s="115"/>
      <c r="RF145" s="115"/>
      <c r="RG145" s="115"/>
      <c r="RH145" s="115"/>
      <c r="RI145" s="115"/>
      <c r="RJ145" s="115"/>
      <c r="RK145" s="115"/>
      <c r="RL145" s="115"/>
      <c r="RM145" s="115"/>
      <c r="RN145" s="115"/>
      <c r="RO145" s="115"/>
      <c r="RP145" s="115"/>
      <c r="RQ145" s="115"/>
      <c r="RR145" s="115"/>
      <c r="RS145" s="115"/>
      <c r="RT145" s="115"/>
      <c r="RU145" s="115"/>
      <c r="RV145" s="115"/>
      <c r="RW145" s="115"/>
      <c r="RX145" s="115"/>
      <c r="RY145" s="115"/>
      <c r="RZ145" s="115"/>
      <c r="SA145" s="115"/>
      <c r="SB145" s="115"/>
      <c r="SC145" s="115"/>
      <c r="SD145" s="115"/>
      <c r="SE145" s="115"/>
      <c r="SF145" s="115"/>
      <c r="SG145" s="115"/>
      <c r="SH145" s="115"/>
      <c r="SI145" s="115"/>
      <c r="SJ145" s="115"/>
      <c r="SK145" s="115"/>
      <c r="SL145" s="115"/>
      <c r="SM145" s="115"/>
      <c r="SN145" s="115"/>
      <c r="SO145" s="115"/>
      <c r="SP145" s="115"/>
      <c r="SQ145" s="115"/>
      <c r="SR145" s="115"/>
      <c r="SS145" s="115"/>
      <c r="ST145" s="115"/>
      <c r="SU145" s="115"/>
      <c r="SV145" s="115"/>
      <c r="SW145" s="115"/>
      <c r="SX145" s="115"/>
      <c r="SY145" s="115"/>
      <c r="SZ145" s="115"/>
      <c r="TA145" s="115"/>
      <c r="TB145" s="115"/>
      <c r="TC145" s="115">
        <v>116</v>
      </c>
      <c r="TD145" s="115"/>
      <c r="TE145" s="115"/>
      <c r="TF145" s="115"/>
      <c r="TG145" s="115"/>
      <c r="TH145" s="115"/>
      <c r="TI145" s="115"/>
      <c r="TJ145" s="115"/>
      <c r="TK145" s="115"/>
      <c r="TL145" s="115"/>
      <c r="TM145" s="115"/>
      <c r="TN145" s="115"/>
      <c r="TO145" s="115"/>
      <c r="TP145" s="115"/>
      <c r="TQ145" s="115"/>
      <c r="TR145" s="115"/>
      <c r="TS145" s="115"/>
      <c r="TT145" s="115"/>
      <c r="TU145" s="115"/>
      <c r="TV145" s="115"/>
      <c r="TW145" s="115"/>
      <c r="TX145" s="115"/>
      <c r="TY145" s="115"/>
      <c r="TZ145" s="115"/>
      <c r="UA145" s="115"/>
      <c r="UB145" s="115"/>
      <c r="UC145" s="115"/>
      <c r="UD145" s="115"/>
      <c r="UE145" s="115"/>
      <c r="UF145" s="115"/>
      <c r="UG145" s="115"/>
      <c r="UH145" s="115"/>
      <c r="UI145" s="115"/>
      <c r="UJ145" s="115"/>
      <c r="UK145" s="115"/>
      <c r="UL145" s="115"/>
      <c r="UM145" s="115"/>
      <c r="UN145" s="115"/>
      <c r="UO145" s="115"/>
      <c r="UP145" s="115"/>
      <c r="UQ145" s="115"/>
      <c r="UR145" s="115"/>
      <c r="US145" s="115"/>
      <c r="UT145" s="115"/>
      <c r="UU145" s="115"/>
      <c r="UV145" s="115"/>
      <c r="UW145" s="115"/>
      <c r="UX145" s="115"/>
      <c r="UY145" s="115"/>
      <c r="UZ145" s="115"/>
      <c r="VA145" s="115"/>
      <c r="VB145" s="115"/>
      <c r="VC145" s="115"/>
      <c r="VD145" s="115"/>
      <c r="VE145" s="115"/>
      <c r="VF145" s="115"/>
      <c r="VG145" s="115"/>
      <c r="VH145" s="115"/>
      <c r="VI145" s="115"/>
      <c r="VJ145" s="115"/>
      <c r="VK145" s="115"/>
      <c r="VL145" s="115"/>
      <c r="VM145" s="115"/>
      <c r="VN145" s="115"/>
      <c r="VO145" s="115"/>
      <c r="VP145" s="115"/>
      <c r="VQ145" s="115"/>
      <c r="VR145" s="115"/>
      <c r="VS145" s="115"/>
      <c r="VT145" s="115"/>
      <c r="VU145" s="115"/>
      <c r="VV145" s="115"/>
      <c r="VW145" s="115"/>
      <c r="VX145" s="115"/>
      <c r="VY145" s="115"/>
      <c r="VZ145" s="115"/>
      <c r="WA145" s="115"/>
      <c r="WB145" s="115"/>
      <c r="WC145" s="115"/>
      <c r="WD145" s="115"/>
      <c r="WE145" s="115"/>
      <c r="WF145" s="115"/>
      <c r="WG145" s="115"/>
      <c r="WH145" s="115"/>
      <c r="WI145" s="115"/>
      <c r="WJ145" s="115"/>
      <c r="WK145" s="115"/>
      <c r="WL145" s="115"/>
      <c r="WM145" s="115"/>
      <c r="WN145" s="115"/>
      <c r="WO145" s="115"/>
      <c r="WP145" s="115"/>
      <c r="WQ145" s="115"/>
      <c r="WR145" s="115"/>
      <c r="WS145" s="115"/>
      <c r="WT145" s="115"/>
      <c r="WU145" s="115"/>
      <c r="WV145" s="115"/>
      <c r="WW145" s="115"/>
      <c r="WX145" s="115"/>
      <c r="WY145" s="115"/>
      <c r="WZ145" s="115"/>
      <c r="XA145" s="115"/>
      <c r="XB145" s="115"/>
      <c r="XC145" s="115"/>
      <c r="XD145" s="115"/>
      <c r="XE145" s="115"/>
      <c r="XF145" s="115"/>
      <c r="XG145" s="115"/>
      <c r="XH145" s="115"/>
      <c r="XI145" s="115"/>
      <c r="XJ145" s="115"/>
      <c r="XK145" s="115"/>
      <c r="XL145" s="115"/>
      <c r="XM145" s="115"/>
      <c r="XN145" s="115"/>
      <c r="XO145" s="115"/>
      <c r="XP145" s="115"/>
      <c r="XQ145" s="115"/>
      <c r="XR145" s="115"/>
      <c r="XS145" s="115"/>
      <c r="XT145" s="115"/>
      <c r="XU145" s="115"/>
      <c r="XV145" s="115"/>
      <c r="XW145" s="115"/>
      <c r="XX145" s="115"/>
      <c r="XY145" s="115"/>
      <c r="XZ145" s="115"/>
      <c r="YA145" s="115"/>
      <c r="YB145" s="115"/>
      <c r="YC145" s="115"/>
      <c r="YD145" s="115"/>
      <c r="YE145" s="115"/>
      <c r="YF145" s="115"/>
      <c r="YG145" s="115"/>
      <c r="YH145" s="115"/>
      <c r="YI145" s="115"/>
      <c r="YJ145" s="115"/>
      <c r="YK145" s="115"/>
      <c r="YL145" s="115"/>
      <c r="YM145" s="115"/>
      <c r="YN145" s="115"/>
      <c r="YO145" s="115"/>
      <c r="YP145" s="115"/>
      <c r="YQ145" s="115"/>
      <c r="YX145" s="22">
        <v>116</v>
      </c>
      <c r="YY145" s="22">
        <f>VLOOKUP(B145,'SCAFFOLDING MATERIAL OVERALL'!B147:S329,18,FALSE)</f>
        <v>4.8099999999999996</v>
      </c>
      <c r="YZ145" s="22">
        <f t="shared" si="2"/>
        <v>557.95999999999992</v>
      </c>
    </row>
    <row r="146" spans="1:676" s="22" customFormat="1" x14ac:dyDescent="0.25">
      <c r="A146" s="14">
        <v>142</v>
      </c>
      <c r="B146" s="15">
        <v>3000001062</v>
      </c>
      <c r="C146" s="16" t="s">
        <v>156</v>
      </c>
      <c r="D146" s="44" t="s">
        <v>12</v>
      </c>
      <c r="MJ146" s="22">
        <v>150</v>
      </c>
      <c r="OZ146" s="115"/>
      <c r="PA146" s="115"/>
      <c r="PB146" s="115"/>
      <c r="PC146" s="115"/>
      <c r="PD146" s="115"/>
      <c r="PE146" s="115"/>
      <c r="PF146" s="115"/>
      <c r="PG146" s="115"/>
      <c r="PH146" s="115"/>
      <c r="PI146" s="115"/>
      <c r="PJ146" s="115"/>
      <c r="PK146" s="115"/>
      <c r="PL146" s="115"/>
      <c r="PM146" s="115"/>
      <c r="PN146" s="115"/>
      <c r="PO146" s="115"/>
      <c r="PP146" s="115"/>
      <c r="PQ146" s="115"/>
      <c r="PR146" s="115"/>
      <c r="PS146" s="115"/>
      <c r="PT146" s="115"/>
      <c r="PU146" s="115"/>
      <c r="PV146" s="115"/>
      <c r="PW146" s="115"/>
      <c r="PX146" s="115"/>
      <c r="PY146" s="115"/>
      <c r="PZ146" s="115"/>
      <c r="QA146" s="115"/>
      <c r="QB146" s="115"/>
      <c r="QC146" s="115"/>
      <c r="QD146" s="115"/>
      <c r="QE146" s="115"/>
      <c r="QF146" s="115"/>
      <c r="QG146" s="115"/>
      <c r="QH146" s="115"/>
      <c r="QI146" s="115"/>
      <c r="QJ146" s="115"/>
      <c r="QK146" s="115"/>
      <c r="QL146" s="115"/>
      <c r="QM146" s="115"/>
      <c r="QN146" s="115"/>
      <c r="QO146" s="115"/>
      <c r="QP146" s="115"/>
      <c r="QQ146" s="115"/>
      <c r="QR146" s="115"/>
      <c r="QS146" s="115"/>
      <c r="QT146" s="115"/>
      <c r="QU146" s="115"/>
      <c r="QV146" s="115"/>
      <c r="QW146" s="115"/>
      <c r="QX146" s="115"/>
      <c r="QY146" s="115"/>
      <c r="QZ146" s="115"/>
      <c r="RA146" s="115"/>
      <c r="RB146" s="115"/>
      <c r="RC146" s="115"/>
      <c r="RD146" s="115"/>
      <c r="RE146" s="115"/>
      <c r="RF146" s="115"/>
      <c r="RG146" s="115"/>
      <c r="RH146" s="115"/>
      <c r="RI146" s="115"/>
      <c r="RJ146" s="115"/>
      <c r="RK146" s="115"/>
      <c r="RL146" s="115"/>
      <c r="RM146" s="115"/>
      <c r="RN146" s="115"/>
      <c r="RO146" s="115"/>
      <c r="RP146" s="115"/>
      <c r="RQ146" s="115"/>
      <c r="RR146" s="115"/>
      <c r="RS146" s="115"/>
      <c r="RT146" s="115"/>
      <c r="RU146" s="115"/>
      <c r="RV146" s="115"/>
      <c r="RW146" s="115"/>
      <c r="RX146" s="115"/>
      <c r="RY146" s="115"/>
      <c r="RZ146" s="115"/>
      <c r="SA146" s="115"/>
      <c r="SB146" s="115"/>
      <c r="SC146" s="115"/>
      <c r="SD146" s="115"/>
      <c r="SE146" s="115"/>
      <c r="SF146" s="115"/>
      <c r="SG146" s="115"/>
      <c r="SH146" s="115"/>
      <c r="SI146" s="115"/>
      <c r="SJ146" s="115"/>
      <c r="SK146" s="115"/>
      <c r="SL146" s="115"/>
      <c r="SM146" s="115"/>
      <c r="SN146" s="115"/>
      <c r="SO146" s="115"/>
      <c r="SP146" s="115"/>
      <c r="SQ146" s="115"/>
      <c r="SR146" s="115"/>
      <c r="SS146" s="115"/>
      <c r="ST146" s="115"/>
      <c r="SU146" s="115"/>
      <c r="SV146" s="115"/>
      <c r="SW146" s="115"/>
      <c r="SX146" s="115"/>
      <c r="SY146" s="115"/>
      <c r="SZ146" s="115"/>
      <c r="TA146" s="115"/>
      <c r="TB146" s="115"/>
      <c r="TC146" s="115"/>
      <c r="TD146" s="115"/>
      <c r="TE146" s="115"/>
      <c r="TF146" s="115"/>
      <c r="TG146" s="115"/>
      <c r="TH146" s="115"/>
      <c r="TI146" s="115"/>
      <c r="TJ146" s="115"/>
      <c r="TK146" s="115"/>
      <c r="TL146" s="115">
        <v>309</v>
      </c>
      <c r="TM146" s="115">
        <v>457</v>
      </c>
      <c r="TN146" s="115"/>
      <c r="TO146" s="115"/>
      <c r="TP146" s="115"/>
      <c r="TQ146" s="115"/>
      <c r="TR146" s="115"/>
      <c r="TS146" s="115"/>
      <c r="TT146" s="115"/>
      <c r="TU146" s="115"/>
      <c r="TV146" s="115"/>
      <c r="TW146" s="115"/>
      <c r="TX146" s="115"/>
      <c r="TY146" s="115"/>
      <c r="TZ146" s="115"/>
      <c r="UA146" s="115"/>
      <c r="UB146" s="115"/>
      <c r="UC146" s="115"/>
      <c r="UD146" s="115"/>
      <c r="UE146" s="115"/>
      <c r="UF146" s="115"/>
      <c r="UG146" s="115"/>
      <c r="UH146" s="115"/>
      <c r="UI146" s="115"/>
      <c r="UJ146" s="115"/>
      <c r="UK146" s="115"/>
      <c r="UL146" s="115"/>
      <c r="UM146" s="115"/>
      <c r="UN146" s="115"/>
      <c r="UO146" s="115"/>
      <c r="UP146" s="115"/>
      <c r="UQ146" s="115"/>
      <c r="UR146" s="115"/>
      <c r="US146" s="115"/>
      <c r="UT146" s="115"/>
      <c r="UU146" s="115"/>
      <c r="UV146" s="115"/>
      <c r="UW146" s="115"/>
      <c r="UX146" s="115"/>
      <c r="UY146" s="115"/>
      <c r="UZ146" s="115"/>
      <c r="VA146" s="115"/>
      <c r="VB146" s="115"/>
      <c r="VC146" s="115"/>
      <c r="VD146" s="115"/>
      <c r="VE146" s="115"/>
      <c r="VF146" s="115"/>
      <c r="VG146" s="115"/>
      <c r="VH146" s="115"/>
      <c r="VI146" s="115"/>
      <c r="VJ146" s="115"/>
      <c r="VK146" s="115"/>
      <c r="VL146" s="115"/>
      <c r="VM146" s="115"/>
      <c r="VN146" s="115"/>
      <c r="VO146" s="115"/>
      <c r="VP146" s="115"/>
      <c r="VQ146" s="115"/>
      <c r="VR146" s="115"/>
      <c r="VS146" s="115"/>
      <c r="VT146" s="115"/>
      <c r="VU146" s="115"/>
      <c r="VV146" s="115"/>
      <c r="VW146" s="115"/>
      <c r="VX146" s="115"/>
      <c r="VY146" s="115"/>
      <c r="VZ146" s="115"/>
      <c r="WA146" s="115"/>
      <c r="WB146" s="115"/>
      <c r="WC146" s="115"/>
      <c r="WD146" s="115"/>
      <c r="WE146" s="115"/>
      <c r="WF146" s="115"/>
      <c r="WG146" s="115"/>
      <c r="WH146" s="115"/>
      <c r="WI146" s="115"/>
      <c r="WJ146" s="115"/>
      <c r="WK146" s="115"/>
      <c r="WL146" s="115"/>
      <c r="WM146" s="115"/>
      <c r="WN146" s="115"/>
      <c r="WO146" s="115"/>
      <c r="WP146" s="115"/>
      <c r="WQ146" s="115"/>
      <c r="WR146" s="115"/>
      <c r="WS146" s="115"/>
      <c r="WT146" s="115"/>
      <c r="WU146" s="115"/>
      <c r="WV146" s="115"/>
      <c r="WW146" s="115"/>
      <c r="WX146" s="115"/>
      <c r="WY146" s="115"/>
      <c r="WZ146" s="115"/>
      <c r="XA146" s="115"/>
      <c r="XB146" s="115"/>
      <c r="XC146" s="115"/>
      <c r="XD146" s="115"/>
      <c r="XE146" s="115"/>
      <c r="XF146" s="115"/>
      <c r="XG146" s="115"/>
      <c r="XH146" s="115"/>
      <c r="XI146" s="115"/>
      <c r="XJ146" s="115"/>
      <c r="XK146" s="115"/>
      <c r="XL146" s="115"/>
      <c r="XM146" s="115"/>
      <c r="XN146" s="115"/>
      <c r="XO146" s="115"/>
      <c r="XP146" s="115"/>
      <c r="XQ146" s="115"/>
      <c r="XR146" s="115"/>
      <c r="XS146" s="115"/>
      <c r="XT146" s="115"/>
      <c r="XU146" s="115"/>
      <c r="XV146" s="115"/>
      <c r="XW146" s="115"/>
      <c r="XX146" s="115"/>
      <c r="XY146" s="115"/>
      <c r="XZ146" s="115"/>
      <c r="YA146" s="115"/>
      <c r="YB146" s="115"/>
      <c r="YC146" s="115"/>
      <c r="YD146" s="115"/>
      <c r="YE146" s="115"/>
      <c r="YF146" s="115"/>
      <c r="YG146" s="115"/>
      <c r="YH146" s="115"/>
      <c r="YI146" s="115"/>
      <c r="YJ146" s="115"/>
      <c r="YK146" s="115"/>
      <c r="YL146" s="115"/>
      <c r="YM146" s="115"/>
      <c r="YN146" s="115"/>
      <c r="YO146" s="115"/>
      <c r="YP146" s="115"/>
      <c r="YQ146" s="115"/>
      <c r="YX146" s="22">
        <v>916</v>
      </c>
      <c r="YY146" s="22">
        <f>VLOOKUP(B146,'SCAFFOLDING MATERIAL OVERALL'!B148:S330,18,FALSE)</f>
        <v>5.08</v>
      </c>
      <c r="YZ146" s="22">
        <f t="shared" si="2"/>
        <v>4653.28</v>
      </c>
    </row>
    <row r="147" spans="1:676" s="22" customFormat="1" x14ac:dyDescent="0.25">
      <c r="A147" s="17">
        <v>143</v>
      </c>
      <c r="B147" s="15">
        <v>1000006776</v>
      </c>
      <c r="C147" s="16" t="s">
        <v>157</v>
      </c>
      <c r="D147" s="44" t="s">
        <v>12</v>
      </c>
      <c r="OZ147" s="115"/>
      <c r="PA147" s="115"/>
      <c r="PB147" s="115"/>
      <c r="PC147" s="115"/>
      <c r="PD147" s="115"/>
      <c r="PE147" s="115"/>
      <c r="PF147" s="115"/>
      <c r="PG147" s="115"/>
      <c r="PH147" s="115"/>
      <c r="PI147" s="115"/>
      <c r="PJ147" s="115"/>
      <c r="PK147" s="115"/>
      <c r="PL147" s="115"/>
      <c r="PM147" s="115"/>
      <c r="PN147" s="115"/>
      <c r="PO147" s="115"/>
      <c r="PP147" s="115"/>
      <c r="PQ147" s="115"/>
      <c r="PR147" s="115"/>
      <c r="PS147" s="115"/>
      <c r="PT147" s="115"/>
      <c r="PU147" s="115"/>
      <c r="PV147" s="115"/>
      <c r="PW147" s="115"/>
      <c r="PX147" s="115"/>
      <c r="PY147" s="115"/>
      <c r="PZ147" s="115"/>
      <c r="QA147" s="115"/>
      <c r="QB147" s="115"/>
      <c r="QC147" s="115"/>
      <c r="QD147" s="115"/>
      <c r="QE147" s="115"/>
      <c r="QF147" s="115"/>
      <c r="QG147" s="115"/>
      <c r="QH147" s="115"/>
      <c r="QI147" s="115"/>
      <c r="QJ147" s="115"/>
      <c r="QK147" s="115"/>
      <c r="QL147" s="115"/>
      <c r="QM147" s="115"/>
      <c r="QN147" s="115"/>
      <c r="QO147" s="115"/>
      <c r="QP147" s="115"/>
      <c r="QQ147" s="115"/>
      <c r="QR147" s="115"/>
      <c r="QS147" s="115"/>
      <c r="QT147" s="115"/>
      <c r="QU147" s="115"/>
      <c r="QV147" s="115"/>
      <c r="QW147" s="115"/>
      <c r="QX147" s="115"/>
      <c r="QY147" s="115"/>
      <c r="QZ147" s="115"/>
      <c r="RA147" s="115"/>
      <c r="RB147" s="115"/>
      <c r="RC147" s="115"/>
      <c r="RD147" s="115"/>
      <c r="RE147" s="115"/>
      <c r="RF147" s="115"/>
      <c r="RG147" s="115"/>
      <c r="RH147" s="115"/>
      <c r="RI147" s="115"/>
      <c r="RJ147" s="115"/>
      <c r="RK147" s="115"/>
      <c r="RL147" s="115"/>
      <c r="RM147" s="115"/>
      <c r="RN147" s="115"/>
      <c r="RO147" s="115"/>
      <c r="RP147" s="115"/>
      <c r="RQ147" s="115"/>
      <c r="RR147" s="115"/>
      <c r="RS147" s="115"/>
      <c r="RT147" s="115"/>
      <c r="RU147" s="115"/>
      <c r="RV147" s="115"/>
      <c r="RW147" s="115"/>
      <c r="RX147" s="115"/>
      <c r="RY147" s="115"/>
      <c r="RZ147" s="115"/>
      <c r="SA147" s="115"/>
      <c r="SB147" s="115"/>
      <c r="SC147" s="115"/>
      <c r="SD147" s="115"/>
      <c r="SE147" s="115"/>
      <c r="SF147" s="115"/>
      <c r="SG147" s="115"/>
      <c r="SH147" s="115"/>
      <c r="SI147" s="115"/>
      <c r="SJ147" s="115"/>
      <c r="SK147" s="115"/>
      <c r="SL147" s="115"/>
      <c r="SM147" s="115"/>
      <c r="SN147" s="115"/>
      <c r="SO147" s="115"/>
      <c r="SP147" s="115"/>
      <c r="SQ147" s="115"/>
      <c r="SR147" s="115"/>
      <c r="SS147" s="115"/>
      <c r="ST147" s="115"/>
      <c r="SU147" s="115"/>
      <c r="SV147" s="115"/>
      <c r="SW147" s="115"/>
      <c r="SX147" s="115"/>
      <c r="SY147" s="115"/>
      <c r="SZ147" s="115"/>
      <c r="TA147" s="115"/>
      <c r="TB147" s="115"/>
      <c r="TC147" s="115"/>
      <c r="TD147" s="115"/>
      <c r="TE147" s="115"/>
      <c r="TF147" s="115"/>
      <c r="TG147" s="115"/>
      <c r="TH147" s="115"/>
      <c r="TI147" s="115"/>
      <c r="TJ147" s="115"/>
      <c r="TK147" s="115"/>
      <c r="TL147" s="115"/>
      <c r="TM147" s="115"/>
      <c r="TN147" s="115"/>
      <c r="TO147" s="115"/>
      <c r="TP147" s="115"/>
      <c r="TQ147" s="115"/>
      <c r="TR147" s="115"/>
      <c r="TS147" s="115"/>
      <c r="TT147" s="115"/>
      <c r="TU147" s="115"/>
      <c r="TV147" s="115"/>
      <c r="TW147" s="115"/>
      <c r="TX147" s="115"/>
      <c r="TY147" s="115"/>
      <c r="TZ147" s="115"/>
      <c r="UA147" s="115"/>
      <c r="UB147" s="115"/>
      <c r="UC147" s="115"/>
      <c r="UD147" s="115"/>
      <c r="UE147" s="115"/>
      <c r="UF147" s="115"/>
      <c r="UG147" s="115"/>
      <c r="UH147" s="115"/>
      <c r="UI147" s="115"/>
      <c r="UJ147" s="115"/>
      <c r="UK147" s="115"/>
      <c r="UL147" s="115"/>
      <c r="UM147" s="115"/>
      <c r="UN147" s="115"/>
      <c r="UO147" s="115"/>
      <c r="UP147" s="115"/>
      <c r="UQ147" s="115"/>
      <c r="UR147" s="115"/>
      <c r="US147" s="115"/>
      <c r="UT147" s="115"/>
      <c r="UU147" s="115"/>
      <c r="UV147" s="115"/>
      <c r="UW147" s="115"/>
      <c r="UX147" s="115"/>
      <c r="UY147" s="115"/>
      <c r="UZ147" s="115"/>
      <c r="VA147" s="115"/>
      <c r="VB147" s="115"/>
      <c r="VC147" s="115"/>
      <c r="VD147" s="115"/>
      <c r="VE147" s="115"/>
      <c r="VF147" s="115"/>
      <c r="VG147" s="115"/>
      <c r="VH147" s="115"/>
      <c r="VI147" s="115"/>
      <c r="VJ147" s="115"/>
      <c r="VK147" s="115"/>
      <c r="VL147" s="115"/>
      <c r="VM147" s="115"/>
      <c r="VN147" s="115"/>
      <c r="VO147" s="115"/>
      <c r="VP147" s="115"/>
      <c r="VQ147" s="115"/>
      <c r="VR147" s="115"/>
      <c r="VS147" s="115"/>
      <c r="VT147" s="115"/>
      <c r="VU147" s="115"/>
      <c r="VV147" s="115"/>
      <c r="VW147" s="115"/>
      <c r="VX147" s="115"/>
      <c r="VY147" s="115"/>
      <c r="VZ147" s="115"/>
      <c r="WA147" s="115"/>
      <c r="WB147" s="115"/>
      <c r="WC147" s="115"/>
      <c r="WD147" s="115"/>
      <c r="WE147" s="115"/>
      <c r="WF147" s="115"/>
      <c r="WG147" s="115"/>
      <c r="WH147" s="115"/>
      <c r="WI147" s="115"/>
      <c r="WJ147" s="115"/>
      <c r="WK147" s="115"/>
      <c r="WL147" s="115"/>
      <c r="WM147" s="115"/>
      <c r="WN147" s="115"/>
      <c r="WO147" s="115"/>
      <c r="WP147" s="115"/>
      <c r="WQ147" s="115"/>
      <c r="WR147" s="115"/>
      <c r="WS147" s="115"/>
      <c r="WT147" s="115"/>
      <c r="WU147" s="115"/>
      <c r="WV147" s="115"/>
      <c r="WW147" s="115"/>
      <c r="WX147" s="115"/>
      <c r="WY147" s="115"/>
      <c r="WZ147" s="115"/>
      <c r="XA147" s="115"/>
      <c r="XB147" s="115"/>
      <c r="XC147" s="115"/>
      <c r="XD147" s="115"/>
      <c r="XE147" s="115"/>
      <c r="XF147" s="115"/>
      <c r="XG147" s="115"/>
      <c r="XH147" s="115"/>
      <c r="XI147" s="115"/>
      <c r="XJ147" s="115"/>
      <c r="XK147" s="115"/>
      <c r="XL147" s="115"/>
      <c r="XM147" s="115"/>
      <c r="XN147" s="115"/>
      <c r="XO147" s="115"/>
      <c r="XP147" s="115"/>
      <c r="XQ147" s="115"/>
      <c r="XR147" s="115"/>
      <c r="XS147" s="115"/>
      <c r="XT147" s="115"/>
      <c r="XU147" s="115"/>
      <c r="XV147" s="115"/>
      <c r="XW147" s="115"/>
      <c r="XX147" s="115"/>
      <c r="XY147" s="115"/>
      <c r="XZ147" s="115"/>
      <c r="YA147" s="115"/>
      <c r="YB147" s="115"/>
      <c r="YC147" s="115"/>
      <c r="YD147" s="115"/>
      <c r="YE147" s="115"/>
      <c r="YF147" s="115"/>
      <c r="YG147" s="115"/>
      <c r="YH147" s="115"/>
      <c r="YI147" s="115"/>
      <c r="YJ147" s="115"/>
      <c r="YK147" s="115"/>
      <c r="YL147" s="115"/>
      <c r="YM147" s="115"/>
      <c r="YN147" s="115"/>
      <c r="YO147" s="115"/>
      <c r="YP147" s="115"/>
      <c r="YQ147" s="115"/>
      <c r="YX147" s="22">
        <v>0</v>
      </c>
      <c r="YY147" s="22">
        <f>VLOOKUP(B147,'SCAFFOLDING MATERIAL OVERALL'!B149:S331,18,FALSE)</f>
        <v>5.65</v>
      </c>
      <c r="YZ147" s="22">
        <f t="shared" si="2"/>
        <v>0</v>
      </c>
    </row>
    <row r="148" spans="1:676" s="22" customFormat="1" x14ac:dyDescent="0.25">
      <c r="A148" s="14">
        <v>144</v>
      </c>
      <c r="B148" s="15">
        <v>3000002634</v>
      </c>
      <c r="C148" s="16" t="s">
        <v>158</v>
      </c>
      <c r="D148" s="44" t="s">
        <v>12</v>
      </c>
      <c r="H148" s="22">
        <v>150</v>
      </c>
      <c r="MJ148" s="22">
        <v>100</v>
      </c>
      <c r="OZ148" s="115"/>
      <c r="PA148" s="115"/>
      <c r="PB148" s="115"/>
      <c r="PC148" s="115"/>
      <c r="PD148" s="115"/>
      <c r="PE148" s="115"/>
      <c r="PF148" s="115"/>
      <c r="PG148" s="115"/>
      <c r="PH148" s="115"/>
      <c r="PI148" s="115"/>
      <c r="PJ148" s="115"/>
      <c r="PK148" s="115"/>
      <c r="PL148" s="115"/>
      <c r="PM148" s="115"/>
      <c r="PN148" s="115"/>
      <c r="PO148" s="115"/>
      <c r="PP148" s="115"/>
      <c r="PQ148" s="115"/>
      <c r="PR148" s="115"/>
      <c r="PS148" s="115"/>
      <c r="PT148" s="115"/>
      <c r="PU148" s="115"/>
      <c r="PV148" s="115"/>
      <c r="PW148" s="115"/>
      <c r="PX148" s="115"/>
      <c r="PY148" s="115"/>
      <c r="PZ148" s="115"/>
      <c r="QA148" s="115"/>
      <c r="QB148" s="115"/>
      <c r="QC148" s="115"/>
      <c r="QD148" s="115"/>
      <c r="QE148" s="115"/>
      <c r="QF148" s="115"/>
      <c r="QG148" s="115"/>
      <c r="QH148" s="115"/>
      <c r="QI148" s="115"/>
      <c r="QJ148" s="115"/>
      <c r="QK148" s="115"/>
      <c r="QL148" s="115"/>
      <c r="QM148" s="115"/>
      <c r="QN148" s="115"/>
      <c r="QO148" s="115"/>
      <c r="QP148" s="115"/>
      <c r="QQ148" s="115"/>
      <c r="QR148" s="115"/>
      <c r="QS148" s="115"/>
      <c r="QT148" s="115"/>
      <c r="QU148" s="115"/>
      <c r="QV148" s="115"/>
      <c r="QW148" s="115"/>
      <c r="QX148" s="115"/>
      <c r="QY148" s="115"/>
      <c r="QZ148" s="115"/>
      <c r="RA148" s="115"/>
      <c r="RB148" s="115"/>
      <c r="RC148" s="115"/>
      <c r="RD148" s="115"/>
      <c r="RE148" s="115"/>
      <c r="RF148" s="115"/>
      <c r="RG148" s="115"/>
      <c r="RH148" s="115"/>
      <c r="RI148" s="115"/>
      <c r="RJ148" s="115"/>
      <c r="RK148" s="115"/>
      <c r="RL148" s="115"/>
      <c r="RM148" s="115"/>
      <c r="RN148" s="115"/>
      <c r="RO148" s="115"/>
      <c r="RP148" s="115"/>
      <c r="RQ148" s="115"/>
      <c r="RR148" s="115"/>
      <c r="RS148" s="115"/>
      <c r="RT148" s="115"/>
      <c r="RU148" s="115"/>
      <c r="RV148" s="115"/>
      <c r="RW148" s="115"/>
      <c r="RX148" s="115"/>
      <c r="RY148" s="115"/>
      <c r="RZ148" s="115"/>
      <c r="SA148" s="115"/>
      <c r="SB148" s="115"/>
      <c r="SC148" s="115"/>
      <c r="SD148" s="115"/>
      <c r="SE148" s="115"/>
      <c r="SF148" s="115"/>
      <c r="SG148" s="115"/>
      <c r="SH148" s="115"/>
      <c r="SI148" s="115"/>
      <c r="SJ148" s="115"/>
      <c r="SK148" s="115"/>
      <c r="SL148" s="115"/>
      <c r="SM148" s="115"/>
      <c r="SN148" s="115"/>
      <c r="SO148" s="115"/>
      <c r="SP148" s="115"/>
      <c r="SQ148" s="115"/>
      <c r="SR148" s="115"/>
      <c r="SS148" s="115"/>
      <c r="ST148" s="115"/>
      <c r="SU148" s="115"/>
      <c r="SV148" s="115"/>
      <c r="SW148" s="115"/>
      <c r="SX148" s="115"/>
      <c r="SY148" s="115"/>
      <c r="SZ148" s="115"/>
      <c r="TA148" s="115"/>
      <c r="TB148" s="115"/>
      <c r="TC148" s="115"/>
      <c r="TD148" s="115"/>
      <c r="TE148" s="115"/>
      <c r="TF148" s="115"/>
      <c r="TG148" s="115"/>
      <c r="TH148" s="115">
        <v>22</v>
      </c>
      <c r="TI148" s="115"/>
      <c r="TJ148" s="115">
        <v>130</v>
      </c>
      <c r="TK148" s="115"/>
      <c r="TL148" s="115"/>
      <c r="TM148" s="115"/>
      <c r="TN148" s="115"/>
      <c r="TO148" s="115"/>
      <c r="TP148" s="115"/>
      <c r="TQ148" s="115"/>
      <c r="TR148" s="115"/>
      <c r="TS148" s="115"/>
      <c r="TT148" s="115"/>
      <c r="TU148" s="115"/>
      <c r="TV148" s="115"/>
      <c r="TW148" s="115"/>
      <c r="TX148" s="115"/>
      <c r="TY148" s="115"/>
      <c r="TZ148" s="115"/>
      <c r="UA148" s="115"/>
      <c r="UB148" s="115"/>
      <c r="UC148" s="115"/>
      <c r="UD148" s="115"/>
      <c r="UE148" s="115"/>
      <c r="UF148" s="115"/>
      <c r="UG148" s="115"/>
      <c r="UH148" s="115"/>
      <c r="UI148" s="115"/>
      <c r="UJ148" s="115"/>
      <c r="UK148" s="115"/>
      <c r="UL148" s="115"/>
      <c r="UM148" s="115"/>
      <c r="UN148" s="115"/>
      <c r="UO148" s="115"/>
      <c r="UP148" s="115"/>
      <c r="UQ148" s="115"/>
      <c r="UR148" s="115"/>
      <c r="US148" s="115"/>
      <c r="UT148" s="115"/>
      <c r="UU148" s="115"/>
      <c r="UV148" s="115"/>
      <c r="UW148" s="115"/>
      <c r="UX148" s="115"/>
      <c r="UY148" s="115"/>
      <c r="UZ148" s="115"/>
      <c r="VA148" s="115"/>
      <c r="VB148" s="115"/>
      <c r="VC148" s="115"/>
      <c r="VD148" s="115"/>
      <c r="VE148" s="115"/>
      <c r="VF148" s="115"/>
      <c r="VG148" s="115"/>
      <c r="VH148" s="115"/>
      <c r="VI148" s="115"/>
      <c r="VJ148" s="115"/>
      <c r="VK148" s="115"/>
      <c r="VL148" s="115"/>
      <c r="VM148" s="115"/>
      <c r="VN148" s="115"/>
      <c r="VO148" s="115"/>
      <c r="VP148" s="115"/>
      <c r="VQ148" s="115"/>
      <c r="VR148" s="115"/>
      <c r="VS148" s="115"/>
      <c r="VT148" s="115"/>
      <c r="VU148" s="115"/>
      <c r="VV148" s="115"/>
      <c r="VW148" s="115"/>
      <c r="VX148" s="115"/>
      <c r="VY148" s="115"/>
      <c r="VZ148" s="115"/>
      <c r="WA148" s="115"/>
      <c r="WB148" s="115"/>
      <c r="WC148" s="115"/>
      <c r="WD148" s="115"/>
      <c r="WE148" s="115"/>
      <c r="WF148" s="115"/>
      <c r="WG148" s="115"/>
      <c r="WH148" s="115"/>
      <c r="WI148" s="115"/>
      <c r="WJ148" s="115"/>
      <c r="WK148" s="115"/>
      <c r="WL148" s="115"/>
      <c r="WM148" s="115"/>
      <c r="WN148" s="115"/>
      <c r="WO148" s="115"/>
      <c r="WP148" s="115"/>
      <c r="WQ148" s="115"/>
      <c r="WR148" s="115"/>
      <c r="WS148" s="115"/>
      <c r="WT148" s="115"/>
      <c r="WU148" s="115"/>
      <c r="WV148" s="115"/>
      <c r="WW148" s="115"/>
      <c r="WX148" s="115"/>
      <c r="WY148" s="115"/>
      <c r="WZ148" s="115"/>
      <c r="XA148" s="115"/>
      <c r="XB148" s="115"/>
      <c r="XC148" s="115"/>
      <c r="XD148" s="115"/>
      <c r="XE148" s="115"/>
      <c r="XF148" s="115"/>
      <c r="XG148" s="115"/>
      <c r="XH148" s="115"/>
      <c r="XI148" s="115"/>
      <c r="XJ148" s="115"/>
      <c r="XK148" s="115"/>
      <c r="XL148" s="115"/>
      <c r="XM148" s="115"/>
      <c r="XN148" s="115"/>
      <c r="XO148" s="115"/>
      <c r="XP148" s="115"/>
      <c r="XQ148" s="115"/>
      <c r="XR148" s="115"/>
      <c r="XS148" s="115"/>
      <c r="XT148" s="115"/>
      <c r="XU148" s="115"/>
      <c r="XV148" s="115"/>
      <c r="XW148" s="115"/>
      <c r="XX148" s="115"/>
      <c r="XY148" s="115"/>
      <c r="XZ148" s="115"/>
      <c r="YA148" s="115"/>
      <c r="YB148" s="115"/>
      <c r="YC148" s="115"/>
      <c r="YD148" s="115"/>
      <c r="YE148" s="115"/>
      <c r="YF148" s="115"/>
      <c r="YG148" s="115"/>
      <c r="YH148" s="115"/>
      <c r="YI148" s="115"/>
      <c r="YJ148" s="115"/>
      <c r="YK148" s="115"/>
      <c r="YL148" s="115"/>
      <c r="YM148" s="115"/>
      <c r="YN148" s="115"/>
      <c r="YO148" s="115"/>
      <c r="YP148" s="115"/>
      <c r="YQ148" s="115"/>
      <c r="YX148" s="22">
        <v>402</v>
      </c>
      <c r="YY148" s="22">
        <f>VLOOKUP(B148,'SCAFFOLDING MATERIAL OVERALL'!B150:S332,18,FALSE)</f>
        <v>6.5250000000000004</v>
      </c>
      <c r="YZ148" s="22">
        <f t="shared" si="2"/>
        <v>2623.05</v>
      </c>
    </row>
    <row r="149" spans="1:676" s="22" customFormat="1" x14ac:dyDescent="0.25">
      <c r="A149" s="14">
        <v>145</v>
      </c>
      <c r="B149" s="15">
        <v>3000002636</v>
      </c>
      <c r="C149" s="16" t="s">
        <v>159</v>
      </c>
      <c r="D149" s="44" t="s">
        <v>12</v>
      </c>
      <c r="BJ149" s="22">
        <v>16</v>
      </c>
      <c r="MJ149" s="22">
        <v>71</v>
      </c>
      <c r="OZ149" s="115"/>
      <c r="PA149" s="115"/>
      <c r="PB149" s="115"/>
      <c r="PC149" s="115"/>
      <c r="PD149" s="115"/>
      <c r="PE149" s="115"/>
      <c r="PF149" s="115"/>
      <c r="PG149" s="115"/>
      <c r="PH149" s="115"/>
      <c r="PI149" s="115"/>
      <c r="PJ149" s="115"/>
      <c r="PK149" s="115"/>
      <c r="PL149" s="115"/>
      <c r="PM149" s="115"/>
      <c r="PN149" s="115"/>
      <c r="PO149" s="115"/>
      <c r="PP149" s="115"/>
      <c r="PQ149" s="115"/>
      <c r="PR149" s="115"/>
      <c r="PS149" s="115"/>
      <c r="PT149" s="115"/>
      <c r="PU149" s="115"/>
      <c r="PV149" s="115"/>
      <c r="PW149" s="115"/>
      <c r="PX149" s="115"/>
      <c r="PY149" s="115"/>
      <c r="PZ149" s="115"/>
      <c r="QA149" s="115"/>
      <c r="QB149" s="115"/>
      <c r="QC149" s="115"/>
      <c r="QD149" s="115"/>
      <c r="QE149" s="115"/>
      <c r="QF149" s="115"/>
      <c r="QG149" s="115"/>
      <c r="QH149" s="115"/>
      <c r="QI149" s="115"/>
      <c r="QJ149" s="115"/>
      <c r="QK149" s="115"/>
      <c r="QL149" s="115"/>
      <c r="QM149" s="115"/>
      <c r="QN149" s="115"/>
      <c r="QO149" s="115"/>
      <c r="QP149" s="115"/>
      <c r="QQ149" s="115"/>
      <c r="QR149" s="115"/>
      <c r="QS149" s="115"/>
      <c r="QT149" s="115"/>
      <c r="QU149" s="115"/>
      <c r="QV149" s="115"/>
      <c r="QW149" s="115"/>
      <c r="QX149" s="115"/>
      <c r="QY149" s="115"/>
      <c r="QZ149" s="115"/>
      <c r="RA149" s="115"/>
      <c r="RB149" s="115"/>
      <c r="RC149" s="115"/>
      <c r="RD149" s="115"/>
      <c r="RE149" s="115"/>
      <c r="RF149" s="115"/>
      <c r="RG149" s="115"/>
      <c r="RH149" s="115"/>
      <c r="RI149" s="115"/>
      <c r="RJ149" s="115"/>
      <c r="RK149" s="115"/>
      <c r="RL149" s="115"/>
      <c r="RM149" s="115"/>
      <c r="RN149" s="115"/>
      <c r="RO149" s="115"/>
      <c r="RP149" s="115"/>
      <c r="RQ149" s="115"/>
      <c r="RR149" s="115"/>
      <c r="RS149" s="115"/>
      <c r="RT149" s="115"/>
      <c r="RU149" s="115"/>
      <c r="RV149" s="115"/>
      <c r="RW149" s="115"/>
      <c r="RX149" s="115"/>
      <c r="RY149" s="115"/>
      <c r="RZ149" s="115"/>
      <c r="SA149" s="115"/>
      <c r="SB149" s="115"/>
      <c r="SC149" s="115"/>
      <c r="SD149" s="115"/>
      <c r="SE149" s="115"/>
      <c r="SF149" s="115"/>
      <c r="SG149" s="115"/>
      <c r="SH149" s="115"/>
      <c r="SI149" s="115"/>
      <c r="SJ149" s="115"/>
      <c r="SK149" s="115"/>
      <c r="SL149" s="115"/>
      <c r="SM149" s="115"/>
      <c r="SN149" s="115"/>
      <c r="SO149" s="115"/>
      <c r="SP149" s="115"/>
      <c r="SQ149" s="115"/>
      <c r="SR149" s="115"/>
      <c r="SS149" s="115"/>
      <c r="ST149" s="115"/>
      <c r="SU149" s="115"/>
      <c r="SV149" s="115"/>
      <c r="SW149" s="115"/>
      <c r="SX149" s="115"/>
      <c r="SY149" s="115"/>
      <c r="SZ149" s="115"/>
      <c r="TA149" s="115"/>
      <c r="TB149" s="115"/>
      <c r="TC149" s="115"/>
      <c r="TD149" s="115"/>
      <c r="TE149" s="115"/>
      <c r="TF149" s="115"/>
      <c r="TG149" s="115"/>
      <c r="TH149" s="115"/>
      <c r="TI149" s="115"/>
      <c r="TJ149" s="115"/>
      <c r="TK149" s="115"/>
      <c r="TL149" s="115"/>
      <c r="TM149" s="115"/>
      <c r="TN149" s="115"/>
      <c r="TO149" s="115"/>
      <c r="TP149" s="115"/>
      <c r="TQ149" s="115"/>
      <c r="TR149" s="115"/>
      <c r="TS149" s="115"/>
      <c r="TT149" s="115"/>
      <c r="TU149" s="115"/>
      <c r="TV149" s="115"/>
      <c r="TW149" s="115"/>
      <c r="TX149" s="115"/>
      <c r="TY149" s="115"/>
      <c r="TZ149" s="115"/>
      <c r="UA149" s="115"/>
      <c r="UB149" s="115"/>
      <c r="UC149" s="115"/>
      <c r="UD149" s="115"/>
      <c r="UE149" s="115"/>
      <c r="UF149" s="115"/>
      <c r="UG149" s="115"/>
      <c r="UH149" s="115"/>
      <c r="UI149" s="115"/>
      <c r="UJ149" s="115"/>
      <c r="UK149" s="115"/>
      <c r="UL149" s="115"/>
      <c r="UM149" s="115"/>
      <c r="UN149" s="115"/>
      <c r="UO149" s="115"/>
      <c r="UP149" s="115"/>
      <c r="UQ149" s="115"/>
      <c r="UR149" s="115"/>
      <c r="US149" s="115"/>
      <c r="UT149" s="115"/>
      <c r="UU149" s="115"/>
      <c r="UV149" s="115"/>
      <c r="UW149" s="115"/>
      <c r="UX149" s="115"/>
      <c r="UY149" s="115"/>
      <c r="UZ149" s="115"/>
      <c r="VA149" s="115"/>
      <c r="VB149" s="115"/>
      <c r="VC149" s="115"/>
      <c r="VD149" s="115"/>
      <c r="VE149" s="115"/>
      <c r="VF149" s="115"/>
      <c r="VG149" s="115"/>
      <c r="VH149" s="115"/>
      <c r="VI149" s="115"/>
      <c r="VJ149" s="115"/>
      <c r="VK149" s="115"/>
      <c r="VL149" s="115"/>
      <c r="VM149" s="115"/>
      <c r="VN149" s="115"/>
      <c r="VO149" s="115"/>
      <c r="VP149" s="115"/>
      <c r="VQ149" s="115"/>
      <c r="VR149" s="115"/>
      <c r="VS149" s="115"/>
      <c r="VT149" s="115"/>
      <c r="VU149" s="115"/>
      <c r="VV149" s="115"/>
      <c r="VW149" s="115"/>
      <c r="VX149" s="115"/>
      <c r="VY149" s="115"/>
      <c r="VZ149" s="115"/>
      <c r="WA149" s="115"/>
      <c r="WB149" s="115"/>
      <c r="WC149" s="115"/>
      <c r="WD149" s="115"/>
      <c r="WE149" s="115"/>
      <c r="WF149" s="115"/>
      <c r="WG149" s="115"/>
      <c r="WH149" s="115"/>
      <c r="WI149" s="115"/>
      <c r="WJ149" s="115"/>
      <c r="WK149" s="115"/>
      <c r="WL149" s="115"/>
      <c r="WM149" s="115"/>
      <c r="WN149" s="115"/>
      <c r="WO149" s="115"/>
      <c r="WP149" s="115"/>
      <c r="WQ149" s="115"/>
      <c r="WR149" s="115"/>
      <c r="WS149" s="115"/>
      <c r="WT149" s="115"/>
      <c r="WU149" s="115"/>
      <c r="WV149" s="115"/>
      <c r="WW149" s="115"/>
      <c r="WX149" s="115"/>
      <c r="WY149" s="115"/>
      <c r="WZ149" s="115"/>
      <c r="XA149" s="115"/>
      <c r="XB149" s="115"/>
      <c r="XC149" s="115"/>
      <c r="XD149" s="115"/>
      <c r="XE149" s="115"/>
      <c r="XF149" s="115"/>
      <c r="XG149" s="115"/>
      <c r="XH149" s="115"/>
      <c r="XI149" s="115"/>
      <c r="XJ149" s="115"/>
      <c r="XK149" s="115"/>
      <c r="XL149" s="115"/>
      <c r="XM149" s="115"/>
      <c r="XN149" s="115"/>
      <c r="XO149" s="115"/>
      <c r="XP149" s="115"/>
      <c r="XQ149" s="115"/>
      <c r="XR149" s="115"/>
      <c r="XS149" s="115"/>
      <c r="XT149" s="115"/>
      <c r="XU149" s="115"/>
      <c r="XV149" s="115"/>
      <c r="XW149" s="115"/>
      <c r="XX149" s="115"/>
      <c r="XY149" s="115"/>
      <c r="XZ149" s="115"/>
      <c r="YA149" s="115"/>
      <c r="YB149" s="115"/>
      <c r="YC149" s="115"/>
      <c r="YD149" s="115"/>
      <c r="YE149" s="115"/>
      <c r="YF149" s="115"/>
      <c r="YG149" s="115"/>
      <c r="YH149" s="115"/>
      <c r="YI149" s="115"/>
      <c r="YJ149" s="115"/>
      <c r="YK149" s="115"/>
      <c r="YL149" s="115"/>
      <c r="YM149" s="115"/>
      <c r="YN149" s="115"/>
      <c r="YO149" s="115"/>
      <c r="YP149" s="115"/>
      <c r="YQ149" s="115"/>
      <c r="YX149" s="22">
        <v>87</v>
      </c>
      <c r="YY149" s="22">
        <f>VLOOKUP(B149,'SCAFFOLDING MATERIAL OVERALL'!B151:S333,18,FALSE)</f>
        <v>7.67</v>
      </c>
      <c r="YZ149" s="22">
        <f t="shared" si="2"/>
        <v>667.29</v>
      </c>
    </row>
    <row r="150" spans="1:676" s="22" customFormat="1" x14ac:dyDescent="0.25">
      <c r="A150" s="17">
        <v>146</v>
      </c>
      <c r="B150" s="15">
        <v>3000001063</v>
      </c>
      <c r="C150" s="16" t="s">
        <v>160</v>
      </c>
      <c r="D150" s="44" t="s">
        <v>12</v>
      </c>
      <c r="BJ150" s="22">
        <v>16</v>
      </c>
      <c r="FB150" s="22">
        <v>105</v>
      </c>
      <c r="MJ150" s="22">
        <v>72</v>
      </c>
      <c r="MO150" s="22">
        <v>50</v>
      </c>
      <c r="MP150" s="22">
        <v>50</v>
      </c>
      <c r="OZ150" s="115"/>
      <c r="PA150" s="115"/>
      <c r="PB150" s="115"/>
      <c r="PC150" s="115"/>
      <c r="PD150" s="115"/>
      <c r="PE150" s="115"/>
      <c r="PF150" s="115"/>
      <c r="PG150" s="115"/>
      <c r="PH150" s="115"/>
      <c r="PI150" s="115"/>
      <c r="PJ150" s="115"/>
      <c r="PK150" s="115"/>
      <c r="PL150" s="115"/>
      <c r="PM150" s="115"/>
      <c r="PN150" s="115"/>
      <c r="PO150" s="115"/>
      <c r="PP150" s="115"/>
      <c r="PQ150" s="115"/>
      <c r="PR150" s="115"/>
      <c r="PS150" s="115"/>
      <c r="PT150" s="115"/>
      <c r="PU150" s="115"/>
      <c r="PV150" s="115"/>
      <c r="PW150" s="115"/>
      <c r="PX150" s="115"/>
      <c r="PY150" s="115"/>
      <c r="PZ150" s="115"/>
      <c r="QA150" s="115"/>
      <c r="QB150" s="115"/>
      <c r="QC150" s="115"/>
      <c r="QD150" s="115"/>
      <c r="QE150" s="115"/>
      <c r="QF150" s="115"/>
      <c r="QG150" s="115"/>
      <c r="QH150" s="115"/>
      <c r="QI150" s="115"/>
      <c r="QJ150" s="115"/>
      <c r="QK150" s="115"/>
      <c r="QL150" s="115"/>
      <c r="QM150" s="115"/>
      <c r="QN150" s="115"/>
      <c r="QO150" s="115"/>
      <c r="QP150" s="115"/>
      <c r="QQ150" s="115"/>
      <c r="QR150" s="115"/>
      <c r="QS150" s="115"/>
      <c r="QT150" s="115"/>
      <c r="QU150" s="115"/>
      <c r="QV150" s="115"/>
      <c r="QW150" s="115"/>
      <c r="QX150" s="115"/>
      <c r="QY150" s="115"/>
      <c r="QZ150" s="115"/>
      <c r="RA150" s="115"/>
      <c r="RB150" s="115"/>
      <c r="RC150" s="115"/>
      <c r="RD150" s="115"/>
      <c r="RE150" s="115"/>
      <c r="RF150" s="115"/>
      <c r="RG150" s="115"/>
      <c r="RH150" s="115"/>
      <c r="RI150" s="115"/>
      <c r="RJ150" s="115"/>
      <c r="RK150" s="115"/>
      <c r="RL150" s="115"/>
      <c r="RM150" s="115"/>
      <c r="RN150" s="115"/>
      <c r="RO150" s="115"/>
      <c r="RP150" s="115"/>
      <c r="RQ150" s="115"/>
      <c r="RR150" s="115"/>
      <c r="RS150" s="115"/>
      <c r="RT150" s="115"/>
      <c r="RU150" s="115"/>
      <c r="RV150" s="115"/>
      <c r="RW150" s="115"/>
      <c r="RX150" s="115"/>
      <c r="RY150" s="115"/>
      <c r="RZ150" s="115"/>
      <c r="SA150" s="115"/>
      <c r="SB150" s="115"/>
      <c r="SC150" s="115"/>
      <c r="SD150" s="115"/>
      <c r="SE150" s="115"/>
      <c r="SF150" s="115"/>
      <c r="SG150" s="115"/>
      <c r="SH150" s="115"/>
      <c r="SI150" s="115"/>
      <c r="SJ150" s="115"/>
      <c r="SK150" s="115"/>
      <c r="SL150" s="115"/>
      <c r="SM150" s="115"/>
      <c r="SN150" s="115"/>
      <c r="SO150" s="115"/>
      <c r="SP150" s="115"/>
      <c r="SQ150" s="115"/>
      <c r="SR150" s="115"/>
      <c r="SS150" s="115"/>
      <c r="ST150" s="115"/>
      <c r="SU150" s="115"/>
      <c r="SV150" s="115"/>
      <c r="SW150" s="115"/>
      <c r="SX150" s="115"/>
      <c r="SY150" s="115"/>
      <c r="SZ150" s="115"/>
      <c r="TA150" s="115"/>
      <c r="TB150" s="115"/>
      <c r="TC150" s="115"/>
      <c r="TD150" s="115"/>
      <c r="TE150" s="115"/>
      <c r="TF150" s="115"/>
      <c r="TG150" s="115"/>
      <c r="TH150" s="115">
        <v>22</v>
      </c>
      <c r="TI150" s="115">
        <v>2</v>
      </c>
      <c r="TJ150" s="115">
        <v>265</v>
      </c>
      <c r="TK150" s="115"/>
      <c r="TL150" s="115"/>
      <c r="TM150" s="115"/>
      <c r="TN150" s="115">
        <v>87</v>
      </c>
      <c r="TO150" s="115"/>
      <c r="TP150" s="115"/>
      <c r="TQ150" s="115"/>
      <c r="TR150" s="115"/>
      <c r="TS150" s="115"/>
      <c r="TT150" s="115"/>
      <c r="TU150" s="115"/>
      <c r="TV150" s="115"/>
      <c r="TW150" s="115"/>
      <c r="TX150" s="115"/>
      <c r="TY150" s="115"/>
      <c r="TZ150" s="115"/>
      <c r="UA150" s="115"/>
      <c r="UB150" s="115"/>
      <c r="UC150" s="115"/>
      <c r="UD150" s="115"/>
      <c r="UE150" s="115"/>
      <c r="UF150" s="115"/>
      <c r="UG150" s="115"/>
      <c r="UH150" s="115"/>
      <c r="UI150" s="115"/>
      <c r="UJ150" s="115"/>
      <c r="UK150" s="115"/>
      <c r="UL150" s="115"/>
      <c r="UM150" s="115"/>
      <c r="UN150" s="115"/>
      <c r="UO150" s="115"/>
      <c r="UP150" s="115"/>
      <c r="UQ150" s="115"/>
      <c r="UR150" s="115"/>
      <c r="US150" s="115"/>
      <c r="UT150" s="115"/>
      <c r="UU150" s="115"/>
      <c r="UV150" s="115"/>
      <c r="UW150" s="115"/>
      <c r="UX150" s="115"/>
      <c r="UY150" s="115"/>
      <c r="UZ150" s="115"/>
      <c r="VA150" s="115"/>
      <c r="VB150" s="115"/>
      <c r="VC150" s="115"/>
      <c r="VD150" s="115"/>
      <c r="VE150" s="115"/>
      <c r="VF150" s="115"/>
      <c r="VG150" s="115"/>
      <c r="VH150" s="115"/>
      <c r="VI150" s="115"/>
      <c r="VJ150" s="115"/>
      <c r="VK150" s="115"/>
      <c r="VL150" s="115"/>
      <c r="VM150" s="115"/>
      <c r="VN150" s="115"/>
      <c r="VO150" s="115"/>
      <c r="VP150" s="115"/>
      <c r="VQ150" s="115"/>
      <c r="VR150" s="115"/>
      <c r="VS150" s="115"/>
      <c r="VT150" s="115"/>
      <c r="VU150" s="115"/>
      <c r="VV150" s="115"/>
      <c r="VW150" s="115"/>
      <c r="VX150" s="115"/>
      <c r="VY150" s="115"/>
      <c r="VZ150" s="115"/>
      <c r="WA150" s="115"/>
      <c r="WB150" s="115"/>
      <c r="WC150" s="115"/>
      <c r="WD150" s="115"/>
      <c r="WE150" s="115"/>
      <c r="WF150" s="115"/>
      <c r="WG150" s="115"/>
      <c r="WH150" s="115"/>
      <c r="WI150" s="115"/>
      <c r="WJ150" s="115"/>
      <c r="WK150" s="115"/>
      <c r="WL150" s="115"/>
      <c r="WM150" s="115"/>
      <c r="WN150" s="115"/>
      <c r="WO150" s="115"/>
      <c r="WP150" s="115"/>
      <c r="WQ150" s="115"/>
      <c r="WR150" s="115"/>
      <c r="WS150" s="115"/>
      <c r="WT150" s="115"/>
      <c r="WU150" s="115"/>
      <c r="WV150" s="115"/>
      <c r="WW150" s="115"/>
      <c r="WX150" s="115"/>
      <c r="WY150" s="115"/>
      <c r="WZ150" s="115"/>
      <c r="XA150" s="115"/>
      <c r="XB150" s="115"/>
      <c r="XC150" s="115"/>
      <c r="XD150" s="115"/>
      <c r="XE150" s="115"/>
      <c r="XF150" s="115"/>
      <c r="XG150" s="115"/>
      <c r="XH150" s="115"/>
      <c r="XI150" s="115"/>
      <c r="XJ150" s="115"/>
      <c r="XK150" s="115"/>
      <c r="XL150" s="115"/>
      <c r="XM150" s="115"/>
      <c r="XN150" s="115"/>
      <c r="XO150" s="115"/>
      <c r="XP150" s="115"/>
      <c r="XQ150" s="115"/>
      <c r="XR150" s="115"/>
      <c r="XS150" s="115"/>
      <c r="XT150" s="115"/>
      <c r="XU150" s="115"/>
      <c r="XV150" s="115"/>
      <c r="XW150" s="115"/>
      <c r="XX150" s="115"/>
      <c r="XY150" s="115"/>
      <c r="XZ150" s="115"/>
      <c r="YA150" s="115"/>
      <c r="YB150" s="115"/>
      <c r="YC150" s="115"/>
      <c r="YD150" s="115"/>
      <c r="YE150" s="115"/>
      <c r="YF150" s="115"/>
      <c r="YG150" s="115"/>
      <c r="YH150" s="115"/>
      <c r="YI150" s="115"/>
      <c r="YJ150" s="115"/>
      <c r="YK150" s="115"/>
      <c r="YL150" s="115"/>
      <c r="YM150" s="115"/>
      <c r="YN150" s="115"/>
      <c r="YO150" s="115"/>
      <c r="YP150" s="115"/>
      <c r="YQ150" s="115"/>
      <c r="YX150" s="22">
        <v>669</v>
      </c>
      <c r="YY150" s="22">
        <f>VLOOKUP(B150,'SCAFFOLDING MATERIAL OVERALL'!B152:S334,18,FALSE)</f>
        <v>7.4950000000000001</v>
      </c>
      <c r="YZ150" s="22">
        <f t="shared" si="2"/>
        <v>5014.1549999999997</v>
      </c>
    </row>
    <row r="151" spans="1:676" s="22" customFormat="1" x14ac:dyDescent="0.25">
      <c r="A151" s="14">
        <v>147</v>
      </c>
      <c r="B151" s="15">
        <v>3000003972</v>
      </c>
      <c r="C151" s="16" t="s">
        <v>161</v>
      </c>
      <c r="D151" s="44" t="s">
        <v>12</v>
      </c>
      <c r="OZ151" s="115"/>
      <c r="PA151" s="115"/>
      <c r="PB151" s="115"/>
      <c r="PC151" s="115"/>
      <c r="PD151" s="115"/>
      <c r="PE151" s="115"/>
      <c r="PF151" s="115"/>
      <c r="PG151" s="115"/>
      <c r="PH151" s="115"/>
      <c r="PI151" s="115"/>
      <c r="PJ151" s="115"/>
      <c r="PK151" s="115"/>
      <c r="PL151" s="115"/>
      <c r="PM151" s="115"/>
      <c r="PN151" s="115"/>
      <c r="PO151" s="115"/>
      <c r="PP151" s="115"/>
      <c r="PQ151" s="115"/>
      <c r="PR151" s="115"/>
      <c r="PS151" s="115"/>
      <c r="PT151" s="115"/>
      <c r="PU151" s="115"/>
      <c r="PV151" s="115"/>
      <c r="PW151" s="115"/>
      <c r="PX151" s="115"/>
      <c r="PY151" s="115"/>
      <c r="PZ151" s="115"/>
      <c r="QA151" s="115"/>
      <c r="QB151" s="115"/>
      <c r="QC151" s="115"/>
      <c r="QD151" s="115"/>
      <c r="QE151" s="115"/>
      <c r="QF151" s="115"/>
      <c r="QG151" s="115"/>
      <c r="QH151" s="115"/>
      <c r="QI151" s="115"/>
      <c r="QJ151" s="115"/>
      <c r="QK151" s="115"/>
      <c r="QL151" s="115"/>
      <c r="QM151" s="115"/>
      <c r="QN151" s="115"/>
      <c r="QO151" s="115"/>
      <c r="QP151" s="115"/>
      <c r="QQ151" s="115"/>
      <c r="QR151" s="115"/>
      <c r="QS151" s="115"/>
      <c r="QT151" s="115"/>
      <c r="QU151" s="115"/>
      <c r="QV151" s="115"/>
      <c r="QW151" s="115"/>
      <c r="QX151" s="115"/>
      <c r="QY151" s="115"/>
      <c r="QZ151" s="115"/>
      <c r="RA151" s="115"/>
      <c r="RB151" s="115"/>
      <c r="RC151" s="115"/>
      <c r="RD151" s="115"/>
      <c r="RE151" s="115"/>
      <c r="RF151" s="115"/>
      <c r="RG151" s="115"/>
      <c r="RH151" s="115"/>
      <c r="RI151" s="115"/>
      <c r="RJ151" s="115"/>
      <c r="RK151" s="115"/>
      <c r="RL151" s="115"/>
      <c r="RM151" s="115"/>
      <c r="RN151" s="115"/>
      <c r="RO151" s="115"/>
      <c r="RP151" s="115"/>
      <c r="RQ151" s="115"/>
      <c r="RR151" s="115"/>
      <c r="RS151" s="115"/>
      <c r="RT151" s="115"/>
      <c r="RU151" s="115"/>
      <c r="RV151" s="115"/>
      <c r="RW151" s="115"/>
      <c r="RX151" s="115"/>
      <c r="RY151" s="115"/>
      <c r="RZ151" s="115"/>
      <c r="SA151" s="115"/>
      <c r="SB151" s="115"/>
      <c r="SC151" s="115"/>
      <c r="SD151" s="115"/>
      <c r="SE151" s="115"/>
      <c r="SF151" s="115"/>
      <c r="SG151" s="115"/>
      <c r="SH151" s="115"/>
      <c r="SI151" s="115"/>
      <c r="SJ151" s="115"/>
      <c r="SK151" s="115"/>
      <c r="SL151" s="115"/>
      <c r="SM151" s="115"/>
      <c r="SN151" s="115"/>
      <c r="SO151" s="115"/>
      <c r="SP151" s="115"/>
      <c r="SQ151" s="115"/>
      <c r="SR151" s="115"/>
      <c r="SS151" s="115"/>
      <c r="ST151" s="115"/>
      <c r="SU151" s="115"/>
      <c r="SV151" s="115"/>
      <c r="SW151" s="115"/>
      <c r="SX151" s="115"/>
      <c r="SY151" s="115"/>
      <c r="SZ151" s="115"/>
      <c r="TA151" s="115"/>
      <c r="TB151" s="115"/>
      <c r="TC151" s="115"/>
      <c r="TD151" s="115"/>
      <c r="TE151" s="115"/>
      <c r="TF151" s="115"/>
      <c r="TG151" s="115"/>
      <c r="TH151" s="115">
        <v>70</v>
      </c>
      <c r="TI151" s="115">
        <v>50</v>
      </c>
      <c r="TJ151" s="115">
        <v>8</v>
      </c>
      <c r="TK151" s="115"/>
      <c r="TL151" s="115"/>
      <c r="TM151" s="115"/>
      <c r="TN151" s="115"/>
      <c r="TO151" s="115"/>
      <c r="TP151" s="115"/>
      <c r="TQ151" s="115"/>
      <c r="TR151" s="115"/>
      <c r="TS151" s="115"/>
      <c r="TT151" s="115"/>
      <c r="TU151" s="115"/>
      <c r="TV151" s="115"/>
      <c r="TW151" s="115"/>
      <c r="TX151" s="115"/>
      <c r="TY151" s="115"/>
      <c r="TZ151" s="115"/>
      <c r="UA151" s="115"/>
      <c r="UB151" s="115"/>
      <c r="UC151" s="115"/>
      <c r="UD151" s="115"/>
      <c r="UE151" s="115"/>
      <c r="UF151" s="115"/>
      <c r="UG151" s="115"/>
      <c r="UH151" s="115"/>
      <c r="UI151" s="115"/>
      <c r="UJ151" s="115"/>
      <c r="UK151" s="115"/>
      <c r="UL151" s="115"/>
      <c r="UM151" s="115"/>
      <c r="UN151" s="115"/>
      <c r="UO151" s="115"/>
      <c r="UP151" s="115"/>
      <c r="UQ151" s="115"/>
      <c r="UR151" s="115"/>
      <c r="US151" s="115"/>
      <c r="UT151" s="115"/>
      <c r="UU151" s="115"/>
      <c r="UV151" s="115"/>
      <c r="UW151" s="115"/>
      <c r="UX151" s="115"/>
      <c r="UY151" s="115"/>
      <c r="UZ151" s="115"/>
      <c r="VA151" s="115"/>
      <c r="VB151" s="115"/>
      <c r="VC151" s="115"/>
      <c r="VD151" s="115"/>
      <c r="VE151" s="115"/>
      <c r="VF151" s="115"/>
      <c r="VG151" s="115"/>
      <c r="VH151" s="115"/>
      <c r="VI151" s="115"/>
      <c r="VJ151" s="115"/>
      <c r="VK151" s="115"/>
      <c r="VL151" s="115"/>
      <c r="VM151" s="115"/>
      <c r="VN151" s="115"/>
      <c r="VO151" s="115"/>
      <c r="VP151" s="115"/>
      <c r="VQ151" s="115"/>
      <c r="VR151" s="115"/>
      <c r="VS151" s="115"/>
      <c r="VT151" s="115"/>
      <c r="VU151" s="115"/>
      <c r="VV151" s="115"/>
      <c r="VW151" s="115"/>
      <c r="VX151" s="115"/>
      <c r="VY151" s="115"/>
      <c r="VZ151" s="115"/>
      <c r="WA151" s="115"/>
      <c r="WB151" s="115"/>
      <c r="WC151" s="115"/>
      <c r="WD151" s="115"/>
      <c r="WE151" s="115"/>
      <c r="WF151" s="115"/>
      <c r="WG151" s="115"/>
      <c r="WH151" s="115"/>
      <c r="WI151" s="115"/>
      <c r="WJ151" s="115"/>
      <c r="WK151" s="115"/>
      <c r="WL151" s="115"/>
      <c r="WM151" s="115"/>
      <c r="WN151" s="115"/>
      <c r="WO151" s="115"/>
      <c r="WP151" s="115"/>
      <c r="WQ151" s="115"/>
      <c r="WR151" s="115"/>
      <c r="WS151" s="115"/>
      <c r="WT151" s="115"/>
      <c r="WU151" s="115"/>
      <c r="WV151" s="115"/>
      <c r="WW151" s="115"/>
      <c r="WX151" s="115"/>
      <c r="WY151" s="115"/>
      <c r="WZ151" s="115"/>
      <c r="XA151" s="115"/>
      <c r="XB151" s="115"/>
      <c r="XC151" s="115"/>
      <c r="XD151" s="115"/>
      <c r="XE151" s="115"/>
      <c r="XF151" s="115"/>
      <c r="XG151" s="115"/>
      <c r="XH151" s="115"/>
      <c r="XI151" s="115"/>
      <c r="XJ151" s="115"/>
      <c r="XK151" s="115"/>
      <c r="XL151" s="115"/>
      <c r="XM151" s="115"/>
      <c r="XN151" s="115"/>
      <c r="XO151" s="115"/>
      <c r="XP151" s="115"/>
      <c r="XQ151" s="115"/>
      <c r="XR151" s="115"/>
      <c r="XS151" s="115"/>
      <c r="XT151" s="115"/>
      <c r="XU151" s="115"/>
      <c r="XV151" s="115"/>
      <c r="XW151" s="115"/>
      <c r="XX151" s="115"/>
      <c r="XY151" s="115"/>
      <c r="XZ151" s="115"/>
      <c r="YA151" s="115"/>
      <c r="YB151" s="115"/>
      <c r="YC151" s="115"/>
      <c r="YD151" s="115"/>
      <c r="YE151" s="115"/>
      <c r="YF151" s="115"/>
      <c r="YG151" s="115"/>
      <c r="YH151" s="115"/>
      <c r="YI151" s="115"/>
      <c r="YJ151" s="115"/>
      <c r="YK151" s="115"/>
      <c r="YL151" s="115"/>
      <c r="YM151" s="115"/>
      <c r="YN151" s="115"/>
      <c r="YO151" s="115"/>
      <c r="YP151" s="115"/>
      <c r="YQ151" s="115"/>
      <c r="YX151" s="22">
        <v>128</v>
      </c>
      <c r="YY151" s="22">
        <f>VLOOKUP(B151,'SCAFFOLDING MATERIAL OVERALL'!B153:S335,18,FALSE)</f>
        <v>8.11</v>
      </c>
      <c r="YZ151" s="22">
        <f t="shared" si="2"/>
        <v>1038.08</v>
      </c>
    </row>
    <row r="152" spans="1:676" s="22" customFormat="1" x14ac:dyDescent="0.25">
      <c r="A152" s="14">
        <v>148</v>
      </c>
      <c r="B152" s="15">
        <v>3000001064</v>
      </c>
      <c r="C152" s="16" t="s">
        <v>162</v>
      </c>
      <c r="D152" s="44" t="s">
        <v>12</v>
      </c>
      <c r="BJ152" s="22">
        <v>18</v>
      </c>
      <c r="FB152" s="22">
        <v>91</v>
      </c>
      <c r="MJ152" s="22">
        <v>163</v>
      </c>
      <c r="MO152" s="22">
        <v>27</v>
      </c>
      <c r="OZ152" s="115"/>
      <c r="PA152" s="115"/>
      <c r="PB152" s="115"/>
      <c r="PC152" s="115"/>
      <c r="PD152" s="115"/>
      <c r="PE152" s="115"/>
      <c r="PF152" s="115"/>
      <c r="PG152" s="115"/>
      <c r="PH152" s="115"/>
      <c r="PI152" s="115"/>
      <c r="PJ152" s="115"/>
      <c r="PK152" s="115"/>
      <c r="PL152" s="115"/>
      <c r="PM152" s="115"/>
      <c r="PN152" s="115"/>
      <c r="PO152" s="115"/>
      <c r="PP152" s="115"/>
      <c r="PQ152" s="115"/>
      <c r="PR152" s="115"/>
      <c r="PS152" s="115"/>
      <c r="PT152" s="115"/>
      <c r="PU152" s="115"/>
      <c r="PV152" s="115"/>
      <c r="PW152" s="115"/>
      <c r="PX152" s="115"/>
      <c r="PY152" s="115"/>
      <c r="PZ152" s="115"/>
      <c r="QA152" s="115"/>
      <c r="QB152" s="115"/>
      <c r="QC152" s="115"/>
      <c r="QD152" s="115"/>
      <c r="QE152" s="115"/>
      <c r="QF152" s="115"/>
      <c r="QG152" s="115"/>
      <c r="QH152" s="115"/>
      <c r="QI152" s="115"/>
      <c r="QJ152" s="115"/>
      <c r="QK152" s="115"/>
      <c r="QL152" s="115"/>
      <c r="QM152" s="115"/>
      <c r="QN152" s="115"/>
      <c r="QO152" s="115"/>
      <c r="QP152" s="115"/>
      <c r="QQ152" s="115"/>
      <c r="QR152" s="115"/>
      <c r="QS152" s="115"/>
      <c r="QT152" s="115"/>
      <c r="QU152" s="115"/>
      <c r="QV152" s="115"/>
      <c r="QW152" s="115"/>
      <c r="QX152" s="115"/>
      <c r="QY152" s="115"/>
      <c r="QZ152" s="115"/>
      <c r="RA152" s="115"/>
      <c r="RB152" s="115"/>
      <c r="RC152" s="115"/>
      <c r="RD152" s="115"/>
      <c r="RE152" s="115"/>
      <c r="RF152" s="115"/>
      <c r="RG152" s="115"/>
      <c r="RH152" s="115"/>
      <c r="RI152" s="115"/>
      <c r="RJ152" s="115"/>
      <c r="RK152" s="115"/>
      <c r="RL152" s="115"/>
      <c r="RM152" s="115"/>
      <c r="RN152" s="115"/>
      <c r="RO152" s="115"/>
      <c r="RP152" s="115"/>
      <c r="RQ152" s="115"/>
      <c r="RR152" s="115"/>
      <c r="RS152" s="115"/>
      <c r="RT152" s="115"/>
      <c r="RU152" s="115"/>
      <c r="RV152" s="115"/>
      <c r="RW152" s="115"/>
      <c r="RX152" s="115"/>
      <c r="RY152" s="115"/>
      <c r="RZ152" s="115"/>
      <c r="SA152" s="115"/>
      <c r="SB152" s="115"/>
      <c r="SC152" s="115"/>
      <c r="SD152" s="115"/>
      <c r="SE152" s="115"/>
      <c r="SF152" s="115"/>
      <c r="SG152" s="115"/>
      <c r="SH152" s="115"/>
      <c r="SI152" s="115"/>
      <c r="SJ152" s="115"/>
      <c r="SK152" s="115"/>
      <c r="SL152" s="115"/>
      <c r="SM152" s="115"/>
      <c r="SN152" s="115"/>
      <c r="SO152" s="115"/>
      <c r="SP152" s="115"/>
      <c r="SQ152" s="115"/>
      <c r="SR152" s="115"/>
      <c r="SS152" s="115"/>
      <c r="ST152" s="115"/>
      <c r="SU152" s="115"/>
      <c r="SV152" s="115"/>
      <c r="SW152" s="115"/>
      <c r="SX152" s="115"/>
      <c r="SY152" s="115"/>
      <c r="SZ152" s="115"/>
      <c r="TA152" s="115"/>
      <c r="TB152" s="115"/>
      <c r="TC152" s="115"/>
      <c r="TD152" s="115"/>
      <c r="TE152" s="115"/>
      <c r="TF152" s="115"/>
      <c r="TG152" s="115">
        <v>15</v>
      </c>
      <c r="TH152" s="115"/>
      <c r="TI152" s="115"/>
      <c r="TJ152" s="115">
        <v>100</v>
      </c>
      <c r="TK152" s="115"/>
      <c r="TL152" s="115"/>
      <c r="TM152" s="115">
        <v>193</v>
      </c>
      <c r="TN152" s="115">
        <v>100</v>
      </c>
      <c r="TO152" s="115"/>
      <c r="TP152" s="115"/>
      <c r="TQ152" s="115"/>
      <c r="TR152" s="115"/>
      <c r="TS152" s="115"/>
      <c r="TT152" s="115"/>
      <c r="TU152" s="115"/>
      <c r="TV152" s="115"/>
      <c r="TW152" s="115"/>
      <c r="TX152" s="115"/>
      <c r="TY152" s="115"/>
      <c r="TZ152" s="115"/>
      <c r="UA152" s="115"/>
      <c r="UB152" s="115"/>
      <c r="UC152" s="115"/>
      <c r="UD152" s="115"/>
      <c r="UE152" s="115"/>
      <c r="UF152" s="115"/>
      <c r="UG152" s="115"/>
      <c r="UH152" s="115"/>
      <c r="UI152" s="115"/>
      <c r="UJ152" s="115"/>
      <c r="UK152" s="115"/>
      <c r="UL152" s="115"/>
      <c r="UM152" s="115"/>
      <c r="UN152" s="115"/>
      <c r="UO152" s="115"/>
      <c r="UP152" s="115"/>
      <c r="UQ152" s="115"/>
      <c r="UR152" s="115"/>
      <c r="US152" s="115"/>
      <c r="UT152" s="115"/>
      <c r="UU152" s="115"/>
      <c r="UV152" s="115"/>
      <c r="UW152" s="115"/>
      <c r="UX152" s="115"/>
      <c r="UY152" s="115"/>
      <c r="UZ152" s="115"/>
      <c r="VA152" s="115"/>
      <c r="VB152" s="115"/>
      <c r="VC152" s="115"/>
      <c r="VD152" s="115"/>
      <c r="VE152" s="115"/>
      <c r="VF152" s="115"/>
      <c r="VG152" s="115"/>
      <c r="VH152" s="115"/>
      <c r="VI152" s="115"/>
      <c r="VJ152" s="115"/>
      <c r="VK152" s="115"/>
      <c r="VL152" s="115"/>
      <c r="VM152" s="115"/>
      <c r="VN152" s="115"/>
      <c r="VO152" s="115"/>
      <c r="VP152" s="115"/>
      <c r="VQ152" s="115"/>
      <c r="VR152" s="115"/>
      <c r="VS152" s="115"/>
      <c r="VT152" s="115"/>
      <c r="VU152" s="115"/>
      <c r="VV152" s="115"/>
      <c r="VW152" s="115"/>
      <c r="VX152" s="115"/>
      <c r="VY152" s="115"/>
      <c r="VZ152" s="115"/>
      <c r="WA152" s="115"/>
      <c r="WB152" s="115"/>
      <c r="WC152" s="115"/>
      <c r="WD152" s="115"/>
      <c r="WE152" s="115"/>
      <c r="WF152" s="115"/>
      <c r="WG152" s="115"/>
      <c r="WH152" s="115"/>
      <c r="WI152" s="115"/>
      <c r="WJ152" s="115"/>
      <c r="WK152" s="115"/>
      <c r="WL152" s="115"/>
      <c r="WM152" s="115"/>
      <c r="WN152" s="115"/>
      <c r="WO152" s="115"/>
      <c r="WP152" s="115"/>
      <c r="WQ152" s="115"/>
      <c r="WR152" s="115"/>
      <c r="WS152" s="115"/>
      <c r="WT152" s="115"/>
      <c r="WU152" s="115"/>
      <c r="WV152" s="115"/>
      <c r="WW152" s="115"/>
      <c r="WX152" s="115"/>
      <c r="WY152" s="115"/>
      <c r="WZ152" s="115"/>
      <c r="XA152" s="115"/>
      <c r="XB152" s="115"/>
      <c r="XC152" s="115"/>
      <c r="XD152" s="115"/>
      <c r="XE152" s="115"/>
      <c r="XF152" s="115"/>
      <c r="XG152" s="115"/>
      <c r="XH152" s="115"/>
      <c r="XI152" s="115"/>
      <c r="XJ152" s="115"/>
      <c r="XK152" s="115"/>
      <c r="XL152" s="115"/>
      <c r="XM152" s="115"/>
      <c r="XN152" s="115"/>
      <c r="XO152" s="115"/>
      <c r="XP152" s="115"/>
      <c r="XQ152" s="115"/>
      <c r="XR152" s="115"/>
      <c r="XS152" s="115"/>
      <c r="XT152" s="115"/>
      <c r="XU152" s="115"/>
      <c r="XV152" s="115"/>
      <c r="XW152" s="115"/>
      <c r="XX152" s="115"/>
      <c r="XY152" s="115"/>
      <c r="XZ152" s="115"/>
      <c r="YA152" s="115"/>
      <c r="YB152" s="115"/>
      <c r="YC152" s="115"/>
      <c r="YD152" s="115"/>
      <c r="YE152" s="115"/>
      <c r="YF152" s="115"/>
      <c r="YG152" s="115"/>
      <c r="YH152" s="115"/>
      <c r="YI152" s="115"/>
      <c r="YJ152" s="115"/>
      <c r="YK152" s="115"/>
      <c r="YL152" s="115"/>
      <c r="YM152" s="115"/>
      <c r="YN152" s="115"/>
      <c r="YO152" s="115"/>
      <c r="YP152" s="115"/>
      <c r="YQ152" s="115"/>
      <c r="YX152" s="22">
        <v>707</v>
      </c>
      <c r="YY152" s="22">
        <f>VLOOKUP(B152,'SCAFFOLDING MATERIAL OVERALL'!B154:S336,18,FALSE)</f>
        <v>9.8149999999999995</v>
      </c>
      <c r="YZ152" s="22">
        <f t="shared" si="2"/>
        <v>6939.2049999999999</v>
      </c>
    </row>
    <row r="153" spans="1:676" s="22" customFormat="1" x14ac:dyDescent="0.25">
      <c r="A153" s="17">
        <v>149</v>
      </c>
      <c r="B153" s="15">
        <v>3000001065</v>
      </c>
      <c r="C153" s="16" t="s">
        <v>163</v>
      </c>
      <c r="D153" s="44" t="s">
        <v>12</v>
      </c>
      <c r="MM153" s="22">
        <v>100</v>
      </c>
      <c r="OZ153" s="115"/>
      <c r="PA153" s="115"/>
      <c r="PB153" s="115"/>
      <c r="PC153" s="115"/>
      <c r="PD153" s="115"/>
      <c r="PE153" s="115"/>
      <c r="PF153" s="115"/>
      <c r="PG153" s="115"/>
      <c r="PH153" s="115"/>
      <c r="PI153" s="115"/>
      <c r="PJ153" s="115"/>
      <c r="PK153" s="115"/>
      <c r="PL153" s="115"/>
      <c r="PM153" s="115"/>
      <c r="PN153" s="115"/>
      <c r="PO153" s="115"/>
      <c r="PP153" s="115"/>
      <c r="PQ153" s="115"/>
      <c r="PR153" s="115"/>
      <c r="PS153" s="115"/>
      <c r="PT153" s="115"/>
      <c r="PU153" s="115"/>
      <c r="PV153" s="115"/>
      <c r="PW153" s="115"/>
      <c r="PX153" s="115"/>
      <c r="PY153" s="115"/>
      <c r="PZ153" s="115"/>
      <c r="QA153" s="115"/>
      <c r="QB153" s="115"/>
      <c r="QC153" s="115"/>
      <c r="QD153" s="115"/>
      <c r="QE153" s="115"/>
      <c r="QF153" s="115"/>
      <c r="QG153" s="115"/>
      <c r="QH153" s="115"/>
      <c r="QI153" s="115"/>
      <c r="QJ153" s="115"/>
      <c r="QK153" s="115"/>
      <c r="QL153" s="115"/>
      <c r="QM153" s="115"/>
      <c r="QN153" s="115"/>
      <c r="QO153" s="115"/>
      <c r="QP153" s="115"/>
      <c r="QQ153" s="115"/>
      <c r="QR153" s="115"/>
      <c r="QS153" s="115"/>
      <c r="QT153" s="115"/>
      <c r="QU153" s="115"/>
      <c r="QV153" s="115"/>
      <c r="QW153" s="115"/>
      <c r="QX153" s="115"/>
      <c r="QY153" s="115"/>
      <c r="QZ153" s="115"/>
      <c r="RA153" s="115"/>
      <c r="RB153" s="115"/>
      <c r="RC153" s="115"/>
      <c r="RD153" s="115"/>
      <c r="RE153" s="115"/>
      <c r="RF153" s="115"/>
      <c r="RG153" s="115"/>
      <c r="RH153" s="115"/>
      <c r="RI153" s="115"/>
      <c r="RJ153" s="115"/>
      <c r="RK153" s="115"/>
      <c r="RL153" s="115"/>
      <c r="RM153" s="115"/>
      <c r="RN153" s="115"/>
      <c r="RO153" s="115"/>
      <c r="RP153" s="115"/>
      <c r="RQ153" s="115"/>
      <c r="RR153" s="115"/>
      <c r="RS153" s="115"/>
      <c r="RT153" s="115"/>
      <c r="RU153" s="115"/>
      <c r="RV153" s="115"/>
      <c r="RW153" s="115"/>
      <c r="RX153" s="115"/>
      <c r="RY153" s="115"/>
      <c r="RZ153" s="115"/>
      <c r="SA153" s="115"/>
      <c r="SB153" s="115"/>
      <c r="SC153" s="115"/>
      <c r="SD153" s="115"/>
      <c r="SE153" s="115"/>
      <c r="SF153" s="115"/>
      <c r="SG153" s="115"/>
      <c r="SH153" s="115"/>
      <c r="SI153" s="115"/>
      <c r="SJ153" s="115"/>
      <c r="SK153" s="115"/>
      <c r="SL153" s="115"/>
      <c r="SM153" s="115"/>
      <c r="SN153" s="115"/>
      <c r="SO153" s="115"/>
      <c r="SP153" s="115"/>
      <c r="SQ153" s="115"/>
      <c r="SR153" s="115"/>
      <c r="SS153" s="115"/>
      <c r="ST153" s="115"/>
      <c r="SU153" s="115"/>
      <c r="SV153" s="115"/>
      <c r="SW153" s="115"/>
      <c r="SX153" s="115"/>
      <c r="SY153" s="115"/>
      <c r="SZ153" s="115"/>
      <c r="TA153" s="115"/>
      <c r="TB153" s="115"/>
      <c r="TC153" s="115"/>
      <c r="TD153" s="115"/>
      <c r="TE153" s="115"/>
      <c r="TF153" s="115"/>
      <c r="TG153" s="115"/>
      <c r="TH153" s="115"/>
      <c r="TI153" s="115"/>
      <c r="TJ153" s="115"/>
      <c r="TK153" s="115"/>
      <c r="TL153" s="115"/>
      <c r="TM153" s="115"/>
      <c r="TN153" s="115"/>
      <c r="TO153" s="115"/>
      <c r="TP153" s="115"/>
      <c r="TQ153" s="115"/>
      <c r="TR153" s="115"/>
      <c r="TS153" s="115"/>
      <c r="TT153" s="115"/>
      <c r="TU153" s="115"/>
      <c r="TV153" s="115"/>
      <c r="TW153" s="115"/>
      <c r="TX153" s="115"/>
      <c r="TY153" s="115"/>
      <c r="TZ153" s="115"/>
      <c r="UA153" s="115"/>
      <c r="UB153" s="115"/>
      <c r="UC153" s="115"/>
      <c r="UD153" s="115"/>
      <c r="UE153" s="115"/>
      <c r="UF153" s="115"/>
      <c r="UG153" s="115"/>
      <c r="UH153" s="115"/>
      <c r="UI153" s="115"/>
      <c r="UJ153" s="115"/>
      <c r="UK153" s="115"/>
      <c r="UL153" s="115"/>
      <c r="UM153" s="115"/>
      <c r="UN153" s="115"/>
      <c r="UO153" s="115"/>
      <c r="UP153" s="115"/>
      <c r="UQ153" s="115"/>
      <c r="UR153" s="115"/>
      <c r="US153" s="115"/>
      <c r="UT153" s="115"/>
      <c r="UU153" s="115"/>
      <c r="UV153" s="115"/>
      <c r="UW153" s="115">
        <v>300</v>
      </c>
      <c r="UX153" s="115"/>
      <c r="UY153" s="115"/>
      <c r="UZ153" s="115"/>
      <c r="VA153" s="115"/>
      <c r="VB153" s="115"/>
      <c r="VC153" s="115"/>
      <c r="VD153" s="115"/>
      <c r="VE153" s="115"/>
      <c r="VF153" s="115"/>
      <c r="VG153" s="115"/>
      <c r="VH153" s="115"/>
      <c r="VI153" s="115"/>
      <c r="VJ153" s="115"/>
      <c r="VK153" s="115"/>
      <c r="VL153" s="115"/>
      <c r="VM153" s="115"/>
      <c r="VN153" s="115"/>
      <c r="VO153" s="115"/>
      <c r="VP153" s="115"/>
      <c r="VQ153" s="115"/>
      <c r="VR153" s="115"/>
      <c r="VS153" s="115"/>
      <c r="VT153" s="115"/>
      <c r="VU153" s="115"/>
      <c r="VV153" s="115"/>
      <c r="VW153" s="115"/>
      <c r="VX153" s="115"/>
      <c r="VY153" s="115"/>
      <c r="VZ153" s="115"/>
      <c r="WA153" s="115"/>
      <c r="WB153" s="115"/>
      <c r="WC153" s="115"/>
      <c r="WD153" s="115"/>
      <c r="WE153" s="115"/>
      <c r="WF153" s="115"/>
      <c r="WG153" s="115"/>
      <c r="WH153" s="115"/>
      <c r="WI153" s="115"/>
      <c r="WJ153" s="115"/>
      <c r="WK153" s="115"/>
      <c r="WL153" s="115"/>
      <c r="WM153" s="115"/>
      <c r="WN153" s="115"/>
      <c r="WO153" s="115"/>
      <c r="WP153" s="115"/>
      <c r="WQ153" s="115"/>
      <c r="WR153" s="115"/>
      <c r="WS153" s="115"/>
      <c r="WT153" s="115"/>
      <c r="WU153" s="115"/>
      <c r="WV153" s="115"/>
      <c r="WW153" s="115"/>
      <c r="WX153" s="115"/>
      <c r="WY153" s="115"/>
      <c r="WZ153" s="115"/>
      <c r="XA153" s="115"/>
      <c r="XB153" s="115"/>
      <c r="XC153" s="115"/>
      <c r="XD153" s="115"/>
      <c r="XE153" s="115"/>
      <c r="XF153" s="115"/>
      <c r="XG153" s="115"/>
      <c r="XH153" s="115"/>
      <c r="XI153" s="115"/>
      <c r="XJ153" s="115"/>
      <c r="XK153" s="115"/>
      <c r="XL153" s="115"/>
      <c r="XM153" s="115"/>
      <c r="XN153" s="115"/>
      <c r="XO153" s="115"/>
      <c r="XP153" s="115"/>
      <c r="XQ153" s="115"/>
      <c r="XR153" s="115"/>
      <c r="XS153" s="115"/>
      <c r="XT153" s="115"/>
      <c r="XU153" s="115"/>
      <c r="XV153" s="115"/>
      <c r="XW153" s="115"/>
      <c r="XX153" s="115"/>
      <c r="XY153" s="115"/>
      <c r="XZ153" s="115"/>
      <c r="YA153" s="115"/>
      <c r="YB153" s="115"/>
      <c r="YC153" s="115"/>
      <c r="YD153" s="115"/>
      <c r="YE153" s="115"/>
      <c r="YF153" s="115"/>
      <c r="YG153" s="115"/>
      <c r="YH153" s="115"/>
      <c r="YI153" s="115"/>
      <c r="YJ153" s="115"/>
      <c r="YK153" s="115"/>
      <c r="YL153" s="115"/>
      <c r="YM153" s="115"/>
      <c r="YN153" s="115"/>
      <c r="YO153" s="115"/>
      <c r="YP153" s="115"/>
      <c r="YQ153" s="115"/>
      <c r="YX153" s="22">
        <v>400</v>
      </c>
      <c r="YY153" s="22">
        <f>VLOOKUP(B153,'SCAFFOLDING MATERIAL OVERALL'!B155:S337,18,FALSE)</f>
        <v>10.19</v>
      </c>
      <c r="YZ153" s="22">
        <f t="shared" si="2"/>
        <v>4076</v>
      </c>
    </row>
    <row r="154" spans="1:676" s="22" customFormat="1" x14ac:dyDescent="0.25">
      <c r="A154" s="14">
        <v>150</v>
      </c>
      <c r="B154" s="15">
        <v>5000000009</v>
      </c>
      <c r="C154" s="16" t="s">
        <v>164</v>
      </c>
      <c r="D154" s="44" t="s">
        <v>12</v>
      </c>
      <c r="OZ154" s="115"/>
      <c r="PA154" s="115"/>
      <c r="PB154" s="115"/>
      <c r="PC154" s="115"/>
      <c r="PD154" s="115"/>
      <c r="PE154" s="115"/>
      <c r="PF154" s="115"/>
      <c r="PG154" s="115"/>
      <c r="PH154" s="115"/>
      <c r="PI154" s="115"/>
      <c r="PJ154" s="115"/>
      <c r="PK154" s="115"/>
      <c r="PL154" s="115"/>
      <c r="PM154" s="115"/>
      <c r="PN154" s="115"/>
      <c r="PO154" s="115"/>
      <c r="PP154" s="115"/>
      <c r="PQ154" s="115"/>
      <c r="PR154" s="115"/>
      <c r="PS154" s="115"/>
      <c r="PT154" s="115"/>
      <c r="PU154" s="115"/>
      <c r="PV154" s="115"/>
      <c r="PW154" s="115"/>
      <c r="PX154" s="115"/>
      <c r="PY154" s="115"/>
      <c r="PZ154" s="115"/>
      <c r="QA154" s="115"/>
      <c r="QB154" s="115"/>
      <c r="QC154" s="115"/>
      <c r="QD154" s="115"/>
      <c r="QE154" s="115"/>
      <c r="QF154" s="115"/>
      <c r="QG154" s="115"/>
      <c r="QH154" s="115"/>
      <c r="QI154" s="115"/>
      <c r="QJ154" s="115"/>
      <c r="QK154" s="115"/>
      <c r="QL154" s="115"/>
      <c r="QM154" s="115"/>
      <c r="QN154" s="115"/>
      <c r="QO154" s="115"/>
      <c r="QP154" s="115"/>
      <c r="QQ154" s="115"/>
      <c r="QR154" s="115"/>
      <c r="QS154" s="115"/>
      <c r="QT154" s="115"/>
      <c r="QU154" s="115"/>
      <c r="QV154" s="115"/>
      <c r="QW154" s="115"/>
      <c r="QX154" s="115"/>
      <c r="QY154" s="115"/>
      <c r="QZ154" s="115"/>
      <c r="RA154" s="115"/>
      <c r="RB154" s="115"/>
      <c r="RC154" s="115"/>
      <c r="RD154" s="115"/>
      <c r="RE154" s="115"/>
      <c r="RF154" s="115"/>
      <c r="RG154" s="115"/>
      <c r="RH154" s="115"/>
      <c r="RI154" s="115"/>
      <c r="RJ154" s="115"/>
      <c r="RK154" s="115"/>
      <c r="RL154" s="115"/>
      <c r="RM154" s="115"/>
      <c r="RN154" s="115"/>
      <c r="RO154" s="115"/>
      <c r="RP154" s="115"/>
      <c r="RQ154" s="115"/>
      <c r="RR154" s="115"/>
      <c r="RS154" s="115"/>
      <c r="RT154" s="115"/>
      <c r="RU154" s="115"/>
      <c r="RV154" s="115"/>
      <c r="RW154" s="115"/>
      <c r="RX154" s="115"/>
      <c r="RY154" s="115"/>
      <c r="RZ154" s="115"/>
      <c r="SA154" s="115"/>
      <c r="SB154" s="115"/>
      <c r="SC154" s="115"/>
      <c r="SD154" s="115"/>
      <c r="SE154" s="115"/>
      <c r="SF154" s="115"/>
      <c r="SG154" s="115"/>
      <c r="SH154" s="115"/>
      <c r="SI154" s="115"/>
      <c r="SJ154" s="115"/>
      <c r="SK154" s="115"/>
      <c r="SL154" s="115"/>
      <c r="SM154" s="115"/>
      <c r="SN154" s="115"/>
      <c r="SO154" s="115"/>
      <c r="SP154" s="115"/>
      <c r="SQ154" s="115"/>
      <c r="SR154" s="115"/>
      <c r="SS154" s="115"/>
      <c r="ST154" s="115"/>
      <c r="SU154" s="115"/>
      <c r="SV154" s="115"/>
      <c r="SW154" s="115"/>
      <c r="SX154" s="115"/>
      <c r="SY154" s="115"/>
      <c r="SZ154" s="115"/>
      <c r="TA154" s="115"/>
      <c r="TB154" s="115"/>
      <c r="TC154" s="115"/>
      <c r="TD154" s="115"/>
      <c r="TE154" s="115"/>
      <c r="TF154" s="115"/>
      <c r="TG154" s="115"/>
      <c r="TH154" s="115"/>
      <c r="TI154" s="115"/>
      <c r="TJ154" s="115"/>
      <c r="TK154" s="115"/>
      <c r="TL154" s="115"/>
      <c r="TM154" s="115"/>
      <c r="TN154" s="115"/>
      <c r="TO154" s="115"/>
      <c r="TP154" s="115"/>
      <c r="TQ154" s="115"/>
      <c r="TR154" s="115"/>
      <c r="TS154" s="115"/>
      <c r="TT154" s="115"/>
      <c r="TU154" s="115"/>
      <c r="TV154" s="115"/>
      <c r="TW154" s="115"/>
      <c r="TX154" s="115"/>
      <c r="TY154" s="115"/>
      <c r="TZ154" s="115"/>
      <c r="UA154" s="115"/>
      <c r="UB154" s="115"/>
      <c r="UC154" s="115"/>
      <c r="UD154" s="115"/>
      <c r="UE154" s="115"/>
      <c r="UF154" s="115"/>
      <c r="UG154" s="115"/>
      <c r="UH154" s="115"/>
      <c r="UI154" s="115"/>
      <c r="UJ154" s="115"/>
      <c r="UK154" s="115"/>
      <c r="UL154" s="115"/>
      <c r="UM154" s="115"/>
      <c r="UN154" s="115"/>
      <c r="UO154" s="115"/>
      <c r="UP154" s="115"/>
      <c r="UQ154" s="115"/>
      <c r="UR154" s="115"/>
      <c r="US154" s="115"/>
      <c r="UT154" s="115"/>
      <c r="UU154" s="115"/>
      <c r="UV154" s="115"/>
      <c r="UW154" s="115"/>
      <c r="UX154" s="115"/>
      <c r="UY154" s="115"/>
      <c r="UZ154" s="115"/>
      <c r="VA154" s="115"/>
      <c r="VB154" s="115"/>
      <c r="VC154" s="115"/>
      <c r="VD154" s="115"/>
      <c r="VE154" s="115"/>
      <c r="VF154" s="115"/>
      <c r="VG154" s="115"/>
      <c r="VH154" s="115"/>
      <c r="VI154" s="115"/>
      <c r="VJ154" s="115"/>
      <c r="VK154" s="115"/>
      <c r="VL154" s="115"/>
      <c r="VM154" s="115"/>
      <c r="VN154" s="115"/>
      <c r="VO154" s="115"/>
      <c r="VP154" s="115"/>
      <c r="VQ154" s="115"/>
      <c r="VR154" s="115"/>
      <c r="VS154" s="115"/>
      <c r="VT154" s="115"/>
      <c r="VU154" s="115"/>
      <c r="VV154" s="115"/>
      <c r="VW154" s="115"/>
      <c r="VX154" s="115"/>
      <c r="VY154" s="115"/>
      <c r="VZ154" s="115"/>
      <c r="WA154" s="115"/>
      <c r="WB154" s="115"/>
      <c r="WC154" s="115"/>
      <c r="WD154" s="115"/>
      <c r="WE154" s="115"/>
      <c r="WF154" s="115"/>
      <c r="WG154" s="115"/>
      <c r="WH154" s="115"/>
      <c r="WI154" s="115"/>
      <c r="WJ154" s="115"/>
      <c r="WK154" s="115"/>
      <c r="WL154" s="115"/>
      <c r="WM154" s="115"/>
      <c r="WN154" s="115"/>
      <c r="WO154" s="115"/>
      <c r="WP154" s="115"/>
      <c r="WQ154" s="115"/>
      <c r="WR154" s="115"/>
      <c r="WS154" s="115"/>
      <c r="WT154" s="115"/>
      <c r="WU154" s="115"/>
      <c r="WV154" s="115"/>
      <c r="WW154" s="115"/>
      <c r="WX154" s="115"/>
      <c r="WY154" s="115"/>
      <c r="WZ154" s="115"/>
      <c r="XA154" s="115"/>
      <c r="XB154" s="115"/>
      <c r="XC154" s="115"/>
      <c r="XD154" s="115"/>
      <c r="XE154" s="115"/>
      <c r="XF154" s="115"/>
      <c r="XG154" s="115"/>
      <c r="XH154" s="115"/>
      <c r="XI154" s="115"/>
      <c r="XJ154" s="115"/>
      <c r="XK154" s="115"/>
      <c r="XL154" s="115"/>
      <c r="XM154" s="115"/>
      <c r="XN154" s="115"/>
      <c r="XO154" s="115"/>
      <c r="XP154" s="115"/>
      <c r="XQ154" s="115"/>
      <c r="XR154" s="115"/>
      <c r="XS154" s="115"/>
      <c r="XT154" s="115"/>
      <c r="XU154" s="115"/>
      <c r="XV154" s="115"/>
      <c r="XW154" s="115"/>
      <c r="XX154" s="115"/>
      <c r="XY154" s="115"/>
      <c r="XZ154" s="115"/>
      <c r="YA154" s="115"/>
      <c r="YB154" s="115"/>
      <c r="YC154" s="115"/>
      <c r="YD154" s="115"/>
      <c r="YE154" s="115"/>
      <c r="YF154" s="115"/>
      <c r="YG154" s="115"/>
      <c r="YH154" s="115"/>
      <c r="YI154" s="115"/>
      <c r="YJ154" s="115"/>
      <c r="YK154" s="115"/>
      <c r="YL154" s="115"/>
      <c r="YM154" s="115"/>
      <c r="YN154" s="115"/>
      <c r="YO154" s="115"/>
      <c r="YP154" s="115"/>
      <c r="YQ154" s="115"/>
      <c r="YX154" s="22">
        <v>0</v>
      </c>
      <c r="YY154" s="22">
        <f>VLOOKUP(B154,'SCAFFOLDING MATERIAL OVERALL'!B156:S338,18,FALSE)</f>
        <v>0</v>
      </c>
      <c r="YZ154" s="22">
        <f t="shared" si="2"/>
        <v>0</v>
      </c>
    </row>
    <row r="155" spans="1:676" s="22" customFormat="1" x14ac:dyDescent="0.25">
      <c r="A155" s="14">
        <v>151</v>
      </c>
      <c r="B155" s="15">
        <v>5000000003</v>
      </c>
      <c r="C155" s="16" t="s">
        <v>165</v>
      </c>
      <c r="D155" s="44" t="s">
        <v>12</v>
      </c>
      <c r="OZ155" s="115"/>
      <c r="PA155" s="115"/>
      <c r="PB155" s="115"/>
      <c r="PC155" s="115"/>
      <c r="PD155" s="115"/>
      <c r="PE155" s="115"/>
      <c r="PF155" s="115"/>
      <c r="PG155" s="115"/>
      <c r="PH155" s="115"/>
      <c r="PI155" s="115"/>
      <c r="PJ155" s="115"/>
      <c r="PK155" s="115"/>
      <c r="PL155" s="115"/>
      <c r="PM155" s="115"/>
      <c r="PN155" s="115"/>
      <c r="PO155" s="115"/>
      <c r="PP155" s="115"/>
      <c r="PQ155" s="115"/>
      <c r="PR155" s="115"/>
      <c r="PS155" s="115"/>
      <c r="PT155" s="115"/>
      <c r="PU155" s="115"/>
      <c r="PV155" s="115"/>
      <c r="PW155" s="115"/>
      <c r="PX155" s="115"/>
      <c r="PY155" s="115"/>
      <c r="PZ155" s="115"/>
      <c r="QA155" s="115"/>
      <c r="QB155" s="115"/>
      <c r="QC155" s="115"/>
      <c r="QD155" s="115"/>
      <c r="QE155" s="115"/>
      <c r="QF155" s="115"/>
      <c r="QG155" s="115"/>
      <c r="QH155" s="115"/>
      <c r="QI155" s="115"/>
      <c r="QJ155" s="115"/>
      <c r="QK155" s="115"/>
      <c r="QL155" s="115"/>
      <c r="QM155" s="115"/>
      <c r="QN155" s="115"/>
      <c r="QO155" s="115"/>
      <c r="QP155" s="115"/>
      <c r="QQ155" s="115"/>
      <c r="QR155" s="115"/>
      <c r="QS155" s="115"/>
      <c r="QT155" s="115"/>
      <c r="QU155" s="115"/>
      <c r="QV155" s="115"/>
      <c r="QW155" s="115"/>
      <c r="QX155" s="115"/>
      <c r="QY155" s="115"/>
      <c r="QZ155" s="115"/>
      <c r="RA155" s="115"/>
      <c r="RB155" s="115"/>
      <c r="RC155" s="115"/>
      <c r="RD155" s="115"/>
      <c r="RE155" s="115"/>
      <c r="RF155" s="115"/>
      <c r="RG155" s="115"/>
      <c r="RH155" s="115"/>
      <c r="RI155" s="115"/>
      <c r="RJ155" s="115"/>
      <c r="RK155" s="115"/>
      <c r="RL155" s="115"/>
      <c r="RM155" s="115"/>
      <c r="RN155" s="115"/>
      <c r="RO155" s="115"/>
      <c r="RP155" s="115"/>
      <c r="RQ155" s="115"/>
      <c r="RR155" s="115"/>
      <c r="RS155" s="115"/>
      <c r="RT155" s="115"/>
      <c r="RU155" s="115"/>
      <c r="RV155" s="115"/>
      <c r="RW155" s="115"/>
      <c r="RX155" s="115"/>
      <c r="RY155" s="115"/>
      <c r="RZ155" s="115"/>
      <c r="SA155" s="115"/>
      <c r="SB155" s="115"/>
      <c r="SC155" s="115"/>
      <c r="SD155" s="115"/>
      <c r="SE155" s="115"/>
      <c r="SF155" s="115"/>
      <c r="SG155" s="115"/>
      <c r="SH155" s="115"/>
      <c r="SI155" s="115"/>
      <c r="SJ155" s="115"/>
      <c r="SK155" s="115"/>
      <c r="SL155" s="115"/>
      <c r="SM155" s="115"/>
      <c r="SN155" s="115"/>
      <c r="SO155" s="115"/>
      <c r="SP155" s="115"/>
      <c r="SQ155" s="115"/>
      <c r="SR155" s="115"/>
      <c r="SS155" s="115"/>
      <c r="ST155" s="115"/>
      <c r="SU155" s="115"/>
      <c r="SV155" s="115"/>
      <c r="SW155" s="115"/>
      <c r="SX155" s="115"/>
      <c r="SY155" s="115"/>
      <c r="SZ155" s="115"/>
      <c r="TA155" s="115"/>
      <c r="TB155" s="115"/>
      <c r="TC155" s="115"/>
      <c r="TD155" s="115"/>
      <c r="TE155" s="115"/>
      <c r="TF155" s="115"/>
      <c r="TG155" s="115"/>
      <c r="TH155" s="115"/>
      <c r="TI155" s="115"/>
      <c r="TJ155" s="115"/>
      <c r="TK155" s="115"/>
      <c r="TL155" s="115"/>
      <c r="TM155" s="115"/>
      <c r="TN155" s="115"/>
      <c r="TO155" s="115"/>
      <c r="TP155" s="115"/>
      <c r="TQ155" s="115"/>
      <c r="TR155" s="115"/>
      <c r="TS155" s="115"/>
      <c r="TT155" s="115"/>
      <c r="TU155" s="115"/>
      <c r="TV155" s="115"/>
      <c r="TW155" s="115"/>
      <c r="TX155" s="115"/>
      <c r="TY155" s="115"/>
      <c r="TZ155" s="115"/>
      <c r="UA155" s="115"/>
      <c r="UB155" s="115"/>
      <c r="UC155" s="115"/>
      <c r="UD155" s="115"/>
      <c r="UE155" s="115"/>
      <c r="UF155" s="115"/>
      <c r="UG155" s="115"/>
      <c r="UH155" s="115"/>
      <c r="UI155" s="115"/>
      <c r="UJ155" s="115"/>
      <c r="UK155" s="115"/>
      <c r="UL155" s="115"/>
      <c r="UM155" s="115"/>
      <c r="UN155" s="115"/>
      <c r="UO155" s="115"/>
      <c r="UP155" s="115"/>
      <c r="UQ155" s="115"/>
      <c r="UR155" s="115"/>
      <c r="US155" s="115"/>
      <c r="UT155" s="115"/>
      <c r="UU155" s="115"/>
      <c r="UV155" s="115"/>
      <c r="UW155" s="115"/>
      <c r="UX155" s="115"/>
      <c r="UY155" s="115"/>
      <c r="UZ155" s="115"/>
      <c r="VA155" s="115"/>
      <c r="VB155" s="115"/>
      <c r="VC155" s="115"/>
      <c r="VD155" s="115"/>
      <c r="VE155" s="115"/>
      <c r="VF155" s="115"/>
      <c r="VG155" s="115"/>
      <c r="VH155" s="115"/>
      <c r="VI155" s="115"/>
      <c r="VJ155" s="115"/>
      <c r="VK155" s="115"/>
      <c r="VL155" s="115"/>
      <c r="VM155" s="115"/>
      <c r="VN155" s="115"/>
      <c r="VO155" s="115"/>
      <c r="VP155" s="115"/>
      <c r="VQ155" s="115"/>
      <c r="VR155" s="115"/>
      <c r="VS155" s="115"/>
      <c r="VT155" s="115"/>
      <c r="VU155" s="115"/>
      <c r="VV155" s="115"/>
      <c r="VW155" s="115"/>
      <c r="VX155" s="115"/>
      <c r="VY155" s="115"/>
      <c r="VZ155" s="115"/>
      <c r="WA155" s="115"/>
      <c r="WB155" s="115"/>
      <c r="WC155" s="115"/>
      <c r="WD155" s="115"/>
      <c r="WE155" s="115"/>
      <c r="WF155" s="115"/>
      <c r="WG155" s="115"/>
      <c r="WH155" s="115"/>
      <c r="WI155" s="115"/>
      <c r="WJ155" s="115"/>
      <c r="WK155" s="115"/>
      <c r="WL155" s="115"/>
      <c r="WM155" s="115"/>
      <c r="WN155" s="115"/>
      <c r="WO155" s="115"/>
      <c r="WP155" s="115"/>
      <c r="WQ155" s="115"/>
      <c r="WR155" s="115"/>
      <c r="WS155" s="115"/>
      <c r="WT155" s="115"/>
      <c r="WU155" s="115"/>
      <c r="WV155" s="115"/>
      <c r="WW155" s="115"/>
      <c r="WX155" s="115"/>
      <c r="WY155" s="115"/>
      <c r="WZ155" s="115"/>
      <c r="XA155" s="115"/>
      <c r="XB155" s="115"/>
      <c r="XC155" s="115"/>
      <c r="XD155" s="115"/>
      <c r="XE155" s="115"/>
      <c r="XF155" s="115"/>
      <c r="XG155" s="115"/>
      <c r="XH155" s="115"/>
      <c r="XI155" s="115"/>
      <c r="XJ155" s="115"/>
      <c r="XK155" s="115"/>
      <c r="XL155" s="115"/>
      <c r="XM155" s="115"/>
      <c r="XN155" s="115"/>
      <c r="XO155" s="115"/>
      <c r="XP155" s="115"/>
      <c r="XQ155" s="115"/>
      <c r="XR155" s="115"/>
      <c r="XS155" s="115"/>
      <c r="XT155" s="115"/>
      <c r="XU155" s="115"/>
      <c r="XV155" s="115"/>
      <c r="XW155" s="115"/>
      <c r="XX155" s="115"/>
      <c r="XY155" s="115"/>
      <c r="XZ155" s="115"/>
      <c r="YA155" s="115"/>
      <c r="YB155" s="115"/>
      <c r="YC155" s="115"/>
      <c r="YD155" s="115"/>
      <c r="YE155" s="115"/>
      <c r="YF155" s="115"/>
      <c r="YG155" s="115"/>
      <c r="YH155" s="115"/>
      <c r="YI155" s="115"/>
      <c r="YJ155" s="115"/>
      <c r="YK155" s="115"/>
      <c r="YL155" s="115"/>
      <c r="YM155" s="115"/>
      <c r="YN155" s="115"/>
      <c r="YO155" s="115"/>
      <c r="YP155" s="115"/>
      <c r="YQ155" s="115"/>
      <c r="YX155" s="22">
        <v>0</v>
      </c>
      <c r="YY155" s="22">
        <f>VLOOKUP(B155,'SCAFFOLDING MATERIAL OVERALL'!B157:S339,18,FALSE)</f>
        <v>0</v>
      </c>
      <c r="YZ155" s="22">
        <f t="shared" si="2"/>
        <v>0</v>
      </c>
    </row>
    <row r="156" spans="1:676" s="22" customFormat="1" x14ac:dyDescent="0.25">
      <c r="A156" s="17">
        <v>152</v>
      </c>
      <c r="B156" s="15">
        <v>5000000002</v>
      </c>
      <c r="C156" t="s">
        <v>166</v>
      </c>
      <c r="D156" s="44" t="s">
        <v>12</v>
      </c>
      <c r="OZ156" s="115"/>
      <c r="PA156" s="115"/>
      <c r="PB156" s="115"/>
      <c r="PC156" s="115"/>
      <c r="PD156" s="115"/>
      <c r="PE156" s="115"/>
      <c r="PF156" s="115"/>
      <c r="PG156" s="115"/>
      <c r="PH156" s="115"/>
      <c r="PI156" s="115"/>
      <c r="PJ156" s="115"/>
      <c r="PK156" s="115"/>
      <c r="PL156" s="115"/>
      <c r="PM156" s="115"/>
      <c r="PN156" s="115"/>
      <c r="PO156" s="115"/>
      <c r="PP156" s="115"/>
      <c r="PQ156" s="115"/>
      <c r="PR156" s="115"/>
      <c r="PS156" s="115"/>
      <c r="PT156" s="115"/>
      <c r="PU156" s="115"/>
      <c r="PV156" s="115"/>
      <c r="PW156" s="115"/>
      <c r="PX156" s="115"/>
      <c r="PY156" s="115"/>
      <c r="PZ156" s="115"/>
      <c r="QA156" s="115"/>
      <c r="QB156" s="115"/>
      <c r="QC156" s="115"/>
      <c r="QD156" s="115"/>
      <c r="QE156" s="115"/>
      <c r="QF156" s="115"/>
      <c r="QG156" s="115"/>
      <c r="QH156" s="115"/>
      <c r="QI156" s="115"/>
      <c r="QJ156" s="115"/>
      <c r="QK156" s="115"/>
      <c r="QL156" s="115"/>
      <c r="QM156" s="115"/>
      <c r="QN156" s="115"/>
      <c r="QO156" s="115"/>
      <c r="QP156" s="115"/>
      <c r="QQ156" s="115"/>
      <c r="QR156" s="115"/>
      <c r="QS156" s="115"/>
      <c r="QT156" s="115"/>
      <c r="QU156" s="115"/>
      <c r="QV156" s="115"/>
      <c r="QW156" s="115"/>
      <c r="QX156" s="115"/>
      <c r="QY156" s="115"/>
      <c r="QZ156" s="115"/>
      <c r="RA156" s="115"/>
      <c r="RB156" s="115"/>
      <c r="RC156" s="115"/>
      <c r="RD156" s="115"/>
      <c r="RE156" s="115"/>
      <c r="RF156" s="115"/>
      <c r="RG156" s="115"/>
      <c r="RH156" s="115"/>
      <c r="RI156" s="115"/>
      <c r="RJ156" s="115"/>
      <c r="RK156" s="115"/>
      <c r="RL156" s="115"/>
      <c r="RM156" s="115"/>
      <c r="RN156" s="115"/>
      <c r="RO156" s="115"/>
      <c r="RP156" s="115"/>
      <c r="RQ156" s="115"/>
      <c r="RR156" s="115"/>
      <c r="RS156" s="115"/>
      <c r="RT156" s="115"/>
      <c r="RU156" s="115"/>
      <c r="RV156" s="115"/>
      <c r="RW156" s="115"/>
      <c r="RX156" s="115"/>
      <c r="RY156" s="115"/>
      <c r="RZ156" s="115"/>
      <c r="SA156" s="115"/>
      <c r="SB156" s="115"/>
      <c r="SC156" s="115"/>
      <c r="SD156" s="115"/>
      <c r="SE156" s="115"/>
      <c r="SF156" s="115"/>
      <c r="SG156" s="115"/>
      <c r="SH156" s="115"/>
      <c r="SI156" s="115"/>
      <c r="SJ156" s="115"/>
      <c r="SK156" s="115"/>
      <c r="SL156" s="115"/>
      <c r="SM156" s="115"/>
      <c r="SN156" s="115"/>
      <c r="SO156" s="115"/>
      <c r="SP156" s="115"/>
      <c r="SQ156" s="115"/>
      <c r="SR156" s="115"/>
      <c r="SS156" s="115"/>
      <c r="ST156" s="115"/>
      <c r="SU156" s="115"/>
      <c r="SV156" s="115"/>
      <c r="SW156" s="115"/>
      <c r="SX156" s="115"/>
      <c r="SY156" s="115"/>
      <c r="SZ156" s="115"/>
      <c r="TA156" s="115"/>
      <c r="TB156" s="115"/>
      <c r="TC156" s="115"/>
      <c r="TD156" s="115"/>
      <c r="TE156" s="115"/>
      <c r="TF156" s="115"/>
      <c r="TG156" s="115"/>
      <c r="TH156" s="115"/>
      <c r="TI156" s="115"/>
      <c r="TJ156" s="115"/>
      <c r="TK156" s="115"/>
      <c r="TL156" s="115"/>
      <c r="TM156" s="115"/>
      <c r="TN156" s="115"/>
      <c r="TO156" s="115"/>
      <c r="TP156" s="115"/>
      <c r="TQ156" s="115"/>
      <c r="TR156" s="115"/>
      <c r="TS156" s="115"/>
      <c r="TT156" s="115"/>
      <c r="TU156" s="115"/>
      <c r="TV156" s="115"/>
      <c r="TW156" s="115"/>
      <c r="TX156" s="115"/>
      <c r="TY156" s="115"/>
      <c r="TZ156" s="115"/>
      <c r="UA156" s="115"/>
      <c r="UB156" s="115"/>
      <c r="UC156" s="115"/>
      <c r="UD156" s="115"/>
      <c r="UE156" s="115"/>
      <c r="UF156" s="115"/>
      <c r="UG156" s="115"/>
      <c r="UH156" s="115"/>
      <c r="UI156" s="115"/>
      <c r="UJ156" s="115"/>
      <c r="UK156" s="115"/>
      <c r="UL156" s="115"/>
      <c r="UM156" s="115"/>
      <c r="UN156" s="115"/>
      <c r="UO156" s="115"/>
      <c r="UP156" s="115"/>
      <c r="UQ156" s="115"/>
      <c r="UR156" s="115"/>
      <c r="US156" s="115"/>
      <c r="UT156" s="115"/>
      <c r="UU156" s="115"/>
      <c r="UV156" s="115"/>
      <c r="UW156" s="115"/>
      <c r="UX156" s="115"/>
      <c r="UY156" s="115"/>
      <c r="UZ156" s="115"/>
      <c r="VA156" s="115"/>
      <c r="VB156" s="115"/>
      <c r="VC156" s="115"/>
      <c r="VD156" s="115"/>
      <c r="VE156" s="115"/>
      <c r="VF156" s="115"/>
      <c r="VG156" s="115"/>
      <c r="VH156" s="115"/>
      <c r="VI156" s="115"/>
      <c r="VJ156" s="115"/>
      <c r="VK156" s="115"/>
      <c r="VL156" s="115"/>
      <c r="VM156" s="115"/>
      <c r="VN156" s="115"/>
      <c r="VO156" s="115"/>
      <c r="VP156" s="115"/>
      <c r="VQ156" s="115"/>
      <c r="VR156" s="115"/>
      <c r="VS156" s="115"/>
      <c r="VT156" s="115"/>
      <c r="VU156" s="115"/>
      <c r="VV156" s="115"/>
      <c r="VW156" s="115"/>
      <c r="VX156" s="115"/>
      <c r="VY156" s="115"/>
      <c r="VZ156" s="115"/>
      <c r="WA156" s="115"/>
      <c r="WB156" s="115"/>
      <c r="WC156" s="115"/>
      <c r="WD156" s="115"/>
      <c r="WE156" s="115"/>
      <c r="WF156" s="115"/>
      <c r="WG156" s="115"/>
      <c r="WH156" s="115"/>
      <c r="WI156" s="115"/>
      <c r="WJ156" s="115"/>
      <c r="WK156" s="115"/>
      <c r="WL156" s="115"/>
      <c r="WM156" s="115"/>
      <c r="WN156" s="115"/>
      <c r="WO156" s="115"/>
      <c r="WP156" s="115"/>
      <c r="WQ156" s="115"/>
      <c r="WR156" s="115"/>
      <c r="WS156" s="115"/>
      <c r="WT156" s="115"/>
      <c r="WU156" s="115"/>
      <c r="WV156" s="115"/>
      <c r="WW156" s="115"/>
      <c r="WX156" s="115"/>
      <c r="WY156" s="115"/>
      <c r="WZ156" s="115"/>
      <c r="XA156" s="115"/>
      <c r="XB156" s="115"/>
      <c r="XC156" s="115"/>
      <c r="XD156" s="115"/>
      <c r="XE156" s="115"/>
      <c r="XF156" s="115"/>
      <c r="XG156" s="115"/>
      <c r="XH156" s="115"/>
      <c r="XI156" s="115"/>
      <c r="XJ156" s="115"/>
      <c r="XK156" s="115"/>
      <c r="XL156" s="115"/>
      <c r="XM156" s="115"/>
      <c r="XN156" s="115"/>
      <c r="XO156" s="115"/>
      <c r="XP156" s="115"/>
      <c r="XQ156" s="115"/>
      <c r="XR156" s="115"/>
      <c r="XS156" s="115"/>
      <c r="XT156" s="115"/>
      <c r="XU156" s="115"/>
      <c r="XV156" s="115"/>
      <c r="XW156" s="115"/>
      <c r="XX156" s="115"/>
      <c r="XY156" s="115"/>
      <c r="XZ156" s="115"/>
      <c r="YA156" s="115"/>
      <c r="YB156" s="115"/>
      <c r="YC156" s="115"/>
      <c r="YD156" s="115"/>
      <c r="YE156" s="115"/>
      <c r="YF156" s="115"/>
      <c r="YG156" s="115"/>
      <c r="YH156" s="115"/>
      <c r="YI156" s="115"/>
      <c r="YJ156" s="115"/>
      <c r="YK156" s="115"/>
      <c r="YL156" s="115"/>
      <c r="YM156" s="115"/>
      <c r="YN156" s="115"/>
      <c r="YO156" s="115"/>
      <c r="YP156" s="115"/>
      <c r="YQ156" s="115"/>
      <c r="YX156" s="22">
        <v>0</v>
      </c>
      <c r="YY156" s="22">
        <f>VLOOKUP(B156,'SCAFFOLDING MATERIAL OVERALL'!B158:S340,18,FALSE)</f>
        <v>0</v>
      </c>
      <c r="YZ156" s="22">
        <f t="shared" si="2"/>
        <v>0</v>
      </c>
    </row>
    <row r="157" spans="1:676" s="22" customFormat="1" x14ac:dyDescent="0.25">
      <c r="A157" s="14">
        <v>153</v>
      </c>
      <c r="B157" s="15">
        <v>5000000001</v>
      </c>
      <c r="C157" s="16" t="s">
        <v>167</v>
      </c>
      <c r="D157" s="44" t="s">
        <v>12</v>
      </c>
      <c r="OZ157" s="115"/>
      <c r="PA157" s="115"/>
      <c r="PB157" s="115"/>
      <c r="PC157" s="115"/>
      <c r="PD157" s="115"/>
      <c r="PE157" s="115"/>
      <c r="PF157" s="115"/>
      <c r="PG157" s="115"/>
      <c r="PH157" s="115"/>
      <c r="PI157" s="115"/>
      <c r="PJ157" s="115"/>
      <c r="PK157" s="115"/>
      <c r="PL157" s="115"/>
      <c r="PM157" s="115"/>
      <c r="PN157" s="115"/>
      <c r="PO157" s="115"/>
      <c r="PP157" s="115"/>
      <c r="PQ157" s="115"/>
      <c r="PR157" s="115"/>
      <c r="PS157" s="115"/>
      <c r="PT157" s="115"/>
      <c r="PU157" s="115"/>
      <c r="PV157" s="115"/>
      <c r="PW157" s="115"/>
      <c r="PX157" s="115"/>
      <c r="PY157" s="115"/>
      <c r="PZ157" s="115"/>
      <c r="QA157" s="115"/>
      <c r="QB157" s="115"/>
      <c r="QC157" s="115"/>
      <c r="QD157" s="115"/>
      <c r="QE157" s="115"/>
      <c r="QF157" s="115"/>
      <c r="QG157" s="115"/>
      <c r="QH157" s="115"/>
      <c r="QI157" s="115"/>
      <c r="QJ157" s="115"/>
      <c r="QK157" s="115"/>
      <c r="QL157" s="115"/>
      <c r="QM157" s="115"/>
      <c r="QN157" s="115"/>
      <c r="QO157" s="115"/>
      <c r="QP157" s="115"/>
      <c r="QQ157" s="115"/>
      <c r="QR157" s="115"/>
      <c r="QS157" s="115"/>
      <c r="QT157" s="115"/>
      <c r="QU157" s="115"/>
      <c r="QV157" s="115"/>
      <c r="QW157" s="115"/>
      <c r="QX157" s="115"/>
      <c r="QY157" s="115"/>
      <c r="QZ157" s="115"/>
      <c r="RA157" s="115"/>
      <c r="RB157" s="115"/>
      <c r="RC157" s="115"/>
      <c r="RD157" s="115"/>
      <c r="RE157" s="115"/>
      <c r="RF157" s="115"/>
      <c r="RG157" s="115"/>
      <c r="RH157" s="115"/>
      <c r="RI157" s="115"/>
      <c r="RJ157" s="115"/>
      <c r="RK157" s="115"/>
      <c r="RL157" s="115"/>
      <c r="RM157" s="115"/>
      <c r="RN157" s="115"/>
      <c r="RO157" s="115"/>
      <c r="RP157" s="115"/>
      <c r="RQ157" s="115"/>
      <c r="RR157" s="115"/>
      <c r="RS157" s="115"/>
      <c r="RT157" s="115"/>
      <c r="RU157" s="115"/>
      <c r="RV157" s="115"/>
      <c r="RW157" s="115"/>
      <c r="RX157" s="115"/>
      <c r="RY157" s="115"/>
      <c r="RZ157" s="115"/>
      <c r="SA157" s="115"/>
      <c r="SB157" s="115"/>
      <c r="SC157" s="115"/>
      <c r="SD157" s="115"/>
      <c r="SE157" s="115"/>
      <c r="SF157" s="115"/>
      <c r="SG157" s="115"/>
      <c r="SH157" s="115"/>
      <c r="SI157" s="115"/>
      <c r="SJ157" s="115"/>
      <c r="SK157" s="115"/>
      <c r="SL157" s="115"/>
      <c r="SM157" s="115"/>
      <c r="SN157" s="115"/>
      <c r="SO157" s="115"/>
      <c r="SP157" s="115"/>
      <c r="SQ157" s="115"/>
      <c r="SR157" s="115"/>
      <c r="SS157" s="115"/>
      <c r="ST157" s="115"/>
      <c r="SU157" s="115"/>
      <c r="SV157" s="115"/>
      <c r="SW157" s="115"/>
      <c r="SX157" s="115"/>
      <c r="SY157" s="115"/>
      <c r="SZ157" s="115"/>
      <c r="TA157" s="115"/>
      <c r="TB157" s="115"/>
      <c r="TC157" s="115"/>
      <c r="TD157" s="115"/>
      <c r="TE157" s="115"/>
      <c r="TF157" s="115"/>
      <c r="TG157" s="115"/>
      <c r="TH157" s="115"/>
      <c r="TI157" s="115"/>
      <c r="TJ157" s="115"/>
      <c r="TK157" s="115"/>
      <c r="TL157" s="115"/>
      <c r="TM157" s="115"/>
      <c r="TN157" s="115"/>
      <c r="TO157" s="115"/>
      <c r="TP157" s="115"/>
      <c r="TQ157" s="115"/>
      <c r="TR157" s="115"/>
      <c r="TS157" s="115"/>
      <c r="TT157" s="115"/>
      <c r="TU157" s="115"/>
      <c r="TV157" s="115"/>
      <c r="TW157" s="115"/>
      <c r="TX157" s="115"/>
      <c r="TY157" s="115"/>
      <c r="TZ157" s="115"/>
      <c r="UA157" s="115"/>
      <c r="UB157" s="115"/>
      <c r="UC157" s="115"/>
      <c r="UD157" s="115"/>
      <c r="UE157" s="115"/>
      <c r="UF157" s="115"/>
      <c r="UG157" s="115"/>
      <c r="UH157" s="115"/>
      <c r="UI157" s="115"/>
      <c r="UJ157" s="115"/>
      <c r="UK157" s="115"/>
      <c r="UL157" s="115"/>
      <c r="UM157" s="115"/>
      <c r="UN157" s="115"/>
      <c r="UO157" s="115"/>
      <c r="UP157" s="115"/>
      <c r="UQ157" s="115"/>
      <c r="UR157" s="115"/>
      <c r="US157" s="115"/>
      <c r="UT157" s="115"/>
      <c r="UU157" s="115"/>
      <c r="UV157" s="115"/>
      <c r="UW157" s="115"/>
      <c r="UX157" s="115"/>
      <c r="UY157" s="115"/>
      <c r="UZ157" s="115"/>
      <c r="VA157" s="115"/>
      <c r="VB157" s="115"/>
      <c r="VC157" s="115"/>
      <c r="VD157" s="115"/>
      <c r="VE157" s="115"/>
      <c r="VF157" s="115"/>
      <c r="VG157" s="115"/>
      <c r="VH157" s="115"/>
      <c r="VI157" s="115"/>
      <c r="VJ157" s="115"/>
      <c r="VK157" s="115"/>
      <c r="VL157" s="115"/>
      <c r="VM157" s="115"/>
      <c r="VN157" s="115"/>
      <c r="VO157" s="115"/>
      <c r="VP157" s="115"/>
      <c r="VQ157" s="115"/>
      <c r="VR157" s="115"/>
      <c r="VS157" s="115"/>
      <c r="VT157" s="115"/>
      <c r="VU157" s="115"/>
      <c r="VV157" s="115"/>
      <c r="VW157" s="115"/>
      <c r="VX157" s="115"/>
      <c r="VY157" s="115"/>
      <c r="VZ157" s="115"/>
      <c r="WA157" s="115"/>
      <c r="WB157" s="115"/>
      <c r="WC157" s="115"/>
      <c r="WD157" s="115"/>
      <c r="WE157" s="115"/>
      <c r="WF157" s="115"/>
      <c r="WG157" s="115"/>
      <c r="WH157" s="115"/>
      <c r="WI157" s="115"/>
      <c r="WJ157" s="115"/>
      <c r="WK157" s="115"/>
      <c r="WL157" s="115"/>
      <c r="WM157" s="115"/>
      <c r="WN157" s="115"/>
      <c r="WO157" s="115"/>
      <c r="WP157" s="115"/>
      <c r="WQ157" s="115"/>
      <c r="WR157" s="115"/>
      <c r="WS157" s="115"/>
      <c r="WT157" s="115"/>
      <c r="WU157" s="115"/>
      <c r="WV157" s="115"/>
      <c r="WW157" s="115"/>
      <c r="WX157" s="115"/>
      <c r="WY157" s="115"/>
      <c r="WZ157" s="115"/>
      <c r="XA157" s="115"/>
      <c r="XB157" s="115"/>
      <c r="XC157" s="115"/>
      <c r="XD157" s="115"/>
      <c r="XE157" s="115"/>
      <c r="XF157" s="115"/>
      <c r="XG157" s="115"/>
      <c r="XH157" s="115"/>
      <c r="XI157" s="115"/>
      <c r="XJ157" s="115"/>
      <c r="XK157" s="115"/>
      <c r="XL157" s="115"/>
      <c r="XM157" s="115"/>
      <c r="XN157" s="115"/>
      <c r="XO157" s="115"/>
      <c r="XP157" s="115"/>
      <c r="XQ157" s="115"/>
      <c r="XR157" s="115"/>
      <c r="XS157" s="115"/>
      <c r="XT157" s="115"/>
      <c r="XU157" s="115"/>
      <c r="XV157" s="115"/>
      <c r="XW157" s="115"/>
      <c r="XX157" s="115"/>
      <c r="XY157" s="115"/>
      <c r="XZ157" s="115"/>
      <c r="YA157" s="115"/>
      <c r="YB157" s="115"/>
      <c r="YC157" s="115"/>
      <c r="YD157" s="115"/>
      <c r="YE157" s="115"/>
      <c r="YF157" s="115"/>
      <c r="YG157" s="115"/>
      <c r="YH157" s="115"/>
      <c r="YI157" s="115"/>
      <c r="YJ157" s="115"/>
      <c r="YK157" s="115"/>
      <c r="YL157" s="115"/>
      <c r="YM157" s="115"/>
      <c r="YN157" s="115"/>
      <c r="YO157" s="115"/>
      <c r="YP157" s="115"/>
      <c r="YQ157" s="115"/>
      <c r="YX157" s="22">
        <v>0</v>
      </c>
      <c r="YY157" s="22">
        <f>VLOOKUP(B157,'SCAFFOLDING MATERIAL OVERALL'!B159:S341,18,FALSE)</f>
        <v>0</v>
      </c>
      <c r="YZ157" s="22">
        <f t="shared" si="2"/>
        <v>0</v>
      </c>
    </row>
    <row r="158" spans="1:676" s="22" customFormat="1" x14ac:dyDescent="0.25">
      <c r="A158" s="14">
        <v>154</v>
      </c>
      <c r="B158" s="15">
        <v>1000006666</v>
      </c>
      <c r="C158" s="16" t="s">
        <v>168</v>
      </c>
      <c r="D158" s="44" t="s">
        <v>12</v>
      </c>
      <c r="M158" s="22">
        <v>200</v>
      </c>
      <c r="N158" s="22">
        <v>30</v>
      </c>
      <c r="BV158" s="22">
        <v>12</v>
      </c>
      <c r="GC158" s="22">
        <v>100</v>
      </c>
      <c r="GQ158" s="22">
        <v>6</v>
      </c>
      <c r="LB158" s="22">
        <v>6</v>
      </c>
      <c r="LL158" s="22">
        <v>6</v>
      </c>
      <c r="LU158" s="22">
        <v>6</v>
      </c>
      <c r="MK158" s="22">
        <v>6</v>
      </c>
      <c r="NE158" s="22">
        <v>3</v>
      </c>
      <c r="OZ158" s="115"/>
      <c r="PA158" s="115"/>
      <c r="PB158" s="115"/>
      <c r="PC158" s="115"/>
      <c r="PD158" s="115"/>
      <c r="PE158" s="115"/>
      <c r="PF158" s="115"/>
      <c r="PG158" s="115"/>
      <c r="PH158" s="115"/>
      <c r="PI158" s="115"/>
      <c r="PJ158" s="115"/>
      <c r="PK158" s="115"/>
      <c r="PL158" s="115"/>
      <c r="PM158" s="115"/>
      <c r="PN158" s="115"/>
      <c r="PO158" s="115"/>
      <c r="PP158" s="115"/>
      <c r="PQ158" s="115"/>
      <c r="PR158" s="115"/>
      <c r="PS158" s="115"/>
      <c r="PT158" s="115"/>
      <c r="PU158" s="115"/>
      <c r="PV158" s="115"/>
      <c r="PW158" s="115"/>
      <c r="PX158" s="115"/>
      <c r="PY158" s="115"/>
      <c r="PZ158" s="115"/>
      <c r="QA158" s="115"/>
      <c r="QB158" s="115"/>
      <c r="QC158" s="115"/>
      <c r="QD158" s="115"/>
      <c r="QE158" s="115"/>
      <c r="QF158" s="115"/>
      <c r="QG158" s="115"/>
      <c r="QH158" s="115"/>
      <c r="QI158" s="115"/>
      <c r="QJ158" s="115"/>
      <c r="QK158" s="115"/>
      <c r="QL158" s="115"/>
      <c r="QM158" s="115"/>
      <c r="QN158" s="115"/>
      <c r="QO158" s="115"/>
      <c r="QP158" s="115"/>
      <c r="QQ158" s="115"/>
      <c r="QR158" s="115"/>
      <c r="QS158" s="115"/>
      <c r="QT158" s="115"/>
      <c r="QU158" s="115"/>
      <c r="QV158" s="115"/>
      <c r="QW158" s="115"/>
      <c r="QX158" s="115"/>
      <c r="QY158" s="115"/>
      <c r="QZ158" s="115"/>
      <c r="RA158" s="115"/>
      <c r="RB158" s="115"/>
      <c r="RC158" s="115"/>
      <c r="RD158" s="115"/>
      <c r="RE158" s="115"/>
      <c r="RF158" s="115"/>
      <c r="RG158" s="115"/>
      <c r="RH158" s="115"/>
      <c r="RI158" s="115"/>
      <c r="RJ158" s="115"/>
      <c r="RK158" s="115"/>
      <c r="RL158" s="115"/>
      <c r="RM158" s="115"/>
      <c r="RN158" s="115"/>
      <c r="RO158" s="115"/>
      <c r="RP158" s="115"/>
      <c r="RQ158" s="115"/>
      <c r="RR158" s="115"/>
      <c r="RS158" s="115"/>
      <c r="RT158" s="115"/>
      <c r="RU158" s="115"/>
      <c r="RV158" s="115"/>
      <c r="RW158" s="115"/>
      <c r="RX158" s="115"/>
      <c r="RY158" s="115"/>
      <c r="RZ158" s="115"/>
      <c r="SA158" s="115"/>
      <c r="SB158" s="115"/>
      <c r="SC158" s="115"/>
      <c r="SD158" s="115"/>
      <c r="SE158" s="115"/>
      <c r="SF158" s="115"/>
      <c r="SG158" s="115"/>
      <c r="SH158" s="115"/>
      <c r="SI158" s="115"/>
      <c r="SJ158" s="115"/>
      <c r="SK158" s="115"/>
      <c r="SL158" s="115"/>
      <c r="SM158" s="115"/>
      <c r="SN158" s="115"/>
      <c r="SO158" s="115"/>
      <c r="SP158" s="115"/>
      <c r="SQ158" s="115"/>
      <c r="SR158" s="115"/>
      <c r="SS158" s="115"/>
      <c r="ST158" s="115"/>
      <c r="SU158" s="115"/>
      <c r="SV158" s="115"/>
      <c r="SW158" s="115"/>
      <c r="SX158" s="115"/>
      <c r="SY158" s="115"/>
      <c r="SZ158" s="115"/>
      <c r="TA158" s="115"/>
      <c r="TB158" s="115"/>
      <c r="TC158" s="115"/>
      <c r="TD158" s="115"/>
      <c r="TE158" s="115"/>
      <c r="TF158" s="115"/>
      <c r="TG158" s="115"/>
      <c r="TH158" s="115"/>
      <c r="TI158" s="115"/>
      <c r="TJ158" s="115"/>
      <c r="TK158" s="115"/>
      <c r="TL158" s="115"/>
      <c r="TM158" s="115"/>
      <c r="TN158" s="115"/>
      <c r="TO158" s="115"/>
      <c r="TP158" s="115"/>
      <c r="TQ158" s="115"/>
      <c r="TR158" s="115"/>
      <c r="TS158" s="115"/>
      <c r="TT158" s="115"/>
      <c r="TU158" s="115"/>
      <c r="TV158" s="115"/>
      <c r="TW158" s="115"/>
      <c r="TX158" s="115"/>
      <c r="TY158" s="115"/>
      <c r="TZ158" s="115"/>
      <c r="UA158" s="115"/>
      <c r="UB158" s="115"/>
      <c r="UC158" s="115"/>
      <c r="UD158" s="115"/>
      <c r="UE158" s="115"/>
      <c r="UF158" s="115"/>
      <c r="UG158" s="115"/>
      <c r="UH158" s="115"/>
      <c r="UI158" s="115"/>
      <c r="UJ158" s="115"/>
      <c r="UK158" s="115"/>
      <c r="UL158" s="115"/>
      <c r="UM158" s="115"/>
      <c r="UN158" s="115"/>
      <c r="UO158" s="115"/>
      <c r="UP158" s="115"/>
      <c r="UQ158" s="115"/>
      <c r="UR158" s="115"/>
      <c r="US158" s="115"/>
      <c r="UT158" s="115"/>
      <c r="UU158" s="115"/>
      <c r="UV158" s="115"/>
      <c r="UW158" s="115"/>
      <c r="UX158" s="115"/>
      <c r="UY158" s="115"/>
      <c r="UZ158" s="115"/>
      <c r="VA158" s="115"/>
      <c r="VB158" s="115"/>
      <c r="VC158" s="115"/>
      <c r="VD158" s="115"/>
      <c r="VE158" s="115"/>
      <c r="VF158" s="115"/>
      <c r="VG158" s="115"/>
      <c r="VH158" s="115"/>
      <c r="VI158" s="115"/>
      <c r="VJ158" s="115"/>
      <c r="VK158" s="115"/>
      <c r="VL158" s="115"/>
      <c r="VM158" s="115"/>
      <c r="VN158" s="115"/>
      <c r="VO158" s="115"/>
      <c r="VP158" s="115"/>
      <c r="VQ158" s="115"/>
      <c r="VR158" s="115"/>
      <c r="VS158" s="115"/>
      <c r="VT158" s="115"/>
      <c r="VU158" s="115"/>
      <c r="VV158" s="115"/>
      <c r="VW158" s="115"/>
      <c r="VX158" s="115"/>
      <c r="VY158" s="115"/>
      <c r="VZ158" s="115"/>
      <c r="WA158" s="115"/>
      <c r="WB158" s="115"/>
      <c r="WC158" s="115"/>
      <c r="WD158" s="115"/>
      <c r="WE158" s="115"/>
      <c r="WF158" s="115"/>
      <c r="WG158" s="115"/>
      <c r="WH158" s="115"/>
      <c r="WI158" s="115"/>
      <c r="WJ158" s="115"/>
      <c r="WK158" s="115"/>
      <c r="WL158" s="115"/>
      <c r="WM158" s="115"/>
      <c r="WN158" s="115"/>
      <c r="WO158" s="115"/>
      <c r="WP158" s="115"/>
      <c r="WQ158" s="115"/>
      <c r="WR158" s="115"/>
      <c r="WS158" s="115"/>
      <c r="WT158" s="115"/>
      <c r="WU158" s="115"/>
      <c r="WV158" s="115"/>
      <c r="WW158" s="115"/>
      <c r="WX158" s="115"/>
      <c r="WY158" s="115"/>
      <c r="WZ158" s="115"/>
      <c r="XA158" s="115"/>
      <c r="XB158" s="115"/>
      <c r="XC158" s="115"/>
      <c r="XD158" s="115"/>
      <c r="XE158" s="115"/>
      <c r="XF158" s="115"/>
      <c r="XG158" s="115"/>
      <c r="XH158" s="115"/>
      <c r="XI158" s="115"/>
      <c r="XJ158" s="115"/>
      <c r="XK158" s="115"/>
      <c r="XL158" s="115"/>
      <c r="XM158" s="115"/>
      <c r="XN158" s="115"/>
      <c r="XO158" s="115"/>
      <c r="XP158" s="115"/>
      <c r="XQ158" s="115"/>
      <c r="XR158" s="115"/>
      <c r="XS158" s="115"/>
      <c r="XT158" s="115"/>
      <c r="XU158" s="115"/>
      <c r="XV158" s="115"/>
      <c r="XW158" s="115"/>
      <c r="XX158" s="115"/>
      <c r="XY158" s="115"/>
      <c r="XZ158" s="115"/>
      <c r="YA158" s="115"/>
      <c r="YB158" s="115"/>
      <c r="YC158" s="115"/>
      <c r="YD158" s="115"/>
      <c r="YE158" s="115"/>
      <c r="YF158" s="115"/>
      <c r="YG158" s="115"/>
      <c r="YH158" s="115"/>
      <c r="YI158" s="115"/>
      <c r="YJ158" s="115"/>
      <c r="YK158" s="115"/>
      <c r="YL158" s="115"/>
      <c r="YM158" s="115"/>
      <c r="YN158" s="115"/>
      <c r="YO158" s="115"/>
      <c r="YP158" s="115"/>
      <c r="YQ158" s="115"/>
      <c r="YX158" s="22">
        <v>375</v>
      </c>
      <c r="YY158" s="22">
        <f>VLOOKUP(B158,'SCAFFOLDING MATERIAL OVERALL'!B160:S342,18,FALSE)</f>
        <v>5</v>
      </c>
      <c r="YZ158" s="22">
        <f t="shared" si="2"/>
        <v>1875</v>
      </c>
    </row>
    <row r="159" spans="1:676" s="22" customFormat="1" x14ac:dyDescent="0.25">
      <c r="A159" s="17">
        <v>155</v>
      </c>
      <c r="B159" s="15">
        <v>4000015675</v>
      </c>
      <c r="C159" s="16" t="s">
        <v>169</v>
      </c>
      <c r="D159" s="44" t="s">
        <v>12</v>
      </c>
      <c r="L159" s="22">
        <v>18</v>
      </c>
      <c r="M159" s="22">
        <v>140</v>
      </c>
      <c r="N159" s="22">
        <v>30</v>
      </c>
      <c r="BV159" s="22">
        <v>39</v>
      </c>
      <c r="DV159" s="22">
        <v>6</v>
      </c>
      <c r="EH159" s="22">
        <v>100</v>
      </c>
      <c r="EL159" s="22">
        <v>37</v>
      </c>
      <c r="EM159" s="22">
        <v>12</v>
      </c>
      <c r="EN159" s="22">
        <v>70</v>
      </c>
      <c r="EY159" s="22">
        <v>116</v>
      </c>
      <c r="FA159" s="22">
        <v>100</v>
      </c>
      <c r="FB159" s="22">
        <v>400</v>
      </c>
      <c r="GE159" s="22">
        <v>40</v>
      </c>
      <c r="GL159" s="22">
        <v>18</v>
      </c>
      <c r="GQ159" s="22">
        <v>10</v>
      </c>
      <c r="GR159" s="22">
        <v>45</v>
      </c>
      <c r="HA159" s="22">
        <v>15</v>
      </c>
      <c r="HR159" s="22">
        <v>98</v>
      </c>
      <c r="HS159" s="22">
        <v>800</v>
      </c>
      <c r="HV159" s="22">
        <v>200</v>
      </c>
      <c r="KX159" s="22">
        <v>25</v>
      </c>
      <c r="LB159" s="22">
        <v>15</v>
      </c>
      <c r="LL159" s="22">
        <v>12</v>
      </c>
      <c r="LU159" s="22">
        <v>9</v>
      </c>
      <c r="MW159" s="22">
        <v>6</v>
      </c>
      <c r="NE159" s="22">
        <v>17</v>
      </c>
      <c r="OW159" s="22">
        <v>200</v>
      </c>
      <c r="OX159" s="22">
        <v>100</v>
      </c>
      <c r="OZ159" s="115"/>
      <c r="PA159" s="115"/>
      <c r="PB159" s="115"/>
      <c r="PC159" s="115"/>
      <c r="PD159" s="115"/>
      <c r="PE159" s="115"/>
      <c r="PF159" s="115"/>
      <c r="PG159" s="115"/>
      <c r="PH159" s="115"/>
      <c r="PI159" s="115"/>
      <c r="PJ159" s="115"/>
      <c r="PK159" s="115"/>
      <c r="PL159" s="115"/>
      <c r="PM159" s="115"/>
      <c r="PN159" s="115"/>
      <c r="PO159" s="115"/>
      <c r="PP159" s="115"/>
      <c r="PQ159" s="115"/>
      <c r="PR159" s="115"/>
      <c r="PS159" s="115"/>
      <c r="PT159" s="115"/>
      <c r="PU159" s="115"/>
      <c r="PV159" s="115"/>
      <c r="PW159" s="115"/>
      <c r="PX159" s="115"/>
      <c r="PY159" s="115"/>
      <c r="PZ159" s="115"/>
      <c r="QA159" s="115"/>
      <c r="QB159" s="115"/>
      <c r="QC159" s="115"/>
      <c r="QD159" s="115"/>
      <c r="QE159" s="115"/>
      <c r="QF159" s="115"/>
      <c r="QG159" s="115"/>
      <c r="QH159" s="115"/>
      <c r="QI159" s="115"/>
      <c r="QJ159" s="115"/>
      <c r="QK159" s="115"/>
      <c r="QL159" s="115"/>
      <c r="QM159" s="115"/>
      <c r="QN159" s="115"/>
      <c r="QO159" s="115"/>
      <c r="QP159" s="115"/>
      <c r="QQ159" s="115"/>
      <c r="QR159" s="115"/>
      <c r="QS159" s="115"/>
      <c r="QT159" s="115"/>
      <c r="QU159" s="115"/>
      <c r="QV159" s="115"/>
      <c r="QW159" s="115"/>
      <c r="QX159" s="115"/>
      <c r="QY159" s="115">
        <v>500</v>
      </c>
      <c r="QZ159" s="115"/>
      <c r="RA159" s="115"/>
      <c r="RB159" s="115"/>
      <c r="RC159" s="115"/>
      <c r="RD159" s="115"/>
      <c r="RE159" s="115"/>
      <c r="RF159" s="115"/>
      <c r="RG159" s="115"/>
      <c r="RH159" s="115"/>
      <c r="RI159" s="115"/>
      <c r="RJ159" s="115"/>
      <c r="RK159" s="115"/>
      <c r="RL159" s="115"/>
      <c r="RM159" s="115"/>
      <c r="RN159" s="115"/>
      <c r="RO159" s="115"/>
      <c r="RP159" s="115"/>
      <c r="RQ159" s="115"/>
      <c r="RR159" s="115"/>
      <c r="RS159" s="115"/>
      <c r="RT159" s="115"/>
      <c r="RU159" s="115"/>
      <c r="RV159" s="115"/>
      <c r="RW159" s="115"/>
      <c r="RX159" s="115"/>
      <c r="RY159" s="115"/>
      <c r="RZ159" s="115"/>
      <c r="SA159" s="115"/>
      <c r="SB159" s="115"/>
      <c r="SC159" s="115"/>
      <c r="SD159" s="115"/>
      <c r="SE159" s="115"/>
      <c r="SF159" s="115"/>
      <c r="SG159" s="115"/>
      <c r="SH159" s="115"/>
      <c r="SI159" s="115"/>
      <c r="SJ159" s="115"/>
      <c r="SK159" s="115"/>
      <c r="SL159" s="115"/>
      <c r="SM159" s="115"/>
      <c r="SN159" s="115"/>
      <c r="SO159" s="115"/>
      <c r="SP159" s="115"/>
      <c r="SQ159" s="115"/>
      <c r="SR159" s="115"/>
      <c r="SS159" s="115"/>
      <c r="ST159" s="115"/>
      <c r="SU159" s="115"/>
      <c r="SV159" s="115"/>
      <c r="SW159" s="115"/>
      <c r="SX159" s="115"/>
      <c r="SY159" s="115"/>
      <c r="SZ159" s="115"/>
      <c r="TA159" s="115"/>
      <c r="TB159" s="115"/>
      <c r="TC159" s="115"/>
      <c r="TD159" s="115"/>
      <c r="TE159" s="115"/>
      <c r="TF159" s="115"/>
      <c r="TG159" s="115"/>
      <c r="TH159" s="115"/>
      <c r="TI159" s="115"/>
      <c r="TJ159" s="115"/>
      <c r="TK159" s="115"/>
      <c r="TL159" s="115"/>
      <c r="TM159" s="115"/>
      <c r="TN159" s="115"/>
      <c r="TO159" s="115"/>
      <c r="TP159" s="115"/>
      <c r="TQ159" s="115"/>
      <c r="TR159" s="115"/>
      <c r="TS159" s="115"/>
      <c r="TT159" s="115"/>
      <c r="TU159" s="115"/>
      <c r="TV159" s="115"/>
      <c r="TW159" s="115"/>
      <c r="TX159" s="115"/>
      <c r="TY159" s="115"/>
      <c r="TZ159" s="115"/>
      <c r="UA159" s="115"/>
      <c r="UB159" s="115"/>
      <c r="UC159" s="115"/>
      <c r="UD159" s="115"/>
      <c r="UE159" s="115"/>
      <c r="UF159" s="115"/>
      <c r="UG159" s="115"/>
      <c r="UH159" s="115"/>
      <c r="UI159" s="115"/>
      <c r="UJ159" s="115"/>
      <c r="UK159" s="115"/>
      <c r="UL159" s="115"/>
      <c r="UM159" s="115"/>
      <c r="UN159" s="115"/>
      <c r="UO159" s="115"/>
      <c r="UP159" s="115"/>
      <c r="UQ159" s="115"/>
      <c r="UR159" s="115"/>
      <c r="US159" s="115"/>
      <c r="UT159" s="115"/>
      <c r="UU159" s="115"/>
      <c r="UV159" s="115"/>
      <c r="UW159" s="115"/>
      <c r="UX159" s="115"/>
      <c r="UY159" s="115"/>
      <c r="UZ159" s="115"/>
      <c r="VA159" s="115"/>
      <c r="VB159" s="115"/>
      <c r="VC159" s="115"/>
      <c r="VD159" s="115"/>
      <c r="VE159" s="115"/>
      <c r="VF159" s="115"/>
      <c r="VG159" s="115"/>
      <c r="VH159" s="115"/>
      <c r="VI159" s="115"/>
      <c r="VJ159" s="115"/>
      <c r="VK159" s="115"/>
      <c r="VL159" s="115"/>
      <c r="VM159" s="115"/>
      <c r="VN159" s="115"/>
      <c r="VO159" s="115"/>
      <c r="VP159" s="115"/>
      <c r="VQ159" s="115"/>
      <c r="VR159" s="115"/>
      <c r="VS159" s="115"/>
      <c r="VT159" s="115"/>
      <c r="VU159" s="115"/>
      <c r="VV159" s="115"/>
      <c r="VW159" s="115"/>
      <c r="VX159" s="115"/>
      <c r="VY159" s="115"/>
      <c r="VZ159" s="115"/>
      <c r="WA159" s="115"/>
      <c r="WB159" s="115"/>
      <c r="WC159" s="115"/>
      <c r="WD159" s="115"/>
      <c r="WE159" s="115"/>
      <c r="WF159" s="115"/>
      <c r="WG159" s="115"/>
      <c r="WH159" s="115"/>
      <c r="WI159" s="115"/>
      <c r="WJ159" s="115"/>
      <c r="WK159" s="115"/>
      <c r="WL159" s="115"/>
      <c r="WM159" s="115"/>
      <c r="WN159" s="115"/>
      <c r="WO159" s="115"/>
      <c r="WP159" s="115"/>
      <c r="WQ159" s="115"/>
      <c r="WR159" s="115"/>
      <c r="WS159" s="115"/>
      <c r="WT159" s="115"/>
      <c r="WU159" s="115"/>
      <c r="WV159" s="115"/>
      <c r="WW159" s="115"/>
      <c r="WX159" s="115"/>
      <c r="WY159" s="115"/>
      <c r="WZ159" s="115"/>
      <c r="XA159" s="115"/>
      <c r="XB159" s="115"/>
      <c r="XC159" s="115"/>
      <c r="XD159" s="115"/>
      <c r="XE159" s="115"/>
      <c r="XF159" s="115"/>
      <c r="XG159" s="115"/>
      <c r="XH159" s="115"/>
      <c r="XI159" s="115"/>
      <c r="XJ159" s="115"/>
      <c r="XK159" s="115"/>
      <c r="XL159" s="115"/>
      <c r="XM159" s="115"/>
      <c r="XN159" s="115"/>
      <c r="XO159" s="115"/>
      <c r="XP159" s="115"/>
      <c r="XQ159" s="115"/>
      <c r="XR159" s="115"/>
      <c r="XS159" s="115"/>
      <c r="XT159" s="115"/>
      <c r="XU159" s="115"/>
      <c r="XV159" s="115"/>
      <c r="XW159" s="115"/>
      <c r="XX159" s="115"/>
      <c r="XY159" s="115"/>
      <c r="XZ159" s="115"/>
      <c r="YA159" s="115"/>
      <c r="YB159" s="115"/>
      <c r="YC159" s="115"/>
      <c r="YD159" s="115"/>
      <c r="YE159" s="115"/>
      <c r="YF159" s="115"/>
      <c r="YG159" s="115"/>
      <c r="YH159" s="115"/>
      <c r="YI159" s="115"/>
      <c r="YJ159" s="115"/>
      <c r="YK159" s="115"/>
      <c r="YL159" s="115"/>
      <c r="YM159" s="115"/>
      <c r="YN159" s="115"/>
      <c r="YO159" s="115"/>
      <c r="YP159" s="115"/>
      <c r="YQ159" s="115"/>
      <c r="YX159" s="22">
        <v>3178</v>
      </c>
      <c r="YY159" s="22">
        <f>VLOOKUP(B159,'SCAFFOLDING MATERIAL OVERALL'!B161:S343,18,FALSE)</f>
        <v>7.1</v>
      </c>
      <c r="YZ159" s="22">
        <f t="shared" si="2"/>
        <v>22563.8</v>
      </c>
    </row>
    <row r="160" spans="1:676" s="22" customFormat="1" x14ac:dyDescent="0.25">
      <c r="A160" s="14">
        <v>156</v>
      </c>
      <c r="B160" s="15">
        <v>4000017082</v>
      </c>
      <c r="C160" s="16" t="s">
        <v>170</v>
      </c>
      <c r="D160" s="44" t="s">
        <v>12</v>
      </c>
      <c r="M160" s="22">
        <v>200</v>
      </c>
      <c r="N160" s="22">
        <v>100</v>
      </c>
      <c r="AB160" s="22">
        <v>900</v>
      </c>
      <c r="AC160" s="22">
        <v>700</v>
      </c>
      <c r="AT160" s="22">
        <v>100</v>
      </c>
      <c r="AU160" s="22">
        <v>200</v>
      </c>
      <c r="DE160" s="22">
        <v>100</v>
      </c>
      <c r="DN160" s="22">
        <v>95</v>
      </c>
      <c r="DV160" s="22">
        <v>12</v>
      </c>
      <c r="EM160" s="22">
        <v>26</v>
      </c>
      <c r="FK160" s="22">
        <v>107</v>
      </c>
      <c r="FM160" s="22">
        <v>100</v>
      </c>
      <c r="GR160" s="22">
        <v>42</v>
      </c>
      <c r="HR160" s="22">
        <v>190</v>
      </c>
      <c r="KX160" s="22">
        <v>11</v>
      </c>
      <c r="LB160" s="22">
        <v>11</v>
      </c>
      <c r="MK160" s="22">
        <v>11</v>
      </c>
      <c r="MW160" s="22">
        <v>11</v>
      </c>
      <c r="OZ160" s="115"/>
      <c r="PA160" s="115"/>
      <c r="PB160" s="115"/>
      <c r="PC160" s="115"/>
      <c r="PD160" s="115"/>
      <c r="PE160" s="115"/>
      <c r="PF160" s="115"/>
      <c r="PG160" s="115"/>
      <c r="PH160" s="115"/>
      <c r="PI160" s="115"/>
      <c r="PJ160" s="115"/>
      <c r="PK160" s="115"/>
      <c r="PL160" s="115"/>
      <c r="PM160" s="115"/>
      <c r="PN160" s="115"/>
      <c r="PO160" s="115"/>
      <c r="PP160" s="115"/>
      <c r="PQ160" s="115"/>
      <c r="PR160" s="115"/>
      <c r="PS160" s="115"/>
      <c r="PT160" s="115"/>
      <c r="PU160" s="115"/>
      <c r="PV160" s="115"/>
      <c r="PW160" s="115"/>
      <c r="PX160" s="115"/>
      <c r="PY160" s="115"/>
      <c r="PZ160" s="115"/>
      <c r="QA160" s="115"/>
      <c r="QB160" s="115"/>
      <c r="QC160" s="115"/>
      <c r="QD160" s="115"/>
      <c r="QE160" s="115"/>
      <c r="QF160" s="115"/>
      <c r="QG160" s="115"/>
      <c r="QH160" s="115"/>
      <c r="QI160" s="115"/>
      <c r="QJ160" s="115"/>
      <c r="QK160" s="115"/>
      <c r="QL160" s="115"/>
      <c r="QM160" s="115"/>
      <c r="QN160" s="115"/>
      <c r="QO160" s="115"/>
      <c r="QP160" s="115"/>
      <c r="QQ160" s="115"/>
      <c r="QR160" s="115"/>
      <c r="QS160" s="115"/>
      <c r="QT160" s="115"/>
      <c r="QU160" s="115"/>
      <c r="QV160" s="115"/>
      <c r="QW160" s="115"/>
      <c r="QX160" s="115"/>
      <c r="QY160" s="115"/>
      <c r="QZ160" s="115"/>
      <c r="RA160" s="115"/>
      <c r="RB160" s="115"/>
      <c r="RC160" s="115"/>
      <c r="RD160" s="115"/>
      <c r="RE160" s="115"/>
      <c r="RF160" s="115"/>
      <c r="RG160" s="115"/>
      <c r="RH160" s="115"/>
      <c r="RI160" s="115"/>
      <c r="RJ160" s="115"/>
      <c r="RK160" s="115"/>
      <c r="RL160" s="115"/>
      <c r="RM160" s="115"/>
      <c r="RN160" s="115"/>
      <c r="RO160" s="115"/>
      <c r="RP160" s="115"/>
      <c r="RQ160" s="115"/>
      <c r="RR160" s="115"/>
      <c r="RS160" s="115"/>
      <c r="RT160" s="115"/>
      <c r="RU160" s="115"/>
      <c r="RV160" s="115"/>
      <c r="RW160" s="115"/>
      <c r="RX160" s="115"/>
      <c r="RY160" s="115"/>
      <c r="RZ160" s="115"/>
      <c r="SA160" s="115"/>
      <c r="SB160" s="115"/>
      <c r="SC160" s="115"/>
      <c r="SD160" s="115"/>
      <c r="SE160" s="115"/>
      <c r="SF160" s="115"/>
      <c r="SG160" s="115"/>
      <c r="SH160" s="115"/>
      <c r="SI160" s="115"/>
      <c r="SJ160" s="115"/>
      <c r="SK160" s="115"/>
      <c r="SL160" s="115"/>
      <c r="SM160" s="115"/>
      <c r="SN160" s="115"/>
      <c r="SO160" s="115"/>
      <c r="SP160" s="115"/>
      <c r="SQ160" s="115"/>
      <c r="SR160" s="115"/>
      <c r="SS160" s="115"/>
      <c r="ST160" s="115"/>
      <c r="SU160" s="115"/>
      <c r="SV160" s="115"/>
      <c r="SW160" s="115"/>
      <c r="SX160" s="115"/>
      <c r="SY160" s="115"/>
      <c r="SZ160" s="115"/>
      <c r="TA160" s="115"/>
      <c r="TB160" s="115"/>
      <c r="TC160" s="115"/>
      <c r="TD160" s="115"/>
      <c r="TE160" s="115"/>
      <c r="TF160" s="115"/>
      <c r="TG160" s="115"/>
      <c r="TH160" s="115"/>
      <c r="TI160" s="115"/>
      <c r="TJ160" s="115"/>
      <c r="TK160" s="115"/>
      <c r="TL160" s="115"/>
      <c r="TM160" s="115"/>
      <c r="TN160" s="115"/>
      <c r="TO160" s="115"/>
      <c r="TP160" s="115"/>
      <c r="TQ160" s="115"/>
      <c r="TR160" s="115"/>
      <c r="TS160" s="115"/>
      <c r="TT160" s="115"/>
      <c r="TU160" s="115"/>
      <c r="TV160" s="115"/>
      <c r="TW160" s="115"/>
      <c r="TX160" s="115"/>
      <c r="TY160" s="115"/>
      <c r="TZ160" s="115"/>
      <c r="UA160" s="115"/>
      <c r="UB160" s="115"/>
      <c r="UC160" s="115"/>
      <c r="UD160" s="115"/>
      <c r="UE160" s="115"/>
      <c r="UF160" s="115"/>
      <c r="UG160" s="115"/>
      <c r="UH160" s="115"/>
      <c r="UI160" s="115"/>
      <c r="UJ160" s="115"/>
      <c r="UK160" s="115"/>
      <c r="UL160" s="115"/>
      <c r="UM160" s="115"/>
      <c r="UN160" s="115"/>
      <c r="UO160" s="115"/>
      <c r="UP160" s="115"/>
      <c r="UQ160" s="115"/>
      <c r="UR160" s="115"/>
      <c r="US160" s="115"/>
      <c r="UT160" s="115"/>
      <c r="UU160" s="115"/>
      <c r="UV160" s="115"/>
      <c r="UW160" s="115"/>
      <c r="UX160" s="115"/>
      <c r="UY160" s="115"/>
      <c r="UZ160" s="115"/>
      <c r="VA160" s="115"/>
      <c r="VB160" s="115"/>
      <c r="VC160" s="115"/>
      <c r="VD160" s="115"/>
      <c r="VE160" s="115"/>
      <c r="VF160" s="115"/>
      <c r="VG160" s="115"/>
      <c r="VH160" s="115"/>
      <c r="VI160" s="115"/>
      <c r="VJ160" s="115"/>
      <c r="VK160" s="115"/>
      <c r="VL160" s="115"/>
      <c r="VM160" s="115"/>
      <c r="VN160" s="115"/>
      <c r="VO160" s="115"/>
      <c r="VP160" s="115"/>
      <c r="VQ160" s="115"/>
      <c r="VR160" s="115"/>
      <c r="VS160" s="115"/>
      <c r="VT160" s="115"/>
      <c r="VU160" s="115"/>
      <c r="VV160" s="115"/>
      <c r="VW160" s="115"/>
      <c r="VX160" s="115"/>
      <c r="VY160" s="115"/>
      <c r="VZ160" s="115"/>
      <c r="WA160" s="115"/>
      <c r="WB160" s="115"/>
      <c r="WC160" s="115"/>
      <c r="WD160" s="115"/>
      <c r="WE160" s="115"/>
      <c r="WF160" s="115"/>
      <c r="WG160" s="115"/>
      <c r="WH160" s="115"/>
      <c r="WI160" s="115"/>
      <c r="WJ160" s="115"/>
      <c r="WK160" s="115"/>
      <c r="WL160" s="115"/>
      <c r="WM160" s="115"/>
      <c r="WN160" s="115"/>
      <c r="WO160" s="115"/>
      <c r="WP160" s="115"/>
      <c r="WQ160" s="115"/>
      <c r="WR160" s="115"/>
      <c r="WS160" s="115"/>
      <c r="WT160" s="115"/>
      <c r="WU160" s="115"/>
      <c r="WV160" s="115"/>
      <c r="WW160" s="115"/>
      <c r="WX160" s="115"/>
      <c r="WY160" s="115"/>
      <c r="WZ160" s="115"/>
      <c r="XA160" s="115"/>
      <c r="XB160" s="115"/>
      <c r="XC160" s="115"/>
      <c r="XD160" s="115"/>
      <c r="XE160" s="115"/>
      <c r="XF160" s="115"/>
      <c r="XG160" s="115"/>
      <c r="XH160" s="115"/>
      <c r="XI160" s="115"/>
      <c r="XJ160" s="115"/>
      <c r="XK160" s="115"/>
      <c r="XL160" s="115"/>
      <c r="XM160" s="115"/>
      <c r="XN160" s="115"/>
      <c r="XO160" s="115"/>
      <c r="XP160" s="115"/>
      <c r="XQ160" s="115"/>
      <c r="XR160" s="115"/>
      <c r="XS160" s="115"/>
      <c r="XT160" s="115"/>
      <c r="XU160" s="115"/>
      <c r="XV160" s="115"/>
      <c r="XW160" s="115"/>
      <c r="XX160" s="115"/>
      <c r="XY160" s="115"/>
      <c r="XZ160" s="115"/>
      <c r="YA160" s="115"/>
      <c r="YB160" s="115"/>
      <c r="YC160" s="115"/>
      <c r="YD160" s="115"/>
      <c r="YE160" s="115"/>
      <c r="YF160" s="115"/>
      <c r="YG160" s="115"/>
      <c r="YH160" s="115"/>
      <c r="YI160" s="115"/>
      <c r="YJ160" s="115"/>
      <c r="YK160" s="115"/>
      <c r="YL160" s="115"/>
      <c r="YM160" s="115"/>
      <c r="YN160" s="115"/>
      <c r="YO160" s="115"/>
      <c r="YP160" s="115"/>
      <c r="YQ160" s="115"/>
      <c r="YX160" s="22">
        <v>2916</v>
      </c>
      <c r="YY160" s="22">
        <f>VLOOKUP(B160,'SCAFFOLDING MATERIAL OVERALL'!B162:S344,18,FALSE)</f>
        <v>9.4670000000000005</v>
      </c>
      <c r="YZ160" s="22">
        <f t="shared" si="2"/>
        <v>27605.772000000001</v>
      </c>
    </row>
    <row r="161" spans="1:676" s="22" customFormat="1" x14ac:dyDescent="0.25">
      <c r="A161" s="14">
        <v>157</v>
      </c>
      <c r="B161" s="15">
        <v>4000017083</v>
      </c>
      <c r="C161" s="16" t="s">
        <v>171</v>
      </c>
      <c r="D161" s="44" t="s">
        <v>12</v>
      </c>
      <c r="M161" s="22">
        <v>90</v>
      </c>
      <c r="N161" s="22">
        <v>32</v>
      </c>
      <c r="FK161" s="22">
        <v>33</v>
      </c>
      <c r="HR161" s="22">
        <v>44</v>
      </c>
      <c r="OZ161" s="115"/>
      <c r="PA161" s="115"/>
      <c r="PB161" s="115"/>
      <c r="PC161" s="115"/>
      <c r="PD161" s="115"/>
      <c r="PE161" s="115"/>
      <c r="PF161" s="115"/>
      <c r="PG161" s="115"/>
      <c r="PH161" s="115"/>
      <c r="PI161" s="115"/>
      <c r="PJ161" s="115"/>
      <c r="PK161" s="115"/>
      <c r="PL161" s="115"/>
      <c r="PM161" s="115"/>
      <c r="PN161" s="115"/>
      <c r="PO161" s="115"/>
      <c r="PP161" s="115"/>
      <c r="PQ161" s="115"/>
      <c r="PR161" s="115"/>
      <c r="PS161" s="115"/>
      <c r="PT161" s="115"/>
      <c r="PU161" s="115"/>
      <c r="PV161" s="115"/>
      <c r="PW161" s="115"/>
      <c r="PX161" s="115"/>
      <c r="PY161" s="115"/>
      <c r="PZ161" s="115"/>
      <c r="QA161" s="115"/>
      <c r="QB161" s="115"/>
      <c r="QC161" s="115"/>
      <c r="QD161" s="115"/>
      <c r="QE161" s="115"/>
      <c r="QF161" s="115"/>
      <c r="QG161" s="115"/>
      <c r="QH161" s="115"/>
      <c r="QI161" s="115"/>
      <c r="QJ161" s="115"/>
      <c r="QK161" s="115"/>
      <c r="QL161" s="115"/>
      <c r="QM161" s="115"/>
      <c r="QN161" s="115"/>
      <c r="QO161" s="115"/>
      <c r="QP161" s="115"/>
      <c r="QQ161" s="115"/>
      <c r="QR161" s="115"/>
      <c r="QS161" s="115"/>
      <c r="QT161" s="115"/>
      <c r="QU161" s="115"/>
      <c r="QV161" s="115"/>
      <c r="QW161" s="115"/>
      <c r="QX161" s="115"/>
      <c r="QY161" s="115"/>
      <c r="QZ161" s="115"/>
      <c r="RA161" s="115"/>
      <c r="RB161" s="115"/>
      <c r="RC161" s="115"/>
      <c r="RD161" s="115"/>
      <c r="RE161" s="115"/>
      <c r="RF161" s="115"/>
      <c r="RG161" s="115"/>
      <c r="RH161" s="115"/>
      <c r="RI161" s="115"/>
      <c r="RJ161" s="115"/>
      <c r="RK161" s="115"/>
      <c r="RL161" s="115"/>
      <c r="RM161" s="115"/>
      <c r="RN161" s="115"/>
      <c r="RO161" s="115"/>
      <c r="RP161" s="115"/>
      <c r="RQ161" s="115"/>
      <c r="RR161" s="115"/>
      <c r="RS161" s="115"/>
      <c r="RT161" s="115"/>
      <c r="RU161" s="115"/>
      <c r="RV161" s="115"/>
      <c r="RW161" s="115"/>
      <c r="RX161" s="115"/>
      <c r="RY161" s="115"/>
      <c r="RZ161" s="115"/>
      <c r="SA161" s="115"/>
      <c r="SB161" s="115"/>
      <c r="SC161" s="115"/>
      <c r="SD161" s="115"/>
      <c r="SE161" s="115"/>
      <c r="SF161" s="115"/>
      <c r="SG161" s="115"/>
      <c r="SH161" s="115"/>
      <c r="SI161" s="115"/>
      <c r="SJ161" s="115"/>
      <c r="SK161" s="115"/>
      <c r="SL161" s="115"/>
      <c r="SM161" s="115"/>
      <c r="SN161" s="115"/>
      <c r="SO161" s="115"/>
      <c r="SP161" s="115"/>
      <c r="SQ161" s="115"/>
      <c r="SR161" s="115"/>
      <c r="SS161" s="115"/>
      <c r="ST161" s="115"/>
      <c r="SU161" s="115"/>
      <c r="SV161" s="115"/>
      <c r="SW161" s="115"/>
      <c r="SX161" s="115"/>
      <c r="SY161" s="115"/>
      <c r="SZ161" s="115"/>
      <c r="TA161" s="115"/>
      <c r="TB161" s="115"/>
      <c r="TC161" s="115"/>
      <c r="TD161" s="115"/>
      <c r="TE161" s="115"/>
      <c r="TF161" s="115"/>
      <c r="TG161" s="115"/>
      <c r="TH161" s="115"/>
      <c r="TI161" s="115"/>
      <c r="TJ161" s="115"/>
      <c r="TK161" s="115"/>
      <c r="TL161" s="115"/>
      <c r="TM161" s="115"/>
      <c r="TN161" s="115"/>
      <c r="TO161" s="115"/>
      <c r="TP161" s="115"/>
      <c r="TQ161" s="115"/>
      <c r="TR161" s="115"/>
      <c r="TS161" s="115"/>
      <c r="TT161" s="115"/>
      <c r="TU161" s="115"/>
      <c r="TV161" s="115"/>
      <c r="TW161" s="115"/>
      <c r="TX161" s="115"/>
      <c r="TY161" s="115"/>
      <c r="TZ161" s="115"/>
      <c r="UA161" s="115"/>
      <c r="UB161" s="115"/>
      <c r="UC161" s="115"/>
      <c r="UD161" s="115"/>
      <c r="UE161" s="115"/>
      <c r="UF161" s="115"/>
      <c r="UG161" s="115"/>
      <c r="UH161" s="115"/>
      <c r="UI161" s="115"/>
      <c r="UJ161" s="115"/>
      <c r="UK161" s="115"/>
      <c r="UL161" s="115"/>
      <c r="UM161" s="115"/>
      <c r="UN161" s="115"/>
      <c r="UO161" s="115"/>
      <c r="UP161" s="115"/>
      <c r="UQ161" s="115"/>
      <c r="UR161" s="115"/>
      <c r="US161" s="115"/>
      <c r="UT161" s="115"/>
      <c r="UU161" s="115"/>
      <c r="UV161" s="115"/>
      <c r="UW161" s="115"/>
      <c r="UX161" s="115"/>
      <c r="UY161" s="115"/>
      <c r="UZ161" s="115"/>
      <c r="VA161" s="115"/>
      <c r="VB161" s="115"/>
      <c r="VC161" s="115"/>
      <c r="VD161" s="115"/>
      <c r="VE161" s="115"/>
      <c r="VF161" s="115"/>
      <c r="VG161" s="115"/>
      <c r="VH161" s="115"/>
      <c r="VI161" s="115"/>
      <c r="VJ161" s="115"/>
      <c r="VK161" s="115"/>
      <c r="VL161" s="115"/>
      <c r="VM161" s="115"/>
      <c r="VN161" s="115"/>
      <c r="VO161" s="115"/>
      <c r="VP161" s="115"/>
      <c r="VQ161" s="115"/>
      <c r="VR161" s="115"/>
      <c r="VS161" s="115"/>
      <c r="VT161" s="115"/>
      <c r="VU161" s="115"/>
      <c r="VV161" s="115"/>
      <c r="VW161" s="115"/>
      <c r="VX161" s="115"/>
      <c r="VY161" s="115"/>
      <c r="VZ161" s="115"/>
      <c r="WA161" s="115"/>
      <c r="WB161" s="115"/>
      <c r="WC161" s="115"/>
      <c r="WD161" s="115"/>
      <c r="WE161" s="115"/>
      <c r="WF161" s="115"/>
      <c r="WG161" s="115"/>
      <c r="WH161" s="115"/>
      <c r="WI161" s="115"/>
      <c r="WJ161" s="115"/>
      <c r="WK161" s="115"/>
      <c r="WL161" s="115"/>
      <c r="WM161" s="115"/>
      <c r="WN161" s="115"/>
      <c r="WO161" s="115"/>
      <c r="WP161" s="115"/>
      <c r="WQ161" s="115"/>
      <c r="WR161" s="115"/>
      <c r="WS161" s="115"/>
      <c r="WT161" s="115"/>
      <c r="WU161" s="115"/>
      <c r="WV161" s="115"/>
      <c r="WW161" s="115"/>
      <c r="WX161" s="115"/>
      <c r="WY161" s="115"/>
      <c r="WZ161" s="115"/>
      <c r="XA161" s="115"/>
      <c r="XB161" s="115"/>
      <c r="XC161" s="115"/>
      <c r="XD161" s="115"/>
      <c r="XE161" s="115"/>
      <c r="XF161" s="115"/>
      <c r="XG161" s="115"/>
      <c r="XH161" s="115"/>
      <c r="XI161" s="115"/>
      <c r="XJ161" s="115"/>
      <c r="XK161" s="115"/>
      <c r="XL161" s="115"/>
      <c r="XM161" s="115"/>
      <c r="XN161" s="115"/>
      <c r="XO161" s="115"/>
      <c r="XP161" s="115"/>
      <c r="XQ161" s="115"/>
      <c r="XR161" s="115"/>
      <c r="XS161" s="115"/>
      <c r="XT161" s="115"/>
      <c r="XU161" s="115"/>
      <c r="XV161" s="115"/>
      <c r="XW161" s="115"/>
      <c r="XX161" s="115"/>
      <c r="XY161" s="115"/>
      <c r="XZ161" s="115"/>
      <c r="YA161" s="115"/>
      <c r="YB161" s="115"/>
      <c r="YC161" s="115"/>
      <c r="YD161" s="115"/>
      <c r="YE161" s="115"/>
      <c r="YF161" s="115"/>
      <c r="YG161" s="115"/>
      <c r="YH161" s="115"/>
      <c r="YI161" s="115"/>
      <c r="YJ161" s="115"/>
      <c r="YK161" s="115"/>
      <c r="YL161" s="115"/>
      <c r="YM161" s="115"/>
      <c r="YN161" s="115"/>
      <c r="YO161" s="115"/>
      <c r="YP161" s="115"/>
      <c r="YQ161" s="115"/>
      <c r="YX161" s="22">
        <v>199</v>
      </c>
      <c r="YY161" s="22">
        <f>VLOOKUP(B161,'SCAFFOLDING MATERIAL OVERALL'!B163:S345,18,FALSE)</f>
        <v>11.833</v>
      </c>
      <c r="YZ161" s="22">
        <f t="shared" si="2"/>
        <v>2354.7669999999998</v>
      </c>
    </row>
    <row r="162" spans="1:676" s="22" customFormat="1" x14ac:dyDescent="0.25">
      <c r="A162" s="17">
        <v>158</v>
      </c>
      <c r="B162" s="15">
        <v>4000015873</v>
      </c>
      <c r="C162" s="16" t="s">
        <v>172</v>
      </c>
      <c r="D162" s="44" t="s">
        <v>12</v>
      </c>
      <c r="M162" s="22">
        <v>236</v>
      </c>
      <c r="Z162" s="22">
        <v>300</v>
      </c>
      <c r="BS162" s="22">
        <v>100</v>
      </c>
      <c r="DX162" s="22">
        <v>95</v>
      </c>
      <c r="EY162" s="22">
        <v>200</v>
      </c>
      <c r="FB162" s="22">
        <v>200</v>
      </c>
      <c r="FK162" s="22">
        <v>63</v>
      </c>
      <c r="HR162" s="22">
        <v>60</v>
      </c>
      <c r="HS162" s="22">
        <v>385</v>
      </c>
      <c r="HV162" s="22">
        <v>115</v>
      </c>
      <c r="OZ162" s="115"/>
      <c r="PA162" s="115"/>
      <c r="PB162" s="115"/>
      <c r="PC162" s="115"/>
      <c r="PD162" s="115"/>
      <c r="PE162" s="115"/>
      <c r="PF162" s="115"/>
      <c r="PG162" s="115"/>
      <c r="PH162" s="115"/>
      <c r="PI162" s="115"/>
      <c r="PJ162" s="115"/>
      <c r="PK162" s="115"/>
      <c r="PL162" s="115"/>
      <c r="PM162" s="115"/>
      <c r="PN162" s="115"/>
      <c r="PO162" s="115"/>
      <c r="PP162" s="115"/>
      <c r="PQ162" s="115"/>
      <c r="PR162" s="115"/>
      <c r="PS162" s="115"/>
      <c r="PT162" s="115"/>
      <c r="PU162" s="115"/>
      <c r="PV162" s="115"/>
      <c r="PW162" s="115"/>
      <c r="PX162" s="115"/>
      <c r="PY162" s="115"/>
      <c r="PZ162" s="115"/>
      <c r="QA162" s="115"/>
      <c r="QB162" s="115"/>
      <c r="QC162" s="115"/>
      <c r="QD162" s="115"/>
      <c r="QE162" s="115"/>
      <c r="QF162" s="115"/>
      <c r="QG162" s="115"/>
      <c r="QH162" s="115"/>
      <c r="QI162" s="115"/>
      <c r="QJ162" s="115"/>
      <c r="QK162" s="115"/>
      <c r="QL162" s="115"/>
      <c r="QM162" s="115"/>
      <c r="QN162" s="115"/>
      <c r="QO162" s="115"/>
      <c r="QP162" s="115"/>
      <c r="QQ162" s="115"/>
      <c r="QR162" s="115"/>
      <c r="QS162" s="115"/>
      <c r="QT162" s="115"/>
      <c r="QU162" s="115"/>
      <c r="QV162" s="115"/>
      <c r="QW162" s="115"/>
      <c r="QX162" s="115"/>
      <c r="QY162" s="115">
        <v>250</v>
      </c>
      <c r="QZ162" s="115"/>
      <c r="RA162" s="115"/>
      <c r="RB162" s="115"/>
      <c r="RC162" s="115"/>
      <c r="RD162" s="115"/>
      <c r="RE162" s="115"/>
      <c r="RF162" s="115"/>
      <c r="RG162" s="115"/>
      <c r="RH162" s="115"/>
      <c r="RI162" s="115"/>
      <c r="RJ162" s="115"/>
      <c r="RK162" s="115"/>
      <c r="RL162" s="115"/>
      <c r="RM162" s="115"/>
      <c r="RN162" s="115"/>
      <c r="RO162" s="115"/>
      <c r="RP162" s="115"/>
      <c r="RQ162" s="115"/>
      <c r="RR162" s="115"/>
      <c r="RS162" s="115"/>
      <c r="RT162" s="115"/>
      <c r="RU162" s="115"/>
      <c r="RV162" s="115"/>
      <c r="RW162" s="115"/>
      <c r="RX162" s="115"/>
      <c r="RY162" s="115"/>
      <c r="RZ162" s="115"/>
      <c r="SA162" s="115"/>
      <c r="SB162" s="115"/>
      <c r="SC162" s="115"/>
      <c r="SD162" s="115"/>
      <c r="SE162" s="115"/>
      <c r="SF162" s="115"/>
      <c r="SG162" s="115"/>
      <c r="SH162" s="115"/>
      <c r="SI162" s="115"/>
      <c r="SJ162" s="115"/>
      <c r="SK162" s="115"/>
      <c r="SL162" s="115"/>
      <c r="SM162" s="115"/>
      <c r="SN162" s="115"/>
      <c r="SO162" s="115"/>
      <c r="SP162" s="115"/>
      <c r="SQ162" s="115"/>
      <c r="SR162" s="115"/>
      <c r="SS162" s="115"/>
      <c r="ST162" s="115"/>
      <c r="SU162" s="115"/>
      <c r="SV162" s="115"/>
      <c r="SW162" s="115"/>
      <c r="SX162" s="115"/>
      <c r="SY162" s="115"/>
      <c r="SZ162" s="115"/>
      <c r="TA162" s="115"/>
      <c r="TB162" s="115"/>
      <c r="TC162" s="115"/>
      <c r="TD162" s="115"/>
      <c r="TE162" s="115"/>
      <c r="TF162" s="115"/>
      <c r="TG162" s="115"/>
      <c r="TH162" s="115"/>
      <c r="TI162" s="115"/>
      <c r="TJ162" s="115"/>
      <c r="TK162" s="115"/>
      <c r="TL162" s="115"/>
      <c r="TM162" s="115"/>
      <c r="TN162" s="115"/>
      <c r="TO162" s="115"/>
      <c r="TP162" s="115"/>
      <c r="TQ162" s="115"/>
      <c r="TR162" s="115"/>
      <c r="TS162" s="115"/>
      <c r="TT162" s="115"/>
      <c r="TU162" s="115"/>
      <c r="TV162" s="115"/>
      <c r="TW162" s="115"/>
      <c r="TX162" s="115"/>
      <c r="TY162" s="115"/>
      <c r="TZ162" s="115"/>
      <c r="UA162" s="115"/>
      <c r="UB162" s="115"/>
      <c r="UC162" s="115"/>
      <c r="UD162" s="115"/>
      <c r="UE162" s="115"/>
      <c r="UF162" s="115"/>
      <c r="UG162" s="115"/>
      <c r="UH162" s="115"/>
      <c r="UI162" s="115"/>
      <c r="UJ162" s="115"/>
      <c r="UK162" s="115"/>
      <c r="UL162" s="115"/>
      <c r="UM162" s="115"/>
      <c r="UN162" s="115"/>
      <c r="UO162" s="115"/>
      <c r="UP162" s="115"/>
      <c r="UQ162" s="115"/>
      <c r="UR162" s="115"/>
      <c r="US162" s="115"/>
      <c r="UT162" s="115"/>
      <c r="UU162" s="115"/>
      <c r="UV162" s="115"/>
      <c r="UW162" s="115"/>
      <c r="UX162" s="115"/>
      <c r="UY162" s="115"/>
      <c r="UZ162" s="115"/>
      <c r="VA162" s="115"/>
      <c r="VB162" s="115"/>
      <c r="VC162" s="115"/>
      <c r="VD162" s="115"/>
      <c r="VE162" s="115"/>
      <c r="VF162" s="115"/>
      <c r="VG162" s="115"/>
      <c r="VH162" s="115"/>
      <c r="VI162" s="115"/>
      <c r="VJ162" s="115"/>
      <c r="VK162" s="115"/>
      <c r="VL162" s="115"/>
      <c r="VM162" s="115"/>
      <c r="VN162" s="115"/>
      <c r="VO162" s="115"/>
      <c r="VP162" s="115"/>
      <c r="VQ162" s="115"/>
      <c r="VR162" s="115"/>
      <c r="VS162" s="115"/>
      <c r="VT162" s="115"/>
      <c r="VU162" s="115"/>
      <c r="VV162" s="115"/>
      <c r="VW162" s="115"/>
      <c r="VX162" s="115"/>
      <c r="VY162" s="115"/>
      <c r="VZ162" s="115"/>
      <c r="WA162" s="115"/>
      <c r="WB162" s="115"/>
      <c r="WC162" s="115"/>
      <c r="WD162" s="115"/>
      <c r="WE162" s="115"/>
      <c r="WF162" s="115"/>
      <c r="WG162" s="115"/>
      <c r="WH162" s="115"/>
      <c r="WI162" s="115"/>
      <c r="WJ162" s="115"/>
      <c r="WK162" s="115"/>
      <c r="WL162" s="115"/>
      <c r="WM162" s="115"/>
      <c r="WN162" s="115"/>
      <c r="WO162" s="115"/>
      <c r="WP162" s="115"/>
      <c r="WQ162" s="115"/>
      <c r="WR162" s="115"/>
      <c r="WS162" s="115"/>
      <c r="WT162" s="115"/>
      <c r="WU162" s="115"/>
      <c r="WV162" s="115"/>
      <c r="WW162" s="115"/>
      <c r="WX162" s="115"/>
      <c r="WY162" s="115"/>
      <c r="WZ162" s="115"/>
      <c r="XA162" s="115"/>
      <c r="XB162" s="115"/>
      <c r="XC162" s="115"/>
      <c r="XD162" s="115"/>
      <c r="XE162" s="115"/>
      <c r="XF162" s="115"/>
      <c r="XG162" s="115"/>
      <c r="XH162" s="115"/>
      <c r="XI162" s="115"/>
      <c r="XJ162" s="115"/>
      <c r="XK162" s="115"/>
      <c r="XL162" s="115"/>
      <c r="XM162" s="115"/>
      <c r="XN162" s="115"/>
      <c r="XO162" s="115"/>
      <c r="XP162" s="115"/>
      <c r="XQ162" s="115"/>
      <c r="XR162" s="115"/>
      <c r="XS162" s="115"/>
      <c r="XT162" s="115"/>
      <c r="XU162" s="115"/>
      <c r="XV162" s="115"/>
      <c r="XW162" s="115"/>
      <c r="XX162" s="115"/>
      <c r="XY162" s="115"/>
      <c r="XZ162" s="115"/>
      <c r="YA162" s="115"/>
      <c r="YB162" s="115"/>
      <c r="YC162" s="115"/>
      <c r="YD162" s="115"/>
      <c r="YE162" s="115"/>
      <c r="YF162" s="115"/>
      <c r="YG162" s="115"/>
      <c r="YH162" s="115"/>
      <c r="YI162" s="115"/>
      <c r="YJ162" s="115"/>
      <c r="YK162" s="115"/>
      <c r="YL162" s="115"/>
      <c r="YM162" s="115"/>
      <c r="YN162" s="115"/>
      <c r="YO162" s="115"/>
      <c r="YP162" s="115"/>
      <c r="YQ162" s="115"/>
      <c r="YR162" s="22">
        <v>200</v>
      </c>
      <c r="YX162" s="22">
        <v>2204</v>
      </c>
      <c r="YY162" s="22">
        <f>VLOOKUP(B162,'SCAFFOLDING MATERIAL OVERALL'!B164:S346,18,FALSE)</f>
        <v>14.2</v>
      </c>
      <c r="YZ162" s="22">
        <f t="shared" si="2"/>
        <v>31296.799999999999</v>
      </c>
    </row>
    <row r="163" spans="1:676" s="22" customFormat="1" x14ac:dyDescent="0.25">
      <c r="A163" s="14">
        <v>159</v>
      </c>
      <c r="B163" s="15">
        <v>4000017084</v>
      </c>
      <c r="C163" s="16" t="s">
        <v>173</v>
      </c>
      <c r="D163" s="44" t="s">
        <v>12</v>
      </c>
      <c r="M163" s="22">
        <v>100</v>
      </c>
      <c r="N163" s="22">
        <v>200</v>
      </c>
      <c r="X163" s="22">
        <v>200</v>
      </c>
      <c r="DE163" s="22">
        <v>20</v>
      </c>
      <c r="EU163" s="22">
        <v>40</v>
      </c>
      <c r="FZ163" s="22">
        <v>213</v>
      </c>
      <c r="HR163" s="22">
        <v>235</v>
      </c>
      <c r="KN163" s="22">
        <v>110</v>
      </c>
      <c r="OZ163" s="115"/>
      <c r="PA163" s="115"/>
      <c r="PB163" s="115"/>
      <c r="PC163" s="115"/>
      <c r="PD163" s="115"/>
      <c r="PE163" s="115"/>
      <c r="PF163" s="115"/>
      <c r="PG163" s="115"/>
      <c r="PH163" s="115"/>
      <c r="PI163" s="115"/>
      <c r="PJ163" s="115"/>
      <c r="PK163" s="115"/>
      <c r="PL163" s="115"/>
      <c r="PM163" s="115"/>
      <c r="PN163" s="115"/>
      <c r="PO163" s="115"/>
      <c r="PP163" s="115"/>
      <c r="PQ163" s="115"/>
      <c r="PR163" s="115"/>
      <c r="PS163" s="115"/>
      <c r="PT163" s="115"/>
      <c r="PU163" s="115"/>
      <c r="PV163" s="115"/>
      <c r="PW163" s="115"/>
      <c r="PX163" s="115"/>
      <c r="PY163" s="115"/>
      <c r="PZ163" s="115"/>
      <c r="QA163" s="115"/>
      <c r="QB163" s="115"/>
      <c r="QC163" s="115"/>
      <c r="QD163" s="115"/>
      <c r="QE163" s="115"/>
      <c r="QF163" s="115"/>
      <c r="QG163" s="115"/>
      <c r="QH163" s="115"/>
      <c r="QI163" s="115"/>
      <c r="QJ163" s="115"/>
      <c r="QK163" s="115"/>
      <c r="QL163" s="115"/>
      <c r="QM163" s="115"/>
      <c r="QN163" s="115"/>
      <c r="QO163" s="115"/>
      <c r="QP163" s="115"/>
      <c r="QQ163" s="115"/>
      <c r="QR163" s="115"/>
      <c r="QS163" s="115"/>
      <c r="QT163" s="115"/>
      <c r="QU163" s="115"/>
      <c r="QV163" s="115"/>
      <c r="QW163" s="115"/>
      <c r="QX163" s="115"/>
      <c r="QY163" s="115"/>
      <c r="QZ163" s="115"/>
      <c r="RA163" s="115"/>
      <c r="RB163" s="115"/>
      <c r="RC163" s="115"/>
      <c r="RD163" s="115"/>
      <c r="RE163" s="115"/>
      <c r="RF163" s="115"/>
      <c r="RG163" s="115"/>
      <c r="RH163" s="115"/>
      <c r="RI163" s="115"/>
      <c r="RJ163" s="115"/>
      <c r="RK163" s="115"/>
      <c r="RL163" s="115"/>
      <c r="RM163" s="115"/>
      <c r="RN163" s="115"/>
      <c r="RO163" s="115"/>
      <c r="RP163" s="115"/>
      <c r="RQ163" s="115"/>
      <c r="RR163" s="115"/>
      <c r="RS163" s="115"/>
      <c r="RT163" s="115"/>
      <c r="RU163" s="115"/>
      <c r="RV163" s="115"/>
      <c r="RW163" s="115"/>
      <c r="RX163" s="115"/>
      <c r="RY163" s="115"/>
      <c r="RZ163" s="115"/>
      <c r="SA163" s="115"/>
      <c r="SB163" s="115"/>
      <c r="SC163" s="115"/>
      <c r="SD163" s="115"/>
      <c r="SE163" s="115"/>
      <c r="SF163" s="115"/>
      <c r="SG163" s="115"/>
      <c r="SH163" s="115"/>
      <c r="SI163" s="115"/>
      <c r="SJ163" s="115"/>
      <c r="SK163" s="115"/>
      <c r="SL163" s="115"/>
      <c r="SM163" s="115"/>
      <c r="SN163" s="115"/>
      <c r="SO163" s="115"/>
      <c r="SP163" s="115"/>
      <c r="SQ163" s="115"/>
      <c r="SR163" s="115"/>
      <c r="SS163" s="115"/>
      <c r="ST163" s="115"/>
      <c r="SU163" s="115"/>
      <c r="SV163" s="115"/>
      <c r="SW163" s="115"/>
      <c r="SX163" s="115"/>
      <c r="SY163" s="115"/>
      <c r="SZ163" s="115"/>
      <c r="TA163" s="115"/>
      <c r="TB163" s="115"/>
      <c r="TC163" s="115"/>
      <c r="TD163" s="115"/>
      <c r="TE163" s="115"/>
      <c r="TF163" s="115"/>
      <c r="TG163" s="115"/>
      <c r="TH163" s="115"/>
      <c r="TI163" s="115"/>
      <c r="TJ163" s="115"/>
      <c r="TK163" s="115"/>
      <c r="TL163" s="115"/>
      <c r="TM163" s="115"/>
      <c r="TN163" s="115"/>
      <c r="TO163" s="115"/>
      <c r="TP163" s="115"/>
      <c r="TQ163" s="115"/>
      <c r="TR163" s="115"/>
      <c r="TS163" s="115"/>
      <c r="TT163" s="115"/>
      <c r="TU163" s="115"/>
      <c r="TV163" s="115"/>
      <c r="TW163" s="115"/>
      <c r="TX163" s="115"/>
      <c r="TY163" s="115"/>
      <c r="TZ163" s="115"/>
      <c r="UA163" s="115"/>
      <c r="UB163" s="115"/>
      <c r="UC163" s="115"/>
      <c r="UD163" s="115"/>
      <c r="UE163" s="115"/>
      <c r="UF163" s="115"/>
      <c r="UG163" s="115"/>
      <c r="UH163" s="115"/>
      <c r="UI163" s="115"/>
      <c r="UJ163" s="115"/>
      <c r="UK163" s="115"/>
      <c r="UL163" s="115"/>
      <c r="UM163" s="115"/>
      <c r="UN163" s="115"/>
      <c r="UO163" s="115"/>
      <c r="UP163" s="115"/>
      <c r="UQ163" s="115"/>
      <c r="UR163" s="115"/>
      <c r="US163" s="115"/>
      <c r="UT163" s="115"/>
      <c r="UU163" s="115"/>
      <c r="UV163" s="115"/>
      <c r="UW163" s="115"/>
      <c r="UX163" s="115"/>
      <c r="UY163" s="115"/>
      <c r="UZ163" s="115"/>
      <c r="VA163" s="115"/>
      <c r="VB163" s="115"/>
      <c r="VC163" s="115"/>
      <c r="VD163" s="115"/>
      <c r="VE163" s="115"/>
      <c r="VF163" s="115"/>
      <c r="VG163" s="115"/>
      <c r="VH163" s="115"/>
      <c r="VI163" s="115"/>
      <c r="VJ163" s="115"/>
      <c r="VK163" s="115"/>
      <c r="VL163" s="115"/>
      <c r="VM163" s="115"/>
      <c r="VN163" s="115"/>
      <c r="VO163" s="115"/>
      <c r="VP163" s="115"/>
      <c r="VQ163" s="115"/>
      <c r="VR163" s="115"/>
      <c r="VS163" s="115"/>
      <c r="VT163" s="115"/>
      <c r="VU163" s="115"/>
      <c r="VV163" s="115"/>
      <c r="VW163" s="115"/>
      <c r="VX163" s="115"/>
      <c r="VY163" s="115"/>
      <c r="VZ163" s="115"/>
      <c r="WA163" s="115"/>
      <c r="WB163" s="115"/>
      <c r="WC163" s="115"/>
      <c r="WD163" s="115"/>
      <c r="WE163" s="115"/>
      <c r="WF163" s="115"/>
      <c r="WG163" s="115"/>
      <c r="WH163" s="115"/>
      <c r="WI163" s="115"/>
      <c r="WJ163" s="115"/>
      <c r="WK163" s="115"/>
      <c r="WL163" s="115"/>
      <c r="WM163" s="115"/>
      <c r="WN163" s="115"/>
      <c r="WO163" s="115"/>
      <c r="WP163" s="115"/>
      <c r="WQ163" s="115"/>
      <c r="WR163" s="115"/>
      <c r="WS163" s="115"/>
      <c r="WT163" s="115"/>
      <c r="WU163" s="115"/>
      <c r="WV163" s="115"/>
      <c r="WW163" s="115"/>
      <c r="WX163" s="115"/>
      <c r="WY163" s="115"/>
      <c r="WZ163" s="115"/>
      <c r="XA163" s="115"/>
      <c r="XB163" s="115"/>
      <c r="XC163" s="115"/>
      <c r="XD163" s="115"/>
      <c r="XE163" s="115"/>
      <c r="XF163" s="115"/>
      <c r="XG163" s="115"/>
      <c r="XH163" s="115"/>
      <c r="XI163" s="115"/>
      <c r="XJ163" s="115"/>
      <c r="XK163" s="115"/>
      <c r="XL163" s="115"/>
      <c r="XM163" s="115"/>
      <c r="XN163" s="115"/>
      <c r="XO163" s="115"/>
      <c r="XP163" s="115"/>
      <c r="XQ163" s="115"/>
      <c r="XR163" s="115"/>
      <c r="XS163" s="115"/>
      <c r="XT163" s="115"/>
      <c r="XU163" s="115"/>
      <c r="XV163" s="115"/>
      <c r="XW163" s="115"/>
      <c r="XX163" s="115"/>
      <c r="XY163" s="115"/>
      <c r="XZ163" s="115"/>
      <c r="YA163" s="115"/>
      <c r="YB163" s="115"/>
      <c r="YC163" s="115"/>
      <c r="YD163" s="115"/>
      <c r="YE163" s="115"/>
      <c r="YF163" s="115"/>
      <c r="YG163" s="115"/>
      <c r="YH163" s="115"/>
      <c r="YI163" s="115"/>
      <c r="YJ163" s="115"/>
      <c r="YK163" s="115"/>
      <c r="YL163" s="115"/>
      <c r="YM163" s="115"/>
      <c r="YN163" s="115"/>
      <c r="YO163" s="115"/>
      <c r="YP163" s="115"/>
      <c r="YQ163" s="115"/>
      <c r="YR163" s="22">
        <v>150</v>
      </c>
      <c r="YX163" s="22">
        <v>1268</v>
      </c>
      <c r="YY163" s="22">
        <f>VLOOKUP(B163,'SCAFFOLDING MATERIAL OVERALL'!B165:S347,18,FALSE)</f>
        <v>18.8</v>
      </c>
      <c r="YZ163" s="22">
        <f t="shared" si="2"/>
        <v>23838.400000000001</v>
      </c>
    </row>
    <row r="164" spans="1:676" x14ac:dyDescent="0.25">
      <c r="A164" s="22">
        <v>160</v>
      </c>
      <c r="B164" s="22">
        <v>3000003029</v>
      </c>
      <c r="C164" t="s">
        <v>211</v>
      </c>
      <c r="D164" s="22" t="s">
        <v>12</v>
      </c>
      <c r="E164" s="22"/>
      <c r="FY164" s="22"/>
      <c r="HO164" s="22"/>
      <c r="OW164" s="22"/>
      <c r="OX164" s="22"/>
      <c r="OY164" s="22"/>
      <c r="YX164">
        <v>0</v>
      </c>
      <c r="YY164" s="22">
        <f>VLOOKUP(B164,'SCAFFOLDING MATERIAL OVERALL'!B166:S348,18,FALSE)</f>
        <v>5.0199999999999996</v>
      </c>
      <c r="YZ164" s="22">
        <f t="shared" si="2"/>
        <v>0</v>
      </c>
    </row>
    <row r="165" spans="1:676" x14ac:dyDescent="0.25">
      <c r="A165" s="22">
        <v>161</v>
      </c>
      <c r="B165" s="22" t="s">
        <v>296</v>
      </c>
      <c r="C165" t="s">
        <v>297</v>
      </c>
      <c r="D165" s="22" t="s">
        <v>12</v>
      </c>
      <c r="E165" s="22"/>
      <c r="FY165" s="22"/>
      <c r="HO165" s="22"/>
      <c r="OW165" s="22"/>
      <c r="OX165" s="22"/>
      <c r="OY165" s="22"/>
      <c r="YX165">
        <v>0</v>
      </c>
      <c r="YY165" s="22">
        <f>VLOOKUP(B165,'SCAFFOLDING MATERIAL OVERALL'!B167:S349,18,FALSE)</f>
        <v>5.4</v>
      </c>
      <c r="YZ165" s="22">
        <f t="shared" si="2"/>
        <v>0</v>
      </c>
    </row>
    <row r="166" spans="1:676" x14ac:dyDescent="0.25">
      <c r="A166" s="22">
        <v>162</v>
      </c>
      <c r="B166" s="22">
        <v>1000006010</v>
      </c>
      <c r="C166" t="s">
        <v>298</v>
      </c>
      <c r="D166" s="22" t="s">
        <v>12</v>
      </c>
      <c r="FY166" s="22"/>
      <c r="HO166" s="22"/>
      <c r="OW166" s="22"/>
      <c r="OX166" s="22"/>
      <c r="OY166" s="22"/>
      <c r="YX166">
        <v>0</v>
      </c>
      <c r="YY166" s="22">
        <f>VLOOKUP(B166,'SCAFFOLDING MATERIAL OVERALL'!B168:S350,18,FALSE)</f>
        <v>4.5</v>
      </c>
      <c r="YZ166" s="22">
        <f t="shared" si="2"/>
        <v>0</v>
      </c>
    </row>
    <row r="167" spans="1:676" x14ac:dyDescent="0.25">
      <c r="A167" s="22">
        <v>163</v>
      </c>
      <c r="B167" s="22" t="s">
        <v>299</v>
      </c>
      <c r="C167" t="s">
        <v>300</v>
      </c>
      <c r="D167" s="22" t="s">
        <v>12</v>
      </c>
      <c r="FY167" s="22"/>
      <c r="HO167" s="22"/>
      <c r="OW167" s="22"/>
      <c r="OX167" s="22"/>
      <c r="OY167" s="22"/>
      <c r="YX167">
        <v>0</v>
      </c>
      <c r="YY167" s="22">
        <f>VLOOKUP(B167,'SCAFFOLDING MATERIAL OVERALL'!B169:S351,18,FALSE)</f>
        <v>5.3</v>
      </c>
      <c r="YZ167" s="22">
        <f t="shared" si="2"/>
        <v>0</v>
      </c>
    </row>
    <row r="168" spans="1:676" x14ac:dyDescent="0.25">
      <c r="A168" s="22">
        <v>164</v>
      </c>
      <c r="B168" s="22" t="s">
        <v>301</v>
      </c>
      <c r="C168" t="s">
        <v>302</v>
      </c>
      <c r="D168" s="22" t="s">
        <v>12</v>
      </c>
      <c r="FY168" s="22"/>
      <c r="HO168" s="22"/>
      <c r="OW168" s="22"/>
      <c r="OX168" s="22"/>
      <c r="OY168" s="22"/>
      <c r="YX168">
        <v>0</v>
      </c>
      <c r="YY168" s="22">
        <f>VLOOKUP(B168,'SCAFFOLDING MATERIAL OVERALL'!B170:S352,18,FALSE)</f>
        <v>7.04</v>
      </c>
      <c r="YZ168" s="22">
        <f t="shared" si="2"/>
        <v>0</v>
      </c>
    </row>
    <row r="169" spans="1:676" x14ac:dyDescent="0.25">
      <c r="A169" s="22">
        <v>165</v>
      </c>
      <c r="B169" s="22" t="s">
        <v>303</v>
      </c>
      <c r="C169" t="s">
        <v>304</v>
      </c>
      <c r="D169" s="22" t="s">
        <v>12</v>
      </c>
      <c r="FY169" s="22"/>
      <c r="HO169" s="22"/>
      <c r="OW169" s="22"/>
      <c r="OX169" s="22"/>
      <c r="OY169" s="22"/>
      <c r="YX169">
        <v>0</v>
      </c>
      <c r="YY169" s="22">
        <f>VLOOKUP(B169,'SCAFFOLDING MATERIAL OVERALL'!B171:S353,18,FALSE)</f>
        <v>14.08</v>
      </c>
      <c r="YZ169" s="22">
        <f t="shared" si="2"/>
        <v>0</v>
      </c>
    </row>
    <row r="170" spans="1:676" x14ac:dyDescent="0.25">
      <c r="A170" s="22">
        <v>166</v>
      </c>
      <c r="B170" s="22" t="s">
        <v>305</v>
      </c>
      <c r="C170" t="s">
        <v>306</v>
      </c>
      <c r="D170" s="22" t="s">
        <v>12</v>
      </c>
      <c r="FY170" s="22"/>
      <c r="HO170" s="22"/>
      <c r="OW170" s="22"/>
      <c r="OX170" s="22"/>
      <c r="OY170" s="22"/>
      <c r="YX170">
        <v>0</v>
      </c>
      <c r="YY170" s="22">
        <f>VLOOKUP(B170,'SCAFFOLDING MATERIAL OVERALL'!B172:S354,18,FALSE)</f>
        <v>17.600000000000001</v>
      </c>
      <c r="YZ170" s="22">
        <f t="shared" si="2"/>
        <v>0</v>
      </c>
    </row>
    <row r="171" spans="1:676" x14ac:dyDescent="0.25">
      <c r="A171" s="22">
        <v>167</v>
      </c>
      <c r="B171" s="22" t="s">
        <v>628</v>
      </c>
      <c r="C171" t="s">
        <v>446</v>
      </c>
      <c r="D171" s="22" t="s">
        <v>12</v>
      </c>
      <c r="FY171" s="22"/>
      <c r="HO171" s="22"/>
      <c r="OW171" s="22"/>
      <c r="OX171" s="22"/>
      <c r="OY171" s="22"/>
      <c r="YX171">
        <v>0</v>
      </c>
      <c r="YY171" s="22">
        <f>VLOOKUP(B171,'SCAFFOLDING MATERIAL OVERALL'!B173:S355,18,FALSE)</f>
        <v>31</v>
      </c>
      <c r="YZ171" s="22">
        <f t="shared" si="2"/>
        <v>0</v>
      </c>
    </row>
    <row r="172" spans="1:676" x14ac:dyDescent="0.25">
      <c r="A172" s="22">
        <v>168</v>
      </c>
      <c r="B172" s="22" t="s">
        <v>447</v>
      </c>
      <c r="C172" t="s">
        <v>448</v>
      </c>
      <c r="D172" s="22" t="s">
        <v>12</v>
      </c>
      <c r="FY172" s="22"/>
      <c r="HO172" s="22"/>
      <c r="OW172" s="22"/>
      <c r="OX172" s="22"/>
      <c r="OY172" s="22"/>
      <c r="YX172">
        <v>0</v>
      </c>
      <c r="YY172" s="22">
        <f>VLOOKUP(B172,'SCAFFOLDING MATERIAL OVERALL'!B174:S356,18,FALSE)</f>
        <v>5.3</v>
      </c>
      <c r="YZ172" s="22">
        <f t="shared" si="2"/>
        <v>0</v>
      </c>
    </row>
    <row r="173" spans="1:676" x14ac:dyDescent="0.25">
      <c r="A173" s="22">
        <v>169</v>
      </c>
      <c r="B173" s="22" t="s">
        <v>35</v>
      </c>
      <c r="C173" t="s">
        <v>449</v>
      </c>
      <c r="D173" s="22" t="s">
        <v>12</v>
      </c>
      <c r="FY173" s="22"/>
      <c r="HO173" s="22"/>
      <c r="OW173" s="22"/>
      <c r="OX173" s="22"/>
      <c r="OY173" s="22"/>
      <c r="YX173">
        <v>0</v>
      </c>
      <c r="YY173" s="22">
        <f>VLOOKUP(B173,'SCAFFOLDING MATERIAL OVERALL'!B175:S357,18,FALSE)</f>
        <v>0</v>
      </c>
      <c r="YZ173" s="22">
        <f t="shared" si="2"/>
        <v>0</v>
      </c>
    </row>
    <row r="174" spans="1:676" x14ac:dyDescent="0.25">
      <c r="A174" s="22">
        <v>170</v>
      </c>
      <c r="B174" s="22" t="s">
        <v>35</v>
      </c>
      <c r="C174" t="s">
        <v>450</v>
      </c>
      <c r="D174" s="22" t="s">
        <v>12</v>
      </c>
      <c r="FY174" s="22"/>
      <c r="HO174" s="22"/>
      <c r="OW174" s="22"/>
      <c r="OX174" s="22"/>
      <c r="OY174" s="22"/>
      <c r="YX174">
        <v>0</v>
      </c>
      <c r="YY174" s="22">
        <f>VLOOKUP(B174,'SCAFFOLDING MATERIAL OVERALL'!B176:S358,18,FALSE)</f>
        <v>2.9</v>
      </c>
      <c r="YZ174" s="22">
        <f t="shared" si="2"/>
        <v>0</v>
      </c>
    </row>
    <row r="175" spans="1:676" x14ac:dyDescent="0.25">
      <c r="A175" s="22">
        <v>171</v>
      </c>
      <c r="B175" s="22" t="s">
        <v>35</v>
      </c>
      <c r="C175" t="s">
        <v>510</v>
      </c>
      <c r="D175" s="22" t="s">
        <v>12</v>
      </c>
      <c r="FY175" s="22"/>
      <c r="HO175" s="22"/>
      <c r="OW175" s="22"/>
      <c r="OX175" s="22"/>
      <c r="OY175" s="22"/>
      <c r="YX175">
        <v>0</v>
      </c>
      <c r="YY175" s="22">
        <f>VLOOKUP(B175,'SCAFFOLDING MATERIAL OVERALL'!B177:S359,18,FALSE)</f>
        <v>12.03</v>
      </c>
      <c r="YZ175" s="22">
        <f t="shared" si="2"/>
        <v>0</v>
      </c>
    </row>
    <row r="176" spans="1:676" x14ac:dyDescent="0.25">
      <c r="A176" s="22">
        <v>172</v>
      </c>
      <c r="B176" s="22" t="s">
        <v>35</v>
      </c>
      <c r="C176" t="s">
        <v>516</v>
      </c>
      <c r="D176" s="22" t="s">
        <v>12</v>
      </c>
      <c r="FY176" s="22"/>
      <c r="HO176" s="22"/>
      <c r="OW176" s="22"/>
      <c r="OX176" s="22"/>
      <c r="OY176" s="22"/>
      <c r="YX176">
        <v>0</v>
      </c>
      <c r="YY176" s="22">
        <f>VLOOKUP(B176,'SCAFFOLDING MATERIAL OVERALL'!B178:S360,18,FALSE)</f>
        <v>3.53</v>
      </c>
      <c r="YZ176" s="22">
        <f t="shared" si="2"/>
        <v>0</v>
      </c>
    </row>
    <row r="177" spans="1:676" x14ac:dyDescent="0.25">
      <c r="A177" s="22">
        <v>173</v>
      </c>
      <c r="B177" s="22" t="s">
        <v>35</v>
      </c>
      <c r="C177" t="s">
        <v>600</v>
      </c>
      <c r="D177" s="22" t="s">
        <v>12</v>
      </c>
      <c r="FY177" s="22"/>
      <c r="HO177" s="22"/>
      <c r="OW177" s="22"/>
      <c r="OX177" s="22"/>
      <c r="OY177" s="22"/>
      <c r="YX177">
        <v>0</v>
      </c>
      <c r="YY177" s="22">
        <f>VLOOKUP(B177,'SCAFFOLDING MATERIAL OVERALL'!B179:S361,18,FALSE)</f>
        <v>12.36</v>
      </c>
      <c r="YZ177" s="22">
        <f t="shared" si="2"/>
        <v>0</v>
      </c>
    </row>
    <row r="178" spans="1:676" x14ac:dyDescent="0.25">
      <c r="A178" s="22">
        <v>174</v>
      </c>
      <c r="B178" s="22" t="s">
        <v>35</v>
      </c>
      <c r="C178" t="s">
        <v>601</v>
      </c>
      <c r="D178" s="22" t="s">
        <v>12</v>
      </c>
      <c r="FY178" s="22"/>
      <c r="HO178" s="22"/>
      <c r="OW178" s="22"/>
      <c r="OX178" s="22"/>
      <c r="OY178" s="22"/>
      <c r="YX178">
        <v>0</v>
      </c>
      <c r="YY178" s="22">
        <f>VLOOKUP(B178,'SCAFFOLDING MATERIAL OVERALL'!B180:S362,18,FALSE)</f>
        <v>8.83</v>
      </c>
      <c r="YZ178" s="22">
        <f t="shared" si="2"/>
        <v>0</v>
      </c>
    </row>
    <row r="179" spans="1:676" x14ac:dyDescent="0.25">
      <c r="A179" s="22">
        <v>99</v>
      </c>
      <c r="B179" s="22" t="s">
        <v>35</v>
      </c>
      <c r="C179" t="s">
        <v>1383</v>
      </c>
      <c r="D179" s="22" t="s">
        <v>12</v>
      </c>
      <c r="FY179" s="22"/>
      <c r="HO179" s="22"/>
      <c r="OW179" s="22"/>
      <c r="OX179" s="22"/>
      <c r="OY179" s="22"/>
      <c r="YX179">
        <v>0</v>
      </c>
      <c r="YY179" s="22">
        <f>VLOOKUP(B179,'SCAFFOLDING MATERIAL OVERALL'!B181:S363,18,FALSE)</f>
        <v>0</v>
      </c>
      <c r="YZ179" s="22">
        <f t="shared" si="2"/>
        <v>0</v>
      </c>
    </row>
    <row r="180" spans="1:676" x14ac:dyDescent="0.25">
      <c r="A180" s="22">
        <v>99</v>
      </c>
      <c r="B180" s="22" t="s">
        <v>35</v>
      </c>
      <c r="C180" t="s">
        <v>1557</v>
      </c>
      <c r="D180" s="22" t="s">
        <v>12</v>
      </c>
      <c r="FY180" s="22"/>
      <c r="HO180" s="22"/>
      <c r="OW180" s="22"/>
      <c r="OX180" s="22"/>
      <c r="OY180" s="22"/>
      <c r="YX180">
        <v>0</v>
      </c>
      <c r="YY180" s="22">
        <f>VLOOKUP(B180,'SCAFFOLDING MATERIAL OVERALL'!B182:S364,18,FALSE)</f>
        <v>28.85</v>
      </c>
      <c r="YZ180" s="22">
        <f t="shared" si="2"/>
        <v>0</v>
      </c>
    </row>
    <row r="181" spans="1:676" x14ac:dyDescent="0.25">
      <c r="A181" s="22">
        <v>101</v>
      </c>
      <c r="B181" s="22">
        <v>3000000008</v>
      </c>
      <c r="C181" t="s">
        <v>1565</v>
      </c>
      <c r="D181" s="22" t="s">
        <v>12</v>
      </c>
      <c r="FY181" s="22"/>
      <c r="HO181" s="22"/>
      <c r="OW181" s="22"/>
      <c r="OX181" s="22"/>
      <c r="OY181" s="22"/>
      <c r="YX181">
        <v>0</v>
      </c>
      <c r="YY181" s="22">
        <f>VLOOKUP(B181,'SCAFFOLDING MATERIAL OVERALL'!B183:S365,18,FALSE)</f>
        <v>12.61</v>
      </c>
      <c r="YZ181" s="22">
        <f t="shared" si="2"/>
        <v>0</v>
      </c>
    </row>
    <row r="182" spans="1:676" x14ac:dyDescent="0.25">
      <c r="A182" s="22">
        <v>178</v>
      </c>
      <c r="B182" s="22" t="s">
        <v>35</v>
      </c>
      <c r="C182" t="s">
        <v>1662</v>
      </c>
      <c r="D182" s="22" t="s">
        <v>12</v>
      </c>
      <c r="FY182" s="22"/>
      <c r="HO182" s="22"/>
      <c r="OW182" s="22"/>
      <c r="OX182" s="22"/>
      <c r="OY182" s="22"/>
      <c r="YX182">
        <v>0</v>
      </c>
      <c r="YY182" s="22">
        <f>VLOOKUP(B182,'SCAFFOLDING MATERIAL OVERALL'!B184:S366,18,FALSE)</f>
        <v>0.7</v>
      </c>
      <c r="YZ182" s="22">
        <f t="shared" si="2"/>
        <v>0</v>
      </c>
    </row>
    <row r="183" spans="1:676" x14ac:dyDescent="0.25">
      <c r="A183" s="22">
        <v>80</v>
      </c>
      <c r="B183" s="22" t="s">
        <v>35</v>
      </c>
      <c r="C183" t="s">
        <v>1574</v>
      </c>
      <c r="D183" s="22" t="s">
        <v>12</v>
      </c>
      <c r="FY183" s="22"/>
      <c r="HO183" s="22"/>
      <c r="OW183" s="22"/>
      <c r="OX183" s="22"/>
      <c r="OY183" s="22"/>
      <c r="YX183">
        <v>0</v>
      </c>
      <c r="YY183" s="22">
        <f>VLOOKUP(B183,'SCAFFOLDING MATERIAL OVERALL'!B185:S367,18,FALSE)</f>
        <v>0</v>
      </c>
      <c r="YZ183" s="22">
        <f t="shared" si="2"/>
        <v>0</v>
      </c>
    </row>
    <row r="184" spans="1:676" x14ac:dyDescent="0.25">
      <c r="A184" s="22">
        <v>81</v>
      </c>
      <c r="B184" s="22">
        <v>1000014673</v>
      </c>
      <c r="C184" t="s">
        <v>1575</v>
      </c>
      <c r="D184" s="22" t="s">
        <v>12</v>
      </c>
      <c r="FY184" s="22"/>
      <c r="HO184" s="22"/>
      <c r="OW184" s="22"/>
      <c r="OX184" s="22"/>
      <c r="OY184" s="22"/>
      <c r="YX184">
        <v>0</v>
      </c>
      <c r="YY184" s="22">
        <f>VLOOKUP(B184,'SCAFFOLDING MATERIAL OVERALL'!B186:S368,18,FALSE)</f>
        <v>0</v>
      </c>
      <c r="YZ184" s="22">
        <f t="shared" si="2"/>
        <v>0</v>
      </c>
    </row>
    <row r="185" spans="1:676" x14ac:dyDescent="0.25">
      <c r="A185" s="22">
        <v>181</v>
      </c>
      <c r="B185" s="22">
        <v>4000021502</v>
      </c>
      <c r="C185" t="s">
        <v>1576</v>
      </c>
      <c r="D185" s="22" t="s">
        <v>12</v>
      </c>
      <c r="FY185" s="22"/>
      <c r="HO185" s="22"/>
      <c r="OW185" s="22"/>
      <c r="OX185" s="22"/>
      <c r="OY185" s="22"/>
      <c r="YX185">
        <v>0</v>
      </c>
      <c r="YY185" s="22">
        <f>VLOOKUP(B185,'SCAFFOLDING MATERIAL OVERALL'!B187:S369,18,FALSE)</f>
        <v>0</v>
      </c>
      <c r="YZ185" s="22">
        <f t="shared" si="2"/>
        <v>0</v>
      </c>
    </row>
    <row r="186" spans="1:676" x14ac:dyDescent="0.25">
      <c r="A186" s="22">
        <v>100</v>
      </c>
      <c r="B186" s="22">
        <v>3000002696</v>
      </c>
      <c r="C186" t="s">
        <v>1580</v>
      </c>
      <c r="D186" s="22" t="s">
        <v>12</v>
      </c>
      <c r="FY186" s="22"/>
      <c r="HO186" s="22"/>
      <c r="OW186" s="22"/>
      <c r="OX186" s="22"/>
      <c r="OY186" s="22"/>
      <c r="YX186">
        <v>0</v>
      </c>
      <c r="YY186" s="22">
        <f>VLOOKUP(B186,'SCAFFOLDING MATERIAL OVERALL'!B188:S370,18,FALSE)</f>
        <v>0</v>
      </c>
      <c r="YZ186" s="22">
        <f t="shared" si="2"/>
        <v>0</v>
      </c>
    </row>
    <row r="187" spans="1:676" x14ac:dyDescent="0.25">
      <c r="A187" s="22">
        <v>101</v>
      </c>
      <c r="B187" s="22">
        <v>3000000707</v>
      </c>
      <c r="C187" t="s">
        <v>1618</v>
      </c>
      <c r="D187" s="22" t="s">
        <v>12</v>
      </c>
      <c r="FY187" s="22"/>
      <c r="HO187" s="22"/>
      <c r="OW187" s="22"/>
      <c r="OX187" s="22"/>
      <c r="OY187" s="22"/>
      <c r="YX187">
        <v>0</v>
      </c>
      <c r="YY187" s="22">
        <f>VLOOKUP(B187,'SCAFFOLDING MATERIAL OVERALL'!B189:S371,18,FALSE)</f>
        <v>0</v>
      </c>
      <c r="YZ187" s="22">
        <f t="shared" si="2"/>
        <v>0</v>
      </c>
    </row>
    <row r="188" spans="1:676" x14ac:dyDescent="0.25">
      <c r="FY188" s="22"/>
      <c r="HO188" s="22"/>
      <c r="OW188" s="22"/>
      <c r="OX188" s="22"/>
      <c r="OY188" s="22"/>
    </row>
    <row r="189" spans="1:676" x14ac:dyDescent="0.25">
      <c r="FY189" s="22"/>
      <c r="HO189" s="22"/>
      <c r="OW189" s="22"/>
      <c r="OX189" s="22"/>
      <c r="OY189" s="22"/>
    </row>
    <row r="190" spans="1:676" x14ac:dyDescent="0.25">
      <c r="FY190" s="22"/>
      <c r="HO190" s="22"/>
      <c r="OW190" s="22"/>
      <c r="OX190" s="22"/>
      <c r="OY190" s="22"/>
    </row>
    <row r="191" spans="1:676" x14ac:dyDescent="0.25">
      <c r="FY191" s="22"/>
      <c r="HO191" s="22"/>
      <c r="OW191" s="22"/>
      <c r="OX191" s="22"/>
      <c r="OY191" s="22"/>
    </row>
    <row r="192" spans="1:676" x14ac:dyDescent="0.25">
      <c r="FY192" s="22"/>
      <c r="HO192" s="22"/>
      <c r="OW192" s="22"/>
      <c r="OX192" s="22"/>
      <c r="OY192" s="22"/>
    </row>
    <row r="193" spans="181:415" x14ac:dyDescent="0.25">
      <c r="FY193" s="22"/>
      <c r="HO193" s="22"/>
      <c r="OW193" s="22"/>
      <c r="OX193" s="22"/>
      <c r="OY193" s="22"/>
    </row>
    <row r="194" spans="181:415" x14ac:dyDescent="0.25">
      <c r="FY194" s="22"/>
      <c r="HO194" s="22"/>
      <c r="OW194" s="22"/>
      <c r="OX194" s="22"/>
      <c r="OY194" s="22"/>
    </row>
    <row r="195" spans="181:415" x14ac:dyDescent="0.25">
      <c r="FY195" s="22"/>
      <c r="HO195" s="22"/>
      <c r="OW195" s="22"/>
      <c r="OX195" s="22"/>
      <c r="OY195" s="22"/>
    </row>
    <row r="196" spans="181:415" x14ac:dyDescent="0.25">
      <c r="FY196" s="22"/>
      <c r="HO196" s="22"/>
      <c r="OW196" s="22"/>
      <c r="OX196" s="22"/>
      <c r="OY196" s="22"/>
    </row>
    <row r="197" spans="181:415" x14ac:dyDescent="0.25">
      <c r="FY197" s="22"/>
      <c r="HO197" s="22"/>
      <c r="OW197" s="22"/>
      <c r="OX197" s="22"/>
      <c r="OY197" s="22"/>
    </row>
    <row r="198" spans="181:415" x14ac:dyDescent="0.25">
      <c r="FY198" s="22"/>
      <c r="HO198" s="22"/>
      <c r="OW198" s="22"/>
      <c r="OX198" s="22"/>
      <c r="OY198" s="22"/>
    </row>
    <row r="199" spans="181:415" x14ac:dyDescent="0.25">
      <c r="FY199" s="22"/>
      <c r="HO199" s="22"/>
      <c r="OW199" s="22"/>
      <c r="OX199" s="22"/>
      <c r="OY199" s="22"/>
    </row>
    <row r="200" spans="181:415" x14ac:dyDescent="0.25">
      <c r="FY200" s="22"/>
      <c r="HO200" s="22"/>
      <c r="OW200" s="22"/>
      <c r="OX200" s="22"/>
      <c r="OY200" s="22"/>
    </row>
    <row r="201" spans="181:415" x14ac:dyDescent="0.25">
      <c r="FY201" s="22"/>
      <c r="HO201" s="22"/>
      <c r="OW201" s="22"/>
      <c r="OX201" s="22"/>
      <c r="OY201" s="22"/>
    </row>
    <row r="202" spans="181:415" x14ac:dyDescent="0.25">
      <c r="FY202" s="22"/>
      <c r="HO202" s="22"/>
      <c r="OW202" s="22"/>
      <c r="OX202" s="22"/>
      <c r="OY202" s="22"/>
    </row>
    <row r="203" spans="181:415" x14ac:dyDescent="0.25">
      <c r="FY203" s="22"/>
      <c r="HO203" s="22"/>
      <c r="OW203" s="22"/>
      <c r="OX203" s="22"/>
      <c r="OY203" s="22"/>
    </row>
    <row r="204" spans="181:415" x14ac:dyDescent="0.25">
      <c r="FY204" s="22"/>
      <c r="HO204" s="22"/>
      <c r="OW204" s="22"/>
      <c r="OX204" s="22"/>
      <c r="OY204" s="22"/>
    </row>
    <row r="205" spans="181:415" x14ac:dyDescent="0.25">
      <c r="FY205" s="22"/>
      <c r="HO205" s="22"/>
      <c r="OW205" s="22"/>
      <c r="OX205" s="22"/>
      <c r="OY205" s="22"/>
    </row>
    <row r="206" spans="181:415" x14ac:dyDescent="0.25">
      <c r="FY206" s="22"/>
      <c r="HO206" s="22"/>
      <c r="OW206" s="22"/>
      <c r="OX206" s="22"/>
      <c r="OY206" s="22"/>
    </row>
    <row r="207" spans="181:415" x14ac:dyDescent="0.25">
      <c r="FY207" s="22"/>
      <c r="HO207" s="22"/>
      <c r="OW207" s="22"/>
      <c r="OX207" s="22"/>
      <c r="OY207" s="22"/>
    </row>
    <row r="208" spans="181:415" x14ac:dyDescent="0.25">
      <c r="FY208" s="22"/>
      <c r="HO208" s="22"/>
      <c r="OW208" s="22"/>
      <c r="OX208" s="22"/>
      <c r="OY208" s="22"/>
    </row>
    <row r="209" spans="181:415" x14ac:dyDescent="0.25">
      <c r="FY209" s="22"/>
      <c r="HO209" s="22"/>
      <c r="OW209" s="22"/>
      <c r="OX209" s="22"/>
      <c r="OY209" s="22"/>
    </row>
    <row r="210" spans="181:415" x14ac:dyDescent="0.25">
      <c r="FY210" s="22"/>
      <c r="HO210" s="22"/>
      <c r="OW210" s="22"/>
      <c r="OX210" s="22"/>
      <c r="OY210" s="22"/>
    </row>
    <row r="211" spans="181:415" x14ac:dyDescent="0.25">
      <c r="FY211" s="22"/>
      <c r="HO211" s="22"/>
      <c r="OW211" s="22"/>
      <c r="OX211" s="22"/>
      <c r="OY211" s="22"/>
    </row>
    <row r="212" spans="181:415" x14ac:dyDescent="0.25">
      <c r="FY212" s="22"/>
      <c r="HO212" s="22"/>
      <c r="OW212" s="22"/>
      <c r="OX212" s="22"/>
      <c r="OY212" s="22"/>
    </row>
    <row r="213" spans="181:415" x14ac:dyDescent="0.25">
      <c r="FY213" s="22"/>
      <c r="HO213" s="22"/>
      <c r="OW213" s="22"/>
      <c r="OX213" s="22"/>
      <c r="OY213" s="22"/>
    </row>
    <row r="214" spans="181:415" x14ac:dyDescent="0.25">
      <c r="FY214" s="22"/>
      <c r="HO214" s="22"/>
      <c r="OW214" s="22"/>
      <c r="OX214" s="22"/>
      <c r="OY214" s="22"/>
    </row>
    <row r="215" spans="181:415" x14ac:dyDescent="0.25">
      <c r="FY215" s="22"/>
      <c r="HO215" s="22"/>
      <c r="OW215" s="22"/>
      <c r="OX215" s="22"/>
      <c r="OY215" s="22"/>
    </row>
    <row r="216" spans="181:415" x14ac:dyDescent="0.25">
      <c r="FY216" s="22"/>
      <c r="HO216" s="22"/>
      <c r="OW216" s="22"/>
      <c r="OX216" s="22"/>
      <c r="OY216" s="22"/>
    </row>
    <row r="217" spans="181:415" x14ac:dyDescent="0.25">
      <c r="FY217" s="22"/>
      <c r="HO217" s="22"/>
      <c r="OW217" s="22"/>
      <c r="OX217" s="22"/>
      <c r="OY217" s="22"/>
    </row>
    <row r="218" spans="181:415" x14ac:dyDescent="0.25">
      <c r="FY218" s="22"/>
      <c r="HO218" s="22"/>
      <c r="OW218" s="22"/>
      <c r="OX218" s="22"/>
      <c r="OY218" s="22"/>
    </row>
    <row r="219" spans="181:415" x14ac:dyDescent="0.25">
      <c r="FY219" s="22"/>
      <c r="HO219" s="22"/>
      <c r="OW219" s="22"/>
      <c r="OX219" s="22"/>
      <c r="OY219" s="22"/>
    </row>
    <row r="220" spans="181:415" x14ac:dyDescent="0.25">
      <c r="FY220" s="22"/>
      <c r="HO220" s="22"/>
      <c r="OW220" s="22"/>
      <c r="OX220" s="22"/>
      <c r="OY220" s="22"/>
    </row>
    <row r="221" spans="181:415" x14ac:dyDescent="0.25">
      <c r="FY221" s="22"/>
      <c r="HO221" s="22"/>
      <c r="OW221" s="22"/>
      <c r="OX221" s="22"/>
      <c r="OY221" s="22"/>
    </row>
    <row r="222" spans="181:415" x14ac:dyDescent="0.25">
      <c r="FY222" s="22"/>
      <c r="HO222" s="22"/>
      <c r="OW222" s="22"/>
      <c r="OX222" s="22"/>
      <c r="OY222" s="22"/>
    </row>
    <row r="223" spans="181:415" x14ac:dyDescent="0.25">
      <c r="FY223" s="22"/>
      <c r="HO223" s="22"/>
      <c r="OW223" s="22"/>
      <c r="OX223" s="22"/>
      <c r="OY223" s="22"/>
    </row>
    <row r="224" spans="181:415" x14ac:dyDescent="0.25">
      <c r="FY224" s="22"/>
      <c r="HO224" s="22"/>
      <c r="OW224" s="22"/>
      <c r="OX224" s="22"/>
      <c r="OY224" s="22"/>
    </row>
    <row r="225" spans="181:415" x14ac:dyDescent="0.25">
      <c r="FY225" s="22"/>
      <c r="HO225" s="22"/>
      <c r="OW225" s="22"/>
      <c r="OX225" s="22"/>
      <c r="OY225" s="22"/>
    </row>
    <row r="226" spans="181:415" x14ac:dyDescent="0.25">
      <c r="FY226" s="22"/>
      <c r="HO226" s="22"/>
      <c r="OW226" s="22"/>
      <c r="OX226" s="22"/>
      <c r="OY226" s="22"/>
    </row>
    <row r="227" spans="181:415" x14ac:dyDescent="0.25">
      <c r="FY227" s="22"/>
      <c r="HO227" s="22"/>
      <c r="OW227" s="22"/>
      <c r="OX227" s="22"/>
      <c r="OY227" s="22"/>
    </row>
    <row r="228" spans="181:415" x14ac:dyDescent="0.25">
      <c r="FY228" s="22"/>
      <c r="HO228" s="22"/>
      <c r="OW228" s="22"/>
      <c r="OX228" s="22"/>
      <c r="OY228" s="22"/>
    </row>
    <row r="229" spans="181:415" x14ac:dyDescent="0.25">
      <c r="FY229" s="22"/>
      <c r="HO229" s="22"/>
      <c r="OW229" s="22"/>
      <c r="OX229" s="22"/>
      <c r="OY229" s="22"/>
    </row>
    <row r="230" spans="181:415" x14ac:dyDescent="0.25">
      <c r="FY230" s="22"/>
      <c r="HO230" s="22"/>
      <c r="OW230" s="22"/>
      <c r="OX230" s="22"/>
      <c r="OY230" s="22"/>
    </row>
    <row r="231" spans="181:415" x14ac:dyDescent="0.25">
      <c r="FY231" s="22"/>
      <c r="HO231" s="22"/>
      <c r="OW231" s="22"/>
      <c r="OX231" s="22"/>
      <c r="OY231" s="22"/>
    </row>
    <row r="232" spans="181:415" x14ac:dyDescent="0.25">
      <c r="FY232" s="22"/>
      <c r="HO232" s="22"/>
      <c r="OW232" s="22"/>
      <c r="OX232" s="22"/>
      <c r="OY232" s="22"/>
    </row>
    <row r="233" spans="181:415" x14ac:dyDescent="0.25">
      <c r="FY233" s="22"/>
      <c r="HO233" s="22"/>
      <c r="OW233" s="22"/>
      <c r="OX233" s="22"/>
      <c r="OY233" s="22"/>
    </row>
    <row r="234" spans="181:415" x14ac:dyDescent="0.25">
      <c r="FY234" s="22"/>
      <c r="HO234" s="22"/>
      <c r="OW234" s="22"/>
      <c r="OX234" s="22"/>
      <c r="OY234" s="22"/>
    </row>
    <row r="235" spans="181:415" x14ac:dyDescent="0.25">
      <c r="FY235" s="22"/>
      <c r="HO235" s="22"/>
      <c r="OW235" s="22"/>
      <c r="OX235" s="22"/>
      <c r="OY235" s="22"/>
    </row>
    <row r="236" spans="181:415" x14ac:dyDescent="0.25">
      <c r="FY236" s="22"/>
      <c r="HO236" s="22"/>
      <c r="OW236" s="22"/>
      <c r="OX236" s="22"/>
      <c r="OY236" s="22"/>
    </row>
    <row r="237" spans="181:415" x14ac:dyDescent="0.25">
      <c r="FY237" s="22"/>
      <c r="HO237" s="22"/>
      <c r="OW237" s="22"/>
      <c r="OX237" s="22"/>
      <c r="OY237" s="22"/>
    </row>
    <row r="238" spans="181:415" x14ac:dyDescent="0.25">
      <c r="FY238" s="22"/>
      <c r="HO238" s="22"/>
      <c r="OW238" s="22"/>
      <c r="OX238" s="22"/>
      <c r="OY238" s="22"/>
    </row>
    <row r="239" spans="181:415" x14ac:dyDescent="0.25">
      <c r="FY239" s="22"/>
      <c r="HO239" s="22"/>
      <c r="OW239" s="22"/>
      <c r="OX239" s="22"/>
      <c r="OY239" s="22"/>
    </row>
    <row r="240" spans="181:415" x14ac:dyDescent="0.25">
      <c r="FY240" s="22"/>
      <c r="HO240" s="22"/>
      <c r="OW240" s="22"/>
      <c r="OX240" s="22"/>
      <c r="OY240" s="22"/>
    </row>
    <row r="241" spans="181:415" x14ac:dyDescent="0.25">
      <c r="FY241" s="22"/>
      <c r="HO241" s="22"/>
      <c r="OW241" s="22"/>
      <c r="OX241" s="22"/>
      <c r="OY241" s="22"/>
    </row>
    <row r="242" spans="181:415" x14ac:dyDescent="0.25">
      <c r="FY242" s="22"/>
      <c r="HO242" s="22"/>
      <c r="OW242" s="22"/>
      <c r="OX242" s="22"/>
      <c r="OY242" s="22"/>
    </row>
    <row r="243" spans="181:415" x14ac:dyDescent="0.25">
      <c r="FY243" s="22"/>
      <c r="HO243" s="22"/>
      <c r="OW243" s="22"/>
      <c r="OX243" s="22"/>
      <c r="OY243" s="22"/>
    </row>
    <row r="244" spans="181:415" x14ac:dyDescent="0.25">
      <c r="FY244" s="22"/>
      <c r="HO244" s="22"/>
      <c r="OW244" s="22"/>
      <c r="OX244" s="22"/>
      <c r="OY244" s="22"/>
    </row>
    <row r="245" spans="181:415" x14ac:dyDescent="0.25">
      <c r="FY245" s="22"/>
      <c r="HO245" s="22"/>
      <c r="OW245" s="22"/>
      <c r="OX245" s="22"/>
      <c r="OY245" s="22"/>
    </row>
    <row r="246" spans="181:415" x14ac:dyDescent="0.25">
      <c r="FY246" s="22"/>
      <c r="HO246" s="22"/>
      <c r="OW246" s="22"/>
      <c r="OX246" s="22"/>
      <c r="OY246" s="22"/>
    </row>
    <row r="247" spans="181:415" x14ac:dyDescent="0.25">
      <c r="FY247" s="22"/>
      <c r="HO247" s="22"/>
      <c r="OW247" s="22"/>
      <c r="OX247" s="22"/>
      <c r="OY247" s="22"/>
    </row>
    <row r="248" spans="181:415" x14ac:dyDescent="0.25">
      <c r="FY248" s="22"/>
      <c r="HO248" s="22"/>
      <c r="OW248" s="22"/>
      <c r="OX248" s="22"/>
      <c r="OY248" s="22"/>
    </row>
    <row r="249" spans="181:415" x14ac:dyDescent="0.25">
      <c r="FY249" s="22"/>
      <c r="HO249" s="22"/>
      <c r="OW249" s="22"/>
      <c r="OX249" s="22"/>
      <c r="OY249" s="22"/>
    </row>
    <row r="250" spans="181:415" x14ac:dyDescent="0.25">
      <c r="FY250" s="22"/>
      <c r="HO250" s="22"/>
      <c r="OW250" s="22"/>
      <c r="OX250" s="22"/>
      <c r="OY250" s="22"/>
    </row>
    <row r="251" spans="181:415" x14ac:dyDescent="0.25">
      <c r="FY251" s="22"/>
      <c r="HO251" s="22"/>
      <c r="OW251" s="22"/>
      <c r="OX251" s="22"/>
      <c r="OY251" s="22"/>
    </row>
    <row r="252" spans="181:415" x14ac:dyDescent="0.25">
      <c r="FY252" s="22"/>
      <c r="HO252" s="22"/>
      <c r="OW252" s="22"/>
      <c r="OX252" s="22"/>
      <c r="OY252" s="22"/>
    </row>
    <row r="253" spans="181:415" x14ac:dyDescent="0.25">
      <c r="FY253" s="22"/>
      <c r="HO253" s="22"/>
      <c r="OW253" s="22"/>
      <c r="OX253" s="22"/>
      <c r="OY253" s="22"/>
    </row>
    <row r="254" spans="181:415" x14ac:dyDescent="0.25">
      <c r="FY254" s="22"/>
      <c r="HO254" s="22"/>
      <c r="OW254" s="22"/>
      <c r="OX254" s="22"/>
      <c r="OY254" s="22"/>
    </row>
    <row r="255" spans="181:415" x14ac:dyDescent="0.25">
      <c r="FY255" s="22"/>
      <c r="HO255" s="22"/>
      <c r="OW255" s="22"/>
      <c r="OX255" s="22"/>
      <c r="OY255" s="22"/>
    </row>
    <row r="256" spans="181:415" x14ac:dyDescent="0.25">
      <c r="FY256" s="22"/>
      <c r="HO256" s="22"/>
      <c r="OW256" s="22"/>
      <c r="OX256" s="22"/>
      <c r="OY256" s="22"/>
    </row>
    <row r="257" spans="181:415" x14ac:dyDescent="0.25">
      <c r="FY257" s="22"/>
      <c r="HO257" s="22"/>
      <c r="OW257" s="22"/>
      <c r="OX257" s="22"/>
      <c r="OY257" s="22"/>
    </row>
    <row r="258" spans="181:415" x14ac:dyDescent="0.25">
      <c r="FY258" s="22"/>
      <c r="HO258" s="22"/>
      <c r="OW258" s="22"/>
      <c r="OX258" s="22"/>
      <c r="OY258" s="22"/>
    </row>
    <row r="259" spans="181:415" x14ac:dyDescent="0.25">
      <c r="FY259" s="22"/>
      <c r="HO259" s="22"/>
      <c r="OW259" s="22"/>
      <c r="OX259" s="22"/>
      <c r="OY259" s="22"/>
    </row>
    <row r="260" spans="181:415" x14ac:dyDescent="0.25">
      <c r="FY260" s="22"/>
      <c r="HO260" s="22"/>
      <c r="OW260" s="22"/>
      <c r="OX260" s="22"/>
      <c r="OY260" s="22"/>
    </row>
    <row r="261" spans="181:415" x14ac:dyDescent="0.25">
      <c r="FY261" s="22"/>
      <c r="HO261" s="22"/>
      <c r="OW261" s="22"/>
      <c r="OX261" s="22"/>
      <c r="OY261" s="22"/>
    </row>
    <row r="262" spans="181:415" x14ac:dyDescent="0.25">
      <c r="FY262" s="22"/>
      <c r="HO262" s="22"/>
      <c r="OW262" s="22"/>
      <c r="OX262" s="22"/>
      <c r="OY262" s="22"/>
    </row>
    <row r="263" spans="181:415" x14ac:dyDescent="0.25">
      <c r="FY263" s="22"/>
      <c r="HO263" s="22"/>
      <c r="OW263" s="22"/>
      <c r="OX263" s="22"/>
      <c r="OY263" s="22"/>
    </row>
    <row r="264" spans="181:415" x14ac:dyDescent="0.25">
      <c r="FY264" s="22"/>
      <c r="HO264" s="22"/>
      <c r="OW264" s="22"/>
      <c r="OX264" s="22"/>
      <c r="OY264" s="22"/>
    </row>
    <row r="265" spans="181:415" x14ac:dyDescent="0.25">
      <c r="FY265" s="22"/>
      <c r="HO265" s="22"/>
      <c r="OW265" s="22"/>
      <c r="OX265" s="22"/>
      <c r="OY265" s="22"/>
    </row>
    <row r="266" spans="181:415" x14ac:dyDescent="0.25">
      <c r="FY266" s="22"/>
      <c r="HO266" s="22"/>
      <c r="OW266" s="22"/>
      <c r="OX266" s="22"/>
      <c r="OY266" s="22"/>
    </row>
    <row r="267" spans="181:415" x14ac:dyDescent="0.25">
      <c r="FY267" s="22"/>
      <c r="HO267" s="22"/>
      <c r="OW267" s="22"/>
      <c r="OX267" s="22"/>
      <c r="OY267" s="22"/>
    </row>
    <row r="268" spans="181:415" x14ac:dyDescent="0.25">
      <c r="FY268" s="22"/>
      <c r="HO268" s="22"/>
      <c r="OW268" s="22"/>
      <c r="OX268" s="22"/>
      <c r="OY268" s="22"/>
    </row>
    <row r="269" spans="181:415" x14ac:dyDescent="0.25">
      <c r="FY269" s="22"/>
      <c r="HO269" s="22"/>
      <c r="OW269" s="22"/>
      <c r="OX269" s="22"/>
      <c r="OY269" s="22"/>
    </row>
    <row r="270" spans="181:415" x14ac:dyDescent="0.25">
      <c r="FY270" s="22"/>
      <c r="HO270" s="22"/>
      <c r="OW270" s="22"/>
      <c r="OX270" s="22"/>
      <c r="OY270" s="22"/>
    </row>
    <row r="271" spans="181:415" x14ac:dyDescent="0.25">
      <c r="FY271" s="22"/>
      <c r="HO271" s="22"/>
      <c r="OW271" s="22"/>
      <c r="OX271" s="22"/>
      <c r="OY271" s="22"/>
    </row>
    <row r="272" spans="181:415" x14ac:dyDescent="0.25">
      <c r="FY272" s="22"/>
      <c r="HO272" s="22"/>
      <c r="OW272" s="22"/>
      <c r="OX272" s="22"/>
      <c r="OY272" s="22"/>
    </row>
    <row r="273" spans="181:415" x14ac:dyDescent="0.25">
      <c r="FY273" s="22"/>
      <c r="HO273" s="22"/>
      <c r="OW273" s="22"/>
      <c r="OX273" s="22"/>
      <c r="OY273" s="22"/>
    </row>
    <row r="274" spans="181:415" x14ac:dyDescent="0.25">
      <c r="FY274" s="22"/>
      <c r="HO274" s="22"/>
      <c r="OW274" s="22"/>
      <c r="OX274" s="22"/>
      <c r="OY274" s="22"/>
    </row>
    <row r="275" spans="181:415" x14ac:dyDescent="0.25">
      <c r="FY275" s="22"/>
      <c r="HO275" s="22"/>
      <c r="OW275" s="22"/>
      <c r="OX275" s="22"/>
      <c r="OY275" s="22"/>
    </row>
    <row r="276" spans="181:415" x14ac:dyDescent="0.25">
      <c r="FY276" s="22"/>
      <c r="HO276" s="22"/>
      <c r="OW276" s="22"/>
      <c r="OX276" s="22"/>
      <c r="OY276" s="22"/>
    </row>
    <row r="277" spans="181:415" x14ac:dyDescent="0.25">
      <c r="FY277" s="22"/>
      <c r="HO277" s="22"/>
      <c r="OW277" s="22"/>
      <c r="OX277" s="22"/>
      <c r="OY277" s="22"/>
    </row>
    <row r="278" spans="181:415" x14ac:dyDescent="0.25">
      <c r="FY278" s="22"/>
      <c r="HO278" s="22"/>
      <c r="OW278" s="22"/>
      <c r="OX278" s="22"/>
      <c r="OY278" s="22"/>
    </row>
    <row r="279" spans="181:415" x14ac:dyDescent="0.25">
      <c r="FY279" s="22"/>
      <c r="HO279" s="22"/>
      <c r="OW279" s="22"/>
      <c r="OX279" s="22"/>
      <c r="OY279" s="22"/>
    </row>
    <row r="280" spans="181:415" x14ac:dyDescent="0.25">
      <c r="FY280" s="22"/>
      <c r="HO280" s="22"/>
      <c r="OW280" s="22"/>
      <c r="OX280" s="22"/>
      <c r="OY280" s="22"/>
    </row>
    <row r="281" spans="181:415" x14ac:dyDescent="0.25">
      <c r="FY281" s="22"/>
      <c r="HO281" s="22"/>
      <c r="OW281" s="22"/>
      <c r="OX281" s="22"/>
      <c r="OY281" s="22"/>
    </row>
    <row r="282" spans="181:415" x14ac:dyDescent="0.25">
      <c r="FY282" s="22"/>
      <c r="HO282" s="22"/>
      <c r="OW282" s="22"/>
      <c r="OX282" s="22"/>
      <c r="OY282" s="22"/>
    </row>
    <row r="283" spans="181:415" x14ac:dyDescent="0.25">
      <c r="FY283" s="22"/>
      <c r="HO283" s="22"/>
      <c r="OW283" s="22"/>
      <c r="OX283" s="22"/>
      <c r="OY283" s="22"/>
    </row>
    <row r="284" spans="181:415" x14ac:dyDescent="0.25">
      <c r="FY284" s="22"/>
      <c r="HO284" s="22"/>
      <c r="OW284" s="22"/>
      <c r="OX284" s="22"/>
      <c r="OY284" s="22"/>
    </row>
    <row r="285" spans="181:415" x14ac:dyDescent="0.25">
      <c r="FY285" s="22"/>
      <c r="HO285" s="22"/>
      <c r="OW285" s="22"/>
      <c r="OX285" s="22"/>
      <c r="OY285" s="22"/>
    </row>
    <row r="286" spans="181:415" x14ac:dyDescent="0.25">
      <c r="FY286" s="22"/>
      <c r="HO286" s="22"/>
      <c r="OW286" s="22"/>
      <c r="OX286" s="22"/>
      <c r="OY286" s="22"/>
    </row>
    <row r="287" spans="181:415" x14ac:dyDescent="0.25">
      <c r="FY287" s="22"/>
      <c r="HO287" s="22"/>
      <c r="OW287" s="22"/>
      <c r="OX287" s="22"/>
      <c r="OY287" s="22"/>
    </row>
    <row r="288" spans="181:415" x14ac:dyDescent="0.25">
      <c r="FY288" s="22"/>
      <c r="HO288" s="22"/>
      <c r="OW288" s="22"/>
      <c r="OX288" s="22"/>
      <c r="OY288" s="22"/>
    </row>
    <row r="289" spans="181:415" x14ac:dyDescent="0.25">
      <c r="FY289" s="22"/>
      <c r="HO289" s="22"/>
      <c r="OW289" s="22"/>
      <c r="OX289" s="22"/>
      <c r="OY289" s="22"/>
    </row>
    <row r="290" spans="181:415" x14ac:dyDescent="0.25">
      <c r="FY290" s="22"/>
      <c r="HO290" s="22"/>
      <c r="OW290" s="22"/>
      <c r="OX290" s="22"/>
      <c r="OY290" s="22"/>
    </row>
    <row r="291" spans="181:415" x14ac:dyDescent="0.25">
      <c r="FY291" s="22"/>
      <c r="HO291" s="22"/>
      <c r="OW291" s="22"/>
      <c r="OX291" s="22"/>
      <c r="OY291" s="22"/>
    </row>
    <row r="292" spans="181:415" x14ac:dyDescent="0.25">
      <c r="FY292" s="22"/>
      <c r="HO292" s="22"/>
      <c r="OW292" s="22"/>
      <c r="OX292" s="22"/>
      <c r="OY292" s="22"/>
    </row>
    <row r="293" spans="181:415" x14ac:dyDescent="0.25">
      <c r="FY293" s="22"/>
      <c r="HO293" s="22"/>
      <c r="OW293" s="22"/>
      <c r="OX293" s="22"/>
      <c r="OY293" s="22"/>
    </row>
    <row r="294" spans="181:415" x14ac:dyDescent="0.25">
      <c r="FY294" s="22"/>
      <c r="HO294" s="22"/>
      <c r="OW294" s="22"/>
      <c r="OX294" s="22"/>
      <c r="OY294" s="22"/>
    </row>
    <row r="295" spans="181:415" x14ac:dyDescent="0.25">
      <c r="FY295" s="22"/>
      <c r="HO295" s="22"/>
      <c r="OW295" s="22"/>
      <c r="OX295" s="22"/>
      <c r="OY295" s="22"/>
    </row>
    <row r="296" spans="181:415" x14ac:dyDescent="0.25">
      <c r="FY296" s="22"/>
      <c r="HO296" s="22"/>
      <c r="OW296" s="22"/>
      <c r="OX296" s="22"/>
      <c r="OY296" s="22"/>
    </row>
    <row r="297" spans="181:415" x14ac:dyDescent="0.25">
      <c r="FY297" s="22"/>
      <c r="HO297" s="22"/>
      <c r="OW297" s="22"/>
      <c r="OX297" s="22"/>
      <c r="OY297" s="22"/>
    </row>
    <row r="298" spans="181:415" x14ac:dyDescent="0.25">
      <c r="FY298" s="22"/>
      <c r="HO298" s="22"/>
      <c r="OW298" s="22"/>
      <c r="OX298" s="22"/>
      <c r="OY298" s="22"/>
    </row>
    <row r="299" spans="181:415" x14ac:dyDescent="0.25">
      <c r="FY299" s="22"/>
      <c r="HO299" s="22"/>
      <c r="OW299" s="22"/>
      <c r="OX299" s="22"/>
      <c r="OY299" s="22"/>
    </row>
    <row r="300" spans="181:415" x14ac:dyDescent="0.25">
      <c r="FY300" s="22"/>
      <c r="OW300" s="22"/>
      <c r="OX300" s="22"/>
      <c r="OY300" s="22"/>
    </row>
    <row r="301" spans="181:415" x14ac:dyDescent="0.25">
      <c r="FY301" s="22"/>
      <c r="OW301" s="22"/>
      <c r="OX301" s="22"/>
      <c r="OY301" s="22"/>
    </row>
    <row r="302" spans="181:415" x14ac:dyDescent="0.25">
      <c r="FY302" s="22"/>
      <c r="OW302" s="22"/>
      <c r="OX302" s="22"/>
      <c r="OY302" s="22"/>
    </row>
    <row r="303" spans="181:415" x14ac:dyDescent="0.25">
      <c r="FY303" s="22"/>
      <c r="OW303" s="22"/>
      <c r="OX303" s="22"/>
      <c r="OY303" s="22"/>
    </row>
    <row r="304" spans="181:415" x14ac:dyDescent="0.25">
      <c r="FY304" s="22"/>
      <c r="OW304" s="22"/>
      <c r="OX304" s="22"/>
      <c r="OY304" s="22"/>
    </row>
    <row r="305" spans="181:415" x14ac:dyDescent="0.25">
      <c r="FY305" s="22"/>
      <c r="OW305" s="22"/>
      <c r="OX305" s="22"/>
      <c r="OY305" s="22"/>
    </row>
    <row r="306" spans="181:415" x14ac:dyDescent="0.25">
      <c r="OW306" s="22"/>
      <c r="OX306" s="22"/>
      <c r="OY306" s="22"/>
    </row>
    <row r="307" spans="181:415" x14ac:dyDescent="0.25">
      <c r="OW307" s="22"/>
      <c r="OX307" s="22"/>
      <c r="OY307" s="22"/>
    </row>
    <row r="308" spans="181:415" x14ac:dyDescent="0.25">
      <c r="OW308" s="22"/>
      <c r="OX308" s="22"/>
      <c r="OY308" s="22"/>
    </row>
    <row r="309" spans="181:415" x14ac:dyDescent="0.25">
      <c r="OW309" s="22"/>
      <c r="OX309" s="22"/>
      <c r="OY309" s="22"/>
    </row>
    <row r="310" spans="181:415" x14ac:dyDescent="0.25">
      <c r="OW310" s="22"/>
      <c r="OX310" s="22"/>
      <c r="OY310" s="22"/>
    </row>
    <row r="311" spans="181:415" x14ac:dyDescent="0.25">
      <c r="OW311" s="22"/>
      <c r="OX311" s="22"/>
      <c r="OY311" s="22"/>
    </row>
    <row r="312" spans="181:415" x14ac:dyDescent="0.25">
      <c r="OW312" s="22"/>
      <c r="OX312" s="22"/>
      <c r="OY312" s="22"/>
    </row>
    <row r="313" spans="181:415" x14ac:dyDescent="0.25">
      <c r="OW313" s="22"/>
      <c r="OX313" s="22"/>
      <c r="OY313" s="22"/>
    </row>
    <row r="314" spans="181:415" x14ac:dyDescent="0.25">
      <c r="OW314" s="22"/>
      <c r="OX314" s="22"/>
      <c r="OY314" s="22"/>
    </row>
    <row r="315" spans="181:415" x14ac:dyDescent="0.25">
      <c r="OW315" s="22"/>
      <c r="OX315" s="22"/>
      <c r="OY315" s="22"/>
    </row>
    <row r="316" spans="181:415" x14ac:dyDescent="0.25">
      <c r="OW316" s="22"/>
      <c r="OX316" s="22"/>
      <c r="OY316" s="22"/>
    </row>
    <row r="317" spans="181:415" x14ac:dyDescent="0.25">
      <c r="OW317" s="22"/>
      <c r="OX317" s="22"/>
      <c r="OY317" s="22"/>
    </row>
    <row r="318" spans="181:415" x14ac:dyDescent="0.25">
      <c r="OW318" s="22"/>
      <c r="OX318" s="22"/>
      <c r="OY318" s="22"/>
    </row>
    <row r="319" spans="181:415" x14ac:dyDescent="0.25">
      <c r="OW319" s="22"/>
      <c r="OX319" s="22"/>
      <c r="OY319" s="22"/>
    </row>
    <row r="320" spans="181:415" x14ac:dyDescent="0.25">
      <c r="OW320" s="22"/>
      <c r="OX320" s="22"/>
      <c r="OY320" s="22"/>
    </row>
    <row r="321" spans="413:415" x14ac:dyDescent="0.25">
      <c r="OW321" s="22"/>
      <c r="OX321" s="22"/>
      <c r="OY321" s="22"/>
    </row>
    <row r="322" spans="413:415" x14ac:dyDescent="0.25">
      <c r="OW322" s="22"/>
      <c r="OX322" s="22"/>
      <c r="OY322" s="22"/>
    </row>
    <row r="323" spans="413:415" x14ac:dyDescent="0.25">
      <c r="OW323" s="22"/>
      <c r="OX323" s="22"/>
      <c r="OY323" s="22"/>
    </row>
    <row r="324" spans="413:415" x14ac:dyDescent="0.25">
      <c r="OW324" s="22"/>
      <c r="OX324" s="22"/>
      <c r="OY324" s="22"/>
    </row>
    <row r="325" spans="413:415" x14ac:dyDescent="0.25">
      <c r="OW325" s="22"/>
      <c r="OX325" s="22"/>
      <c r="OY325" s="22"/>
    </row>
    <row r="326" spans="413:415" x14ac:dyDescent="0.25">
      <c r="OW326" s="22"/>
      <c r="OX326" s="22"/>
      <c r="OY326" s="22"/>
    </row>
    <row r="327" spans="413:415" x14ac:dyDescent="0.25">
      <c r="OW327" s="22"/>
      <c r="OX327" s="22"/>
      <c r="OY327" s="22"/>
    </row>
    <row r="328" spans="413:415" x14ac:dyDescent="0.25">
      <c r="OW328" s="22"/>
      <c r="OX328" s="22"/>
      <c r="OY328" s="22"/>
    </row>
    <row r="329" spans="413:415" x14ac:dyDescent="0.25">
      <c r="OW329" s="22"/>
      <c r="OX329" s="22"/>
      <c r="OY329" s="22"/>
    </row>
    <row r="330" spans="413:415" x14ac:dyDescent="0.25">
      <c r="OW330" s="22"/>
      <c r="OX330" s="22"/>
      <c r="OY330" s="22"/>
    </row>
    <row r="331" spans="413:415" x14ac:dyDescent="0.25">
      <c r="OW331" s="22"/>
      <c r="OX331" s="22"/>
      <c r="OY331" s="22"/>
    </row>
    <row r="332" spans="413:415" x14ac:dyDescent="0.25">
      <c r="OW332" s="22"/>
      <c r="OX332" s="22"/>
      <c r="OY332" s="22"/>
    </row>
    <row r="333" spans="413:415" x14ac:dyDescent="0.25">
      <c r="OW333" s="22"/>
      <c r="OX333" s="22"/>
      <c r="OY333" s="22"/>
    </row>
    <row r="334" spans="413:415" x14ac:dyDescent="0.25">
      <c r="OW334" s="22"/>
      <c r="OX334" s="22"/>
      <c r="OY334" s="22"/>
    </row>
    <row r="335" spans="413:415" x14ac:dyDescent="0.25">
      <c r="OW335" s="22"/>
      <c r="OX335" s="22"/>
      <c r="OY335" s="22"/>
    </row>
    <row r="336" spans="413:415" x14ac:dyDescent="0.25">
      <c r="OW336" s="22"/>
      <c r="OX336" s="22"/>
      <c r="OY336" s="22"/>
    </row>
    <row r="337" spans="413:415" x14ac:dyDescent="0.25">
      <c r="OW337" s="22"/>
      <c r="OX337" s="22"/>
      <c r="OY337" s="22"/>
    </row>
    <row r="338" spans="413:415" x14ac:dyDescent="0.25">
      <c r="OW338" s="22"/>
      <c r="OX338" s="22"/>
      <c r="OY338" s="22"/>
    </row>
    <row r="339" spans="413:415" x14ac:dyDescent="0.25">
      <c r="OW339" s="22"/>
      <c r="OX339" s="22"/>
      <c r="OY339" s="22"/>
    </row>
    <row r="340" spans="413:415" x14ac:dyDescent="0.25">
      <c r="OW340" s="22"/>
      <c r="OX340" s="22"/>
      <c r="OY340" s="22"/>
    </row>
    <row r="341" spans="413:415" x14ac:dyDescent="0.25">
      <c r="OW341" s="22"/>
      <c r="OX341" s="22"/>
      <c r="OY341" s="22"/>
    </row>
    <row r="342" spans="413:415" x14ac:dyDescent="0.25">
      <c r="OW342" s="22"/>
      <c r="OX342" s="22"/>
      <c r="OY342" s="22"/>
    </row>
    <row r="343" spans="413:415" x14ac:dyDescent="0.25">
      <c r="OW343" s="22"/>
      <c r="OX343" s="22"/>
      <c r="OY343" s="22"/>
    </row>
    <row r="344" spans="413:415" x14ac:dyDescent="0.25">
      <c r="OW344" s="22"/>
      <c r="OX344" s="22"/>
      <c r="OY344" s="22"/>
    </row>
    <row r="345" spans="413:415" x14ac:dyDescent="0.25">
      <c r="OW345" s="22"/>
      <c r="OX345" s="22"/>
      <c r="OY345" s="22"/>
    </row>
    <row r="346" spans="413:415" x14ac:dyDescent="0.25">
      <c r="OW346" s="22"/>
      <c r="OX346" s="22"/>
      <c r="OY346" s="22"/>
    </row>
    <row r="347" spans="413:415" x14ac:dyDescent="0.25">
      <c r="OW347" s="22"/>
      <c r="OX347" s="22"/>
      <c r="OY347" s="22"/>
    </row>
    <row r="348" spans="413:415" x14ac:dyDescent="0.25">
      <c r="OW348" s="22"/>
      <c r="OX348" s="22"/>
      <c r="OY348" s="22"/>
    </row>
    <row r="349" spans="413:415" x14ac:dyDescent="0.25">
      <c r="OW349" s="22"/>
      <c r="OX349" s="22"/>
      <c r="OY349" s="22"/>
    </row>
    <row r="350" spans="413:415" x14ac:dyDescent="0.25">
      <c r="OW350" s="22"/>
      <c r="OX350" s="22"/>
      <c r="OY350" s="22"/>
    </row>
    <row r="351" spans="413:415" x14ac:dyDescent="0.25">
      <c r="OW351" s="22"/>
      <c r="OX351" s="22"/>
      <c r="OY351" s="22"/>
    </row>
    <row r="352" spans="413:415" x14ac:dyDescent="0.25">
      <c r="OW352" s="22"/>
      <c r="OX352" s="22"/>
      <c r="OY352" s="22"/>
    </row>
    <row r="353" spans="413:415" x14ac:dyDescent="0.25">
      <c r="OW353" s="22"/>
      <c r="OX353" s="22"/>
      <c r="OY353" s="22"/>
    </row>
    <row r="354" spans="413:415" x14ac:dyDescent="0.25">
      <c r="OW354" s="22"/>
      <c r="OX354" s="22"/>
      <c r="OY354" s="22"/>
    </row>
    <row r="355" spans="413:415" x14ac:dyDescent="0.25">
      <c r="OW355" s="22"/>
      <c r="OX355" s="22"/>
      <c r="OY355" s="22"/>
    </row>
    <row r="356" spans="413:415" x14ac:dyDescent="0.25">
      <c r="OW356" s="22"/>
      <c r="OX356" s="22"/>
      <c r="OY356" s="22"/>
    </row>
    <row r="357" spans="413:415" x14ac:dyDescent="0.25">
      <c r="OW357" s="22"/>
      <c r="OX357" s="22"/>
      <c r="OY357" s="22"/>
    </row>
    <row r="358" spans="413:415" x14ac:dyDescent="0.25">
      <c r="OW358" s="22"/>
      <c r="OX358" s="22"/>
      <c r="OY358" s="22"/>
    </row>
    <row r="359" spans="413:415" x14ac:dyDescent="0.25">
      <c r="OW359" s="22"/>
      <c r="OX359" s="22"/>
      <c r="OY359" s="22"/>
    </row>
    <row r="360" spans="413:415" x14ac:dyDescent="0.25">
      <c r="OW360" s="22"/>
      <c r="OX360" s="22"/>
      <c r="OY360" s="22"/>
    </row>
    <row r="361" spans="413:415" x14ac:dyDescent="0.25">
      <c r="OW361" s="22"/>
      <c r="OX361" s="22"/>
      <c r="OY361" s="22"/>
    </row>
    <row r="362" spans="413:415" x14ac:dyDescent="0.25">
      <c r="OW362" s="22"/>
      <c r="OX362" s="22"/>
      <c r="OY362" s="22"/>
    </row>
    <row r="363" spans="413:415" x14ac:dyDescent="0.25">
      <c r="OW363" s="22"/>
      <c r="OX363" s="22"/>
      <c r="OY363" s="22"/>
    </row>
    <row r="364" spans="413:415" x14ac:dyDescent="0.25">
      <c r="OW364" s="22"/>
      <c r="OX364" s="22"/>
      <c r="OY364" s="22"/>
    </row>
    <row r="365" spans="413:415" x14ac:dyDescent="0.25">
      <c r="OW365" s="22"/>
      <c r="OX365" s="22"/>
      <c r="OY365" s="22"/>
    </row>
    <row r="366" spans="413:415" x14ac:dyDescent="0.25">
      <c r="OW366" s="22"/>
      <c r="OX366" s="22"/>
      <c r="OY366" s="22"/>
    </row>
    <row r="367" spans="413:415" x14ac:dyDescent="0.25">
      <c r="OW367" s="22"/>
      <c r="OX367" s="22"/>
      <c r="OY367" s="22"/>
    </row>
    <row r="368" spans="413:415" x14ac:dyDescent="0.25">
      <c r="OW368" s="22"/>
      <c r="OX368" s="22"/>
      <c r="OY368" s="22"/>
    </row>
    <row r="369" spans="413:415" x14ac:dyDescent="0.25">
      <c r="OW369" s="22"/>
      <c r="OX369" s="22"/>
      <c r="OY369" s="22"/>
    </row>
    <row r="370" spans="413:415" x14ac:dyDescent="0.25">
      <c r="OW370" s="22"/>
      <c r="OX370" s="22"/>
      <c r="OY370" s="22"/>
    </row>
    <row r="371" spans="413:415" x14ac:dyDescent="0.25">
      <c r="OW371" s="22"/>
      <c r="OX371" s="22"/>
      <c r="OY371" s="22"/>
    </row>
    <row r="372" spans="413:415" x14ac:dyDescent="0.25">
      <c r="OW372" s="22"/>
      <c r="OX372" s="22"/>
      <c r="OY372" s="22"/>
    </row>
    <row r="373" spans="413:415" x14ac:dyDescent="0.25">
      <c r="OW373" s="22"/>
      <c r="OX373" s="22"/>
      <c r="OY373" s="22"/>
    </row>
    <row r="374" spans="413:415" x14ac:dyDescent="0.25">
      <c r="OW374" s="22"/>
      <c r="OX374" s="22"/>
      <c r="OY374" s="22"/>
    </row>
    <row r="375" spans="413:415" x14ac:dyDescent="0.25">
      <c r="OW375" s="22"/>
      <c r="OX375" s="22"/>
      <c r="OY375" s="22"/>
    </row>
    <row r="376" spans="413:415" x14ac:dyDescent="0.25">
      <c r="OW376" s="22"/>
      <c r="OX376" s="22"/>
      <c r="OY376" s="22"/>
    </row>
    <row r="377" spans="413:415" x14ac:dyDescent="0.25">
      <c r="OW377" s="22"/>
      <c r="OX377" s="22"/>
      <c r="OY377" s="22"/>
    </row>
    <row r="378" spans="413:415" x14ac:dyDescent="0.25">
      <c r="OW378" s="22"/>
      <c r="OX378" s="22"/>
      <c r="OY378" s="22"/>
    </row>
    <row r="379" spans="413:415" x14ac:dyDescent="0.25">
      <c r="OW379" s="22"/>
      <c r="OX379" s="22"/>
      <c r="OY379" s="22"/>
    </row>
    <row r="380" spans="413:415" x14ac:dyDescent="0.25">
      <c r="OW380" s="22"/>
      <c r="OX380" s="22"/>
      <c r="OY380" s="22"/>
    </row>
    <row r="381" spans="413:415" x14ac:dyDescent="0.25">
      <c r="OW381" s="22"/>
      <c r="OX381" s="22"/>
      <c r="OY381" s="22"/>
    </row>
    <row r="382" spans="413:415" x14ac:dyDescent="0.25">
      <c r="OW382" s="22"/>
      <c r="OX382" s="22"/>
      <c r="OY382" s="22"/>
    </row>
    <row r="383" spans="413:415" x14ac:dyDescent="0.25">
      <c r="OW383" s="22"/>
      <c r="OX383" s="22"/>
      <c r="OY383" s="22"/>
    </row>
    <row r="384" spans="413:415" x14ac:dyDescent="0.25">
      <c r="OW384" s="22"/>
      <c r="OX384" s="22"/>
      <c r="OY384" s="22"/>
    </row>
    <row r="385" spans="413:415" x14ac:dyDescent="0.25">
      <c r="OW385" s="22"/>
      <c r="OX385" s="22"/>
      <c r="OY385" s="22"/>
    </row>
    <row r="386" spans="413:415" x14ac:dyDescent="0.25">
      <c r="OW386" s="22"/>
      <c r="OX386" s="22"/>
      <c r="OY386" s="22"/>
    </row>
    <row r="387" spans="413:415" x14ac:dyDescent="0.25">
      <c r="OW387" s="22"/>
      <c r="OX387" s="22"/>
      <c r="OY387" s="22"/>
    </row>
    <row r="388" spans="413:415" x14ac:dyDescent="0.25">
      <c r="OW388" s="22"/>
      <c r="OX388" s="22"/>
      <c r="OY388" s="22"/>
    </row>
    <row r="389" spans="413:415" x14ac:dyDescent="0.25">
      <c r="OW389" s="22"/>
      <c r="OX389" s="22"/>
      <c r="OY389" s="22"/>
    </row>
    <row r="390" spans="413:415" x14ac:dyDescent="0.25">
      <c r="OW390" s="22"/>
      <c r="OX390" s="22"/>
      <c r="OY390" s="22"/>
    </row>
    <row r="391" spans="413:415" x14ac:dyDescent="0.25">
      <c r="OW391" s="22"/>
      <c r="OX391" s="22"/>
      <c r="OY391" s="22"/>
    </row>
    <row r="392" spans="413:415" x14ac:dyDescent="0.25">
      <c r="OW392" s="22"/>
      <c r="OX392" s="22"/>
      <c r="OY392" s="22"/>
    </row>
    <row r="393" spans="413:415" x14ac:dyDescent="0.25">
      <c r="OW393" s="22"/>
      <c r="OX393" s="22"/>
      <c r="OY393" s="22"/>
    </row>
    <row r="394" spans="413:415" x14ac:dyDescent="0.25">
      <c r="OW394" s="22"/>
      <c r="OX394" s="22"/>
      <c r="OY394" s="22"/>
    </row>
    <row r="395" spans="413:415" x14ac:dyDescent="0.25">
      <c r="OW395" s="22"/>
      <c r="OX395" s="22"/>
      <c r="OY395" s="22"/>
    </row>
    <row r="396" spans="413:415" x14ac:dyDescent="0.25">
      <c r="OW396" s="22"/>
      <c r="OX396" s="22"/>
      <c r="OY396" s="22"/>
    </row>
    <row r="397" spans="413:415" x14ac:dyDescent="0.25">
      <c r="OW397" s="22"/>
      <c r="OX397" s="22"/>
      <c r="OY397" s="22"/>
    </row>
    <row r="398" spans="413:415" x14ac:dyDescent="0.25">
      <c r="OW398" s="22"/>
      <c r="OX398" s="22"/>
      <c r="OY398" s="22"/>
    </row>
    <row r="399" spans="413:415" x14ac:dyDescent="0.25">
      <c r="OW399" s="22"/>
      <c r="OX399" s="22"/>
      <c r="OY399" s="22"/>
    </row>
    <row r="400" spans="413:415" x14ac:dyDescent="0.25">
      <c r="OW400" s="22"/>
      <c r="OX400" s="22"/>
      <c r="OY400" s="22"/>
    </row>
    <row r="401" spans="413:415" x14ac:dyDescent="0.25">
      <c r="OW401" s="22"/>
      <c r="OX401" s="22"/>
      <c r="OY401" s="22"/>
    </row>
    <row r="402" spans="413:415" x14ac:dyDescent="0.25">
      <c r="OW402" s="22"/>
      <c r="OX402" s="22"/>
      <c r="OY402" s="22"/>
    </row>
    <row r="403" spans="413:415" x14ac:dyDescent="0.25">
      <c r="OW403" s="22"/>
      <c r="OX403" s="22"/>
      <c r="OY403" s="22"/>
    </row>
    <row r="404" spans="413:415" x14ac:dyDescent="0.25">
      <c r="OW404" s="22"/>
      <c r="OX404" s="22"/>
      <c r="OY404" s="22"/>
    </row>
    <row r="405" spans="413:415" x14ac:dyDescent="0.25">
      <c r="OW405" s="22"/>
      <c r="OX405" s="22"/>
      <c r="OY405" s="22"/>
    </row>
    <row r="406" spans="413:415" x14ac:dyDescent="0.25">
      <c r="OW406" s="22"/>
      <c r="OX406" s="22"/>
      <c r="OY406" s="22"/>
    </row>
    <row r="407" spans="413:415" x14ac:dyDescent="0.25">
      <c r="OW407" s="22"/>
      <c r="OX407" s="22"/>
      <c r="OY407" s="22"/>
    </row>
    <row r="408" spans="413:415" x14ac:dyDescent="0.25">
      <c r="OW408" s="22"/>
      <c r="OX408" s="22"/>
      <c r="OY408" s="22"/>
    </row>
    <row r="409" spans="413:415" x14ac:dyDescent="0.25">
      <c r="OW409" s="22"/>
      <c r="OX409" s="22"/>
      <c r="OY409" s="22"/>
    </row>
    <row r="410" spans="413:415" x14ac:dyDescent="0.25">
      <c r="OW410" s="22"/>
      <c r="OX410" s="22"/>
      <c r="OY410" s="22"/>
    </row>
    <row r="411" spans="413:415" x14ac:dyDescent="0.25">
      <c r="OW411" s="22"/>
      <c r="OX411" s="22"/>
      <c r="OY411" s="22"/>
    </row>
    <row r="412" spans="413:415" x14ac:dyDescent="0.25">
      <c r="OW412" s="22"/>
      <c r="OX412" s="22"/>
      <c r="OY412" s="22"/>
    </row>
    <row r="413" spans="413:415" x14ac:dyDescent="0.25">
      <c r="OW413" s="22"/>
      <c r="OX413" s="22"/>
      <c r="OY413" s="22"/>
    </row>
    <row r="414" spans="413:415" x14ac:dyDescent="0.25">
      <c r="OW414" s="22"/>
      <c r="OX414" s="22"/>
      <c r="OY414" s="22"/>
    </row>
    <row r="415" spans="413:415" x14ac:dyDescent="0.25">
      <c r="OW415" s="22"/>
      <c r="OX415" s="22"/>
      <c r="OY415" s="22"/>
    </row>
    <row r="416" spans="413:415" x14ac:dyDescent="0.25">
      <c r="OW416" s="22"/>
      <c r="OX416" s="22"/>
      <c r="OY416" s="22"/>
    </row>
    <row r="417" spans="413:415" x14ac:dyDescent="0.25">
      <c r="OW417" s="22"/>
      <c r="OX417" s="22"/>
      <c r="OY417" s="22"/>
    </row>
    <row r="418" spans="413:415" x14ac:dyDescent="0.25">
      <c r="OW418" s="22"/>
      <c r="OX418" s="22"/>
      <c r="OY418" s="22"/>
    </row>
    <row r="419" spans="413:415" x14ac:dyDescent="0.25">
      <c r="OW419" s="22"/>
      <c r="OX419" s="22"/>
      <c r="OY419" s="22"/>
    </row>
    <row r="420" spans="413:415" x14ac:dyDescent="0.25">
      <c r="OW420" s="22"/>
      <c r="OX420" s="22"/>
      <c r="OY420" s="22"/>
    </row>
    <row r="421" spans="413:415" x14ac:dyDescent="0.25">
      <c r="OW421" s="22"/>
      <c r="OX421" s="22"/>
      <c r="OY421" s="22"/>
    </row>
    <row r="422" spans="413:415" x14ac:dyDescent="0.25">
      <c r="OW422" s="22"/>
      <c r="OX422" s="22"/>
      <c r="OY422" s="22"/>
    </row>
    <row r="423" spans="413:415" x14ac:dyDescent="0.25">
      <c r="OW423" s="22"/>
      <c r="OX423" s="22"/>
      <c r="OY423" s="22"/>
    </row>
    <row r="424" spans="413:415" x14ac:dyDescent="0.25">
      <c r="OW424" s="22"/>
      <c r="OX424" s="22"/>
      <c r="OY424" s="22"/>
    </row>
    <row r="425" spans="413:415" x14ac:dyDescent="0.25">
      <c r="OW425" s="22"/>
      <c r="OX425" s="22"/>
      <c r="OY425" s="22"/>
    </row>
    <row r="426" spans="413:415" x14ac:dyDescent="0.25">
      <c r="OW426" s="22"/>
      <c r="OX426" s="22"/>
      <c r="OY426" s="22"/>
    </row>
    <row r="427" spans="413:415" x14ac:dyDescent="0.25">
      <c r="OW427" s="22"/>
      <c r="OX427" s="22"/>
      <c r="OY427" s="22"/>
    </row>
    <row r="428" spans="413:415" x14ac:dyDescent="0.25">
      <c r="OW428" s="22"/>
      <c r="OX428" s="22"/>
      <c r="OY428" s="22"/>
    </row>
    <row r="429" spans="413:415" x14ac:dyDescent="0.25">
      <c r="OW429" s="22"/>
      <c r="OX429" s="22"/>
      <c r="OY429" s="22"/>
    </row>
    <row r="430" spans="413:415" x14ac:dyDescent="0.25">
      <c r="OW430" s="22"/>
      <c r="OX430" s="22"/>
      <c r="OY430" s="22"/>
    </row>
    <row r="431" spans="413:415" x14ac:dyDescent="0.25">
      <c r="OW431" s="22"/>
      <c r="OX431" s="22"/>
      <c r="OY431" s="22"/>
    </row>
    <row r="432" spans="413:415" x14ac:dyDescent="0.25">
      <c r="OW432" s="22"/>
      <c r="OX432" s="22"/>
      <c r="OY432" s="22"/>
    </row>
    <row r="433" spans="413:415" x14ac:dyDescent="0.25">
      <c r="OW433" s="22"/>
      <c r="OX433" s="22"/>
      <c r="OY433" s="22"/>
    </row>
    <row r="434" spans="413:415" x14ac:dyDescent="0.25">
      <c r="OW434" s="22"/>
      <c r="OX434" s="22"/>
      <c r="OY434" s="22"/>
    </row>
    <row r="435" spans="413:415" x14ac:dyDescent="0.25">
      <c r="OW435" s="22"/>
      <c r="OX435" s="22"/>
      <c r="OY435" s="22"/>
    </row>
    <row r="436" spans="413:415" x14ac:dyDescent="0.25">
      <c r="OW436" s="22"/>
      <c r="OX436" s="22"/>
      <c r="OY436" s="22"/>
    </row>
    <row r="437" spans="413:415" x14ac:dyDescent="0.25">
      <c r="OW437" s="22"/>
      <c r="OX437" s="22"/>
      <c r="OY437" s="22"/>
    </row>
    <row r="438" spans="413:415" x14ac:dyDescent="0.25">
      <c r="OW438" s="22"/>
      <c r="OX438" s="22"/>
      <c r="OY438" s="22"/>
    </row>
    <row r="439" spans="413:415" x14ac:dyDescent="0.25">
      <c r="OW439" s="22"/>
      <c r="OX439" s="22"/>
      <c r="OY439" s="22"/>
    </row>
    <row r="440" spans="413:415" x14ac:dyDescent="0.25">
      <c r="OW440" s="22"/>
      <c r="OX440" s="22"/>
      <c r="OY440" s="22"/>
    </row>
    <row r="441" spans="413:415" x14ac:dyDescent="0.25">
      <c r="OW441" s="22"/>
      <c r="OX441" s="22"/>
      <c r="OY441" s="22"/>
    </row>
    <row r="442" spans="413:415" x14ac:dyDescent="0.25">
      <c r="OW442" s="22"/>
      <c r="OX442" s="22"/>
      <c r="OY442" s="22"/>
    </row>
    <row r="443" spans="413:415" x14ac:dyDescent="0.25">
      <c r="OW443" s="22"/>
      <c r="OX443" s="22"/>
      <c r="OY443" s="22"/>
    </row>
    <row r="444" spans="413:415" x14ac:dyDescent="0.25">
      <c r="OW444" s="22"/>
      <c r="OX444" s="22"/>
      <c r="OY444" s="22"/>
    </row>
    <row r="445" spans="413:415" x14ac:dyDescent="0.25">
      <c r="OW445" s="22"/>
      <c r="OX445" s="22"/>
      <c r="OY445" s="22"/>
    </row>
    <row r="446" spans="413:415" x14ac:dyDescent="0.25">
      <c r="OW446" s="22"/>
      <c r="OX446" s="22"/>
      <c r="OY446" s="22"/>
    </row>
    <row r="447" spans="413:415" x14ac:dyDescent="0.25">
      <c r="OW447" s="22"/>
      <c r="OX447" s="22"/>
      <c r="OY447" s="22"/>
    </row>
    <row r="448" spans="413:415" x14ac:dyDescent="0.25">
      <c r="OW448" s="22"/>
      <c r="OX448" s="22"/>
      <c r="OY448" s="22"/>
    </row>
    <row r="449" spans="413:415" x14ac:dyDescent="0.25">
      <c r="OW449" s="22"/>
      <c r="OX449" s="22"/>
      <c r="OY449" s="22"/>
    </row>
    <row r="450" spans="413:415" x14ac:dyDescent="0.25">
      <c r="OW450" s="22"/>
      <c r="OX450" s="22"/>
      <c r="OY450" s="22"/>
    </row>
    <row r="451" spans="413:415" x14ac:dyDescent="0.25">
      <c r="OW451" s="22"/>
      <c r="OX451" s="22"/>
      <c r="OY451" s="22"/>
    </row>
    <row r="452" spans="413:415" x14ac:dyDescent="0.25">
      <c r="OW452" s="22"/>
      <c r="OX452" s="22"/>
      <c r="OY452" s="22"/>
    </row>
    <row r="453" spans="413:415" x14ac:dyDescent="0.25">
      <c r="OW453" s="22"/>
      <c r="OX453" s="22"/>
      <c r="OY453" s="22"/>
    </row>
    <row r="454" spans="413:415" x14ac:dyDescent="0.25">
      <c r="OW454" s="22"/>
      <c r="OX454" s="22"/>
      <c r="OY454" s="22"/>
    </row>
    <row r="455" spans="413:415" x14ac:dyDescent="0.25">
      <c r="OW455" s="22"/>
      <c r="OX455" s="22"/>
      <c r="OY455" s="22"/>
    </row>
    <row r="456" spans="413:415" x14ac:dyDescent="0.25">
      <c r="OW456" s="22"/>
      <c r="OX456" s="22"/>
      <c r="OY456" s="22"/>
    </row>
    <row r="457" spans="413:415" x14ac:dyDescent="0.25">
      <c r="OW457" s="22"/>
      <c r="OX457" s="22"/>
      <c r="OY457" s="22"/>
    </row>
    <row r="458" spans="413:415" x14ac:dyDescent="0.25">
      <c r="OW458" s="22"/>
      <c r="OX458" s="22"/>
      <c r="OY458" s="22"/>
    </row>
    <row r="459" spans="413:415" x14ac:dyDescent="0.25">
      <c r="OW459" s="22"/>
      <c r="OX459" s="22"/>
      <c r="OY459" s="22"/>
    </row>
    <row r="460" spans="413:415" x14ac:dyDescent="0.25">
      <c r="OW460" s="22"/>
      <c r="OX460" s="22"/>
      <c r="OY460" s="22"/>
    </row>
    <row r="461" spans="413:415" x14ac:dyDescent="0.25">
      <c r="OW461" s="22"/>
      <c r="OX461" s="22"/>
      <c r="OY461" s="22"/>
    </row>
    <row r="462" spans="413:415" x14ac:dyDescent="0.25">
      <c r="OW462" s="22"/>
      <c r="OX462" s="22"/>
      <c r="OY462" s="22"/>
    </row>
    <row r="463" spans="413:415" x14ac:dyDescent="0.25">
      <c r="OW463" s="22"/>
      <c r="OX463" s="22"/>
      <c r="OY463" s="22"/>
    </row>
    <row r="464" spans="413:415" x14ac:dyDescent="0.25">
      <c r="OW464" s="22"/>
      <c r="OX464" s="22"/>
      <c r="OY464" s="22"/>
    </row>
    <row r="465" spans="413:415" x14ac:dyDescent="0.25">
      <c r="OW465" s="22"/>
      <c r="OX465" s="22"/>
      <c r="OY465" s="22"/>
    </row>
    <row r="466" spans="413:415" x14ac:dyDescent="0.25">
      <c r="OW466" s="22"/>
      <c r="OX466" s="22"/>
      <c r="OY466" s="22"/>
    </row>
    <row r="467" spans="413:415" x14ac:dyDescent="0.25">
      <c r="OW467" s="22"/>
      <c r="OX467" s="22"/>
      <c r="OY467" s="22"/>
    </row>
    <row r="468" spans="413:415" x14ac:dyDescent="0.25">
      <c r="OW468" s="22"/>
      <c r="OX468" s="22"/>
      <c r="OY468" s="22"/>
    </row>
    <row r="469" spans="413:415" x14ac:dyDescent="0.25">
      <c r="OW469" s="22"/>
      <c r="OX469" s="22"/>
      <c r="OY469" s="22"/>
    </row>
    <row r="470" spans="413:415" x14ac:dyDescent="0.25">
      <c r="OW470" s="22"/>
      <c r="OX470" s="22"/>
      <c r="OY470" s="22"/>
    </row>
    <row r="471" spans="413:415" x14ac:dyDescent="0.25">
      <c r="OW471" s="22"/>
      <c r="OX471" s="22"/>
      <c r="OY471" s="22"/>
    </row>
    <row r="472" spans="413:415" x14ac:dyDescent="0.25">
      <c r="OW472" s="22"/>
      <c r="OX472" s="22"/>
      <c r="OY472" s="22"/>
    </row>
    <row r="473" spans="413:415" x14ac:dyDescent="0.25">
      <c r="OW473" s="22"/>
      <c r="OX473" s="22"/>
      <c r="OY473" s="22"/>
    </row>
    <row r="474" spans="413:415" x14ac:dyDescent="0.25">
      <c r="OW474" s="22"/>
      <c r="OX474" s="22"/>
      <c r="OY474" s="22"/>
    </row>
    <row r="475" spans="413:415" x14ac:dyDescent="0.25">
      <c r="OW475" s="22"/>
      <c r="OX475" s="22"/>
      <c r="OY475" s="22"/>
    </row>
    <row r="476" spans="413:415" x14ac:dyDescent="0.25">
      <c r="OW476" s="22"/>
      <c r="OX476" s="22"/>
      <c r="OY476" s="22"/>
    </row>
    <row r="477" spans="413:415" x14ac:dyDescent="0.25">
      <c r="OW477" s="22"/>
      <c r="OX477" s="22"/>
      <c r="OY477" s="22"/>
    </row>
    <row r="478" spans="413:415" x14ac:dyDescent="0.25">
      <c r="OW478" s="22"/>
      <c r="OX478" s="22"/>
      <c r="OY478" s="22"/>
    </row>
    <row r="479" spans="413:415" x14ac:dyDescent="0.25">
      <c r="OW479" s="22"/>
      <c r="OX479" s="22"/>
      <c r="OY479" s="22"/>
    </row>
    <row r="480" spans="413:415" x14ac:dyDescent="0.25">
      <c r="OW480" s="22"/>
      <c r="OX480" s="22"/>
      <c r="OY480" s="22"/>
    </row>
    <row r="481" spans="413:415" x14ac:dyDescent="0.25">
      <c r="OW481" s="22"/>
      <c r="OX481" s="22"/>
      <c r="OY481" s="22"/>
    </row>
    <row r="482" spans="413:415" x14ac:dyDescent="0.25">
      <c r="OW482" s="22"/>
      <c r="OX482" s="22"/>
      <c r="OY482" s="22"/>
    </row>
    <row r="483" spans="413:415" x14ac:dyDescent="0.25">
      <c r="OW483" s="22"/>
      <c r="OX483" s="22"/>
      <c r="OY483" s="22"/>
    </row>
    <row r="484" spans="413:415" x14ac:dyDescent="0.25">
      <c r="OW484" s="22"/>
      <c r="OX484" s="22"/>
      <c r="OY484" s="22"/>
    </row>
    <row r="485" spans="413:415" x14ac:dyDescent="0.25">
      <c r="OW485" s="22"/>
      <c r="OX485" s="22"/>
      <c r="OY485" s="22"/>
    </row>
    <row r="486" spans="413:415" x14ac:dyDescent="0.25">
      <c r="OW486" s="22"/>
      <c r="OX486" s="22"/>
      <c r="OY486" s="22"/>
    </row>
    <row r="487" spans="413:415" x14ac:dyDescent="0.25">
      <c r="OW487" s="22"/>
      <c r="OX487" s="22"/>
      <c r="OY487" s="22"/>
    </row>
    <row r="488" spans="413:415" x14ac:dyDescent="0.25">
      <c r="OW488" s="22"/>
      <c r="OX488" s="22"/>
      <c r="OY488" s="22"/>
    </row>
    <row r="489" spans="413:415" x14ac:dyDescent="0.25">
      <c r="OW489" s="22"/>
      <c r="OX489" s="22"/>
      <c r="OY489" s="22"/>
    </row>
    <row r="490" spans="413:415" x14ac:dyDescent="0.25">
      <c r="OW490" s="22"/>
      <c r="OX490" s="22"/>
      <c r="OY490" s="22"/>
    </row>
    <row r="491" spans="413:415" x14ac:dyDescent="0.25">
      <c r="OW491" s="22"/>
      <c r="OX491" s="22"/>
      <c r="OY491" s="22"/>
    </row>
    <row r="492" spans="413:415" x14ac:dyDescent="0.25">
      <c r="OW492" s="22"/>
      <c r="OX492" s="22"/>
      <c r="OY492" s="22"/>
    </row>
    <row r="493" spans="413:415" x14ac:dyDescent="0.25">
      <c r="OW493" s="22"/>
      <c r="OX493" s="22"/>
      <c r="OY493" s="22"/>
    </row>
    <row r="494" spans="413:415" x14ac:dyDescent="0.25">
      <c r="OW494" s="22"/>
      <c r="OX494" s="22"/>
      <c r="OY494" s="22"/>
    </row>
    <row r="495" spans="413:415" x14ac:dyDescent="0.25">
      <c r="OW495" s="22"/>
      <c r="OX495" s="22"/>
      <c r="OY495" s="22"/>
    </row>
    <row r="496" spans="413:415" x14ac:dyDescent="0.25">
      <c r="OW496" s="22"/>
      <c r="OX496" s="22"/>
      <c r="OY496" s="22"/>
    </row>
    <row r="497" spans="413:415" x14ac:dyDescent="0.25">
      <c r="OW497" s="22"/>
      <c r="OX497" s="22"/>
      <c r="OY497" s="22"/>
    </row>
    <row r="498" spans="413:415" x14ac:dyDescent="0.25">
      <c r="OW498" s="22"/>
      <c r="OX498" s="22"/>
      <c r="OY498" s="22"/>
    </row>
    <row r="499" spans="413:415" x14ac:dyDescent="0.25">
      <c r="OW499" s="22"/>
      <c r="OX499" s="22"/>
      <c r="OY499" s="22"/>
    </row>
    <row r="500" spans="413:415" x14ac:dyDescent="0.25">
      <c r="OW500" s="22"/>
      <c r="OX500" s="22"/>
      <c r="OY500" s="22"/>
    </row>
    <row r="501" spans="413:415" x14ac:dyDescent="0.25">
      <c r="OW501" s="22"/>
      <c r="OX501" s="22"/>
      <c r="OY501" s="22"/>
    </row>
    <row r="502" spans="413:415" x14ac:dyDescent="0.25">
      <c r="OW502" s="22"/>
      <c r="OX502" s="22"/>
      <c r="OY502" s="22"/>
    </row>
    <row r="503" spans="413:415" x14ac:dyDescent="0.25">
      <c r="OW503" s="22"/>
      <c r="OX503" s="22"/>
      <c r="OY503" s="22"/>
    </row>
    <row r="504" spans="413:415" x14ac:dyDescent="0.25">
      <c r="OW504" s="22"/>
      <c r="OX504" s="22"/>
      <c r="OY504" s="22"/>
    </row>
    <row r="505" spans="413:415" x14ac:dyDescent="0.25">
      <c r="OW505" s="22"/>
      <c r="OX505" s="22"/>
      <c r="OY505" s="22"/>
    </row>
    <row r="506" spans="413:415" x14ac:dyDescent="0.25">
      <c r="OW506" s="22"/>
      <c r="OX506" s="22"/>
      <c r="OY506" s="22"/>
    </row>
    <row r="507" spans="413:415" x14ac:dyDescent="0.25">
      <c r="OW507" s="22"/>
      <c r="OX507" s="22"/>
      <c r="OY507" s="22"/>
    </row>
    <row r="508" spans="413:415" x14ac:dyDescent="0.25">
      <c r="OW508" s="22"/>
      <c r="OX508" s="22"/>
      <c r="OY508" s="22"/>
    </row>
    <row r="509" spans="413:415" x14ac:dyDescent="0.25">
      <c r="OW509" s="22"/>
      <c r="OX509" s="22"/>
      <c r="OY509" s="22"/>
    </row>
    <row r="510" spans="413:415" x14ac:dyDescent="0.25">
      <c r="OW510" s="22"/>
      <c r="OX510" s="22"/>
      <c r="OY510" s="22"/>
    </row>
    <row r="511" spans="413:415" x14ac:dyDescent="0.25">
      <c r="OW511" s="22"/>
      <c r="OX511" s="22"/>
      <c r="OY511" s="22"/>
    </row>
    <row r="512" spans="413:415" x14ac:dyDescent="0.25">
      <c r="OW512" s="22"/>
      <c r="OX512" s="22"/>
      <c r="OY512" s="22"/>
    </row>
    <row r="513" spans="413:415" x14ac:dyDescent="0.25">
      <c r="OW513" s="22"/>
      <c r="OX513" s="22"/>
      <c r="OY513" s="22"/>
    </row>
    <row r="514" spans="413:415" x14ac:dyDescent="0.25">
      <c r="OW514" s="22"/>
      <c r="OX514" s="22"/>
      <c r="OY514" s="22"/>
    </row>
    <row r="515" spans="413:415" x14ac:dyDescent="0.25">
      <c r="OW515" s="22"/>
      <c r="OX515" s="22"/>
      <c r="OY515" s="22"/>
    </row>
    <row r="516" spans="413:415" x14ac:dyDescent="0.25">
      <c r="OW516" s="22"/>
      <c r="OX516" s="22"/>
      <c r="OY516" s="22"/>
    </row>
    <row r="517" spans="413:415" x14ac:dyDescent="0.25">
      <c r="OW517" s="22"/>
      <c r="OX517" s="22"/>
      <c r="OY517" s="22"/>
    </row>
    <row r="518" spans="413:415" x14ac:dyDescent="0.25">
      <c r="OW518" s="22"/>
      <c r="OX518" s="22"/>
      <c r="OY518" s="22"/>
    </row>
    <row r="519" spans="413:415" x14ac:dyDescent="0.25">
      <c r="OW519" s="22"/>
      <c r="OX519" s="22"/>
      <c r="OY519" s="22"/>
    </row>
    <row r="520" spans="413:415" x14ac:dyDescent="0.25">
      <c r="OW520" s="22"/>
      <c r="OX520" s="22"/>
      <c r="OY520" s="22"/>
    </row>
    <row r="521" spans="413:415" x14ac:dyDescent="0.25">
      <c r="OW521" s="22"/>
      <c r="OX521" s="22"/>
      <c r="OY521" s="22"/>
    </row>
    <row r="522" spans="413:415" x14ac:dyDescent="0.25">
      <c r="OW522" s="22"/>
      <c r="OX522" s="22"/>
      <c r="OY522" s="22"/>
    </row>
    <row r="523" spans="413:415" x14ac:dyDescent="0.25">
      <c r="OW523" s="22"/>
      <c r="OX523" s="22"/>
      <c r="OY523" s="22"/>
    </row>
    <row r="524" spans="413:415" x14ac:dyDescent="0.25">
      <c r="OW524" s="22"/>
      <c r="OX524" s="22"/>
      <c r="OY524" s="22"/>
    </row>
    <row r="525" spans="413:415" x14ac:dyDescent="0.25">
      <c r="OW525" s="22"/>
      <c r="OX525" s="22"/>
      <c r="OY525" s="22"/>
    </row>
    <row r="526" spans="413:415" x14ac:dyDescent="0.25">
      <c r="OW526" s="22"/>
      <c r="OX526" s="22"/>
      <c r="OY526" s="22"/>
    </row>
    <row r="527" spans="413:415" x14ac:dyDescent="0.25">
      <c r="OW527" s="22"/>
      <c r="OX527" s="22"/>
      <c r="OY527" s="22"/>
    </row>
    <row r="528" spans="413:415" x14ac:dyDescent="0.25">
      <c r="OW528" s="22"/>
      <c r="OX528" s="22"/>
      <c r="OY528" s="22"/>
    </row>
    <row r="529" spans="413:415" x14ac:dyDescent="0.25">
      <c r="OW529" s="22"/>
      <c r="OX529" s="22"/>
      <c r="OY529" s="22"/>
    </row>
    <row r="530" spans="413:415" x14ac:dyDescent="0.25">
      <c r="OW530" s="22"/>
      <c r="OX530" s="22"/>
      <c r="OY530" s="22"/>
    </row>
    <row r="531" spans="413:415" x14ac:dyDescent="0.25">
      <c r="OW531" s="22"/>
      <c r="OX531" s="22"/>
      <c r="OY531" s="22"/>
    </row>
    <row r="532" spans="413:415" x14ac:dyDescent="0.25">
      <c r="OW532" s="22"/>
      <c r="OX532" s="22"/>
      <c r="OY532" s="22"/>
    </row>
    <row r="533" spans="413:415" x14ac:dyDescent="0.25">
      <c r="OW533" s="22"/>
      <c r="OX533" s="22"/>
      <c r="OY533" s="22"/>
    </row>
    <row r="534" spans="413:415" x14ac:dyDescent="0.25">
      <c r="OW534" s="22"/>
      <c r="OX534" s="22"/>
      <c r="OY534" s="22"/>
    </row>
    <row r="535" spans="413:415" x14ac:dyDescent="0.25">
      <c r="OW535" s="22"/>
      <c r="OX535" s="22"/>
      <c r="OY535" s="22"/>
    </row>
    <row r="536" spans="413:415" x14ac:dyDescent="0.25">
      <c r="OW536" s="22"/>
      <c r="OX536" s="22"/>
      <c r="OY536" s="22"/>
    </row>
    <row r="537" spans="413:415" x14ac:dyDescent="0.25">
      <c r="OW537" s="22"/>
      <c r="OX537" s="22"/>
      <c r="OY537" s="22"/>
    </row>
    <row r="538" spans="413:415" x14ac:dyDescent="0.25">
      <c r="OW538" s="22"/>
      <c r="OX538" s="22"/>
      <c r="OY538" s="22"/>
    </row>
    <row r="539" spans="413:415" x14ac:dyDescent="0.25">
      <c r="OW539" s="22"/>
      <c r="OX539" s="22"/>
      <c r="OY539" s="22"/>
    </row>
    <row r="540" spans="413:415" x14ac:dyDescent="0.25">
      <c r="OW540" s="22"/>
      <c r="OX540" s="22"/>
      <c r="OY540" s="22"/>
    </row>
    <row r="541" spans="413:415" x14ac:dyDescent="0.25">
      <c r="OW541" s="22"/>
      <c r="OX541" s="22"/>
      <c r="OY541" s="22"/>
    </row>
    <row r="542" spans="413:415" x14ac:dyDescent="0.25">
      <c r="OW542" s="22"/>
      <c r="OX542" s="22"/>
      <c r="OY542" s="22"/>
    </row>
    <row r="543" spans="413:415" x14ac:dyDescent="0.25">
      <c r="OW543" s="22"/>
      <c r="OX543" s="22"/>
      <c r="OY543" s="22"/>
    </row>
    <row r="544" spans="413:415" x14ac:dyDescent="0.25">
      <c r="OW544" s="22"/>
      <c r="OX544" s="22"/>
      <c r="OY544" s="22"/>
    </row>
    <row r="545" spans="413:415" x14ac:dyDescent="0.25">
      <c r="OW545" s="22"/>
      <c r="OX545" s="22"/>
      <c r="OY545" s="22"/>
    </row>
    <row r="546" spans="413:415" x14ac:dyDescent="0.25">
      <c r="OW546" s="22"/>
      <c r="OX546" s="22"/>
      <c r="OY546" s="22"/>
    </row>
    <row r="547" spans="413:415" x14ac:dyDescent="0.25">
      <c r="OW547" s="22"/>
      <c r="OX547" s="22"/>
      <c r="OY547" s="22"/>
    </row>
    <row r="548" spans="413:415" x14ac:dyDescent="0.25">
      <c r="OW548" s="22"/>
      <c r="OX548" s="22"/>
      <c r="OY548" s="22"/>
    </row>
    <row r="549" spans="413:415" x14ac:dyDescent="0.25">
      <c r="OW549" s="22"/>
      <c r="OX549" s="22"/>
      <c r="OY549" s="22"/>
    </row>
    <row r="550" spans="413:415" x14ac:dyDescent="0.25">
      <c r="OW550" s="22"/>
      <c r="OX550" s="22"/>
      <c r="OY550" s="22"/>
    </row>
    <row r="551" spans="413:415" x14ac:dyDescent="0.25">
      <c r="OW551" s="22"/>
      <c r="OX551" s="22"/>
      <c r="OY551" s="22"/>
    </row>
    <row r="552" spans="413:415" x14ac:dyDescent="0.25">
      <c r="OW552" s="22"/>
      <c r="OX552" s="22"/>
      <c r="OY552" s="22"/>
    </row>
    <row r="553" spans="413:415" x14ac:dyDescent="0.25">
      <c r="OW553" s="22"/>
      <c r="OX553" s="22"/>
      <c r="OY553" s="22"/>
    </row>
    <row r="554" spans="413:415" x14ac:dyDescent="0.25">
      <c r="OW554" s="22"/>
      <c r="OX554" s="22"/>
      <c r="OY554" s="22"/>
    </row>
    <row r="555" spans="413:415" x14ac:dyDescent="0.25">
      <c r="OW555" s="22"/>
      <c r="OX555" s="22"/>
      <c r="OY555" s="22"/>
    </row>
    <row r="556" spans="413:415" x14ac:dyDescent="0.25">
      <c r="OW556" s="22"/>
      <c r="OX556" s="22"/>
      <c r="OY556" s="22"/>
    </row>
    <row r="557" spans="413:415" x14ac:dyDescent="0.25">
      <c r="OW557" s="22"/>
      <c r="OX557" s="22"/>
      <c r="OY557" s="22"/>
    </row>
    <row r="558" spans="413:415" x14ac:dyDescent="0.25">
      <c r="OW558" s="22"/>
      <c r="OX558" s="22"/>
      <c r="OY558" s="22"/>
    </row>
    <row r="559" spans="413:415" x14ac:dyDescent="0.25">
      <c r="OW559" s="22"/>
      <c r="OX559" s="22"/>
      <c r="OY559" s="22"/>
    </row>
    <row r="560" spans="413:415" x14ac:dyDescent="0.25">
      <c r="OW560" s="22"/>
      <c r="OX560" s="22"/>
      <c r="OY560" s="22"/>
    </row>
    <row r="561" spans="413:415" x14ac:dyDescent="0.25">
      <c r="OW561" s="22"/>
      <c r="OX561" s="22"/>
      <c r="OY561" s="22"/>
    </row>
    <row r="562" spans="413:415" x14ac:dyDescent="0.25">
      <c r="OW562" s="22"/>
      <c r="OX562" s="22"/>
      <c r="OY562" s="22"/>
    </row>
    <row r="563" spans="413:415" x14ac:dyDescent="0.25">
      <c r="OW563" s="22"/>
      <c r="OX563" s="22"/>
      <c r="OY563" s="22"/>
    </row>
    <row r="564" spans="413:415" x14ac:dyDescent="0.25">
      <c r="OW564" s="22"/>
      <c r="OX564" s="22"/>
      <c r="OY564" s="22"/>
    </row>
    <row r="565" spans="413:415" x14ac:dyDescent="0.25">
      <c r="OW565" s="22"/>
      <c r="OX565" s="22"/>
      <c r="OY565" s="22"/>
    </row>
    <row r="566" spans="413:415" x14ac:dyDescent="0.25">
      <c r="OW566" s="22"/>
      <c r="OX566" s="22"/>
      <c r="OY566" s="22"/>
    </row>
    <row r="567" spans="413:415" x14ac:dyDescent="0.25">
      <c r="OW567" s="22"/>
      <c r="OX567" s="22"/>
      <c r="OY567" s="22"/>
    </row>
    <row r="568" spans="413:415" x14ac:dyDescent="0.25">
      <c r="OW568" s="22"/>
      <c r="OX568" s="22"/>
      <c r="OY568" s="22"/>
    </row>
    <row r="569" spans="413:415" x14ac:dyDescent="0.25">
      <c r="OW569" s="22"/>
      <c r="OX569" s="22"/>
      <c r="OY569" s="22"/>
    </row>
    <row r="570" spans="413:415" x14ac:dyDescent="0.25">
      <c r="OW570" s="22"/>
      <c r="OX570" s="22"/>
      <c r="OY570" s="22"/>
    </row>
    <row r="571" spans="413:415" x14ac:dyDescent="0.25">
      <c r="OW571" s="22"/>
      <c r="OX571" s="22"/>
      <c r="OY571" s="22"/>
    </row>
    <row r="572" spans="413:415" x14ac:dyDescent="0.25">
      <c r="OW572" s="22"/>
      <c r="OX572" s="22"/>
      <c r="OY572" s="22"/>
    </row>
    <row r="573" spans="413:415" x14ac:dyDescent="0.25">
      <c r="OW573" s="22"/>
      <c r="OX573" s="22"/>
      <c r="OY573" s="22"/>
    </row>
    <row r="574" spans="413:415" x14ac:dyDescent="0.25">
      <c r="OW574" s="22"/>
      <c r="OX574" s="22"/>
      <c r="OY574" s="22"/>
    </row>
    <row r="575" spans="413:415" x14ac:dyDescent="0.25">
      <c r="OW575" s="22"/>
      <c r="OX575" s="22"/>
      <c r="OY575" s="22"/>
    </row>
    <row r="576" spans="413:415" x14ac:dyDescent="0.25">
      <c r="OW576" s="22"/>
      <c r="OX576" s="22"/>
      <c r="OY576" s="22"/>
    </row>
    <row r="577" spans="413:415" x14ac:dyDescent="0.25">
      <c r="OW577" s="22"/>
      <c r="OX577" s="22"/>
      <c r="OY577" s="22"/>
    </row>
    <row r="578" spans="413:415" x14ac:dyDescent="0.25">
      <c r="OW578" s="22"/>
      <c r="OX578" s="22"/>
      <c r="OY578" s="22"/>
    </row>
    <row r="579" spans="413:415" x14ac:dyDescent="0.25">
      <c r="OW579" s="22"/>
      <c r="OX579" s="22"/>
      <c r="OY579" s="22"/>
    </row>
    <row r="580" spans="413:415" x14ac:dyDescent="0.25">
      <c r="OW580" s="22"/>
      <c r="OX580" s="22"/>
      <c r="OY580" s="22"/>
    </row>
    <row r="581" spans="413:415" x14ac:dyDescent="0.25">
      <c r="OW581" s="22"/>
      <c r="OX581" s="22"/>
      <c r="OY581" s="22"/>
    </row>
    <row r="582" spans="413:415" x14ac:dyDescent="0.25">
      <c r="OW582" s="22"/>
      <c r="OX582" s="22"/>
      <c r="OY582" s="22"/>
    </row>
    <row r="583" spans="413:415" x14ac:dyDescent="0.25">
      <c r="OW583" s="22"/>
      <c r="OX583" s="22"/>
      <c r="OY583" s="22"/>
    </row>
    <row r="584" spans="413:415" x14ac:dyDescent="0.25">
      <c r="OW584" s="22"/>
      <c r="OX584" s="22"/>
      <c r="OY584" s="22"/>
    </row>
    <row r="585" spans="413:415" x14ac:dyDescent="0.25">
      <c r="OW585" s="22"/>
      <c r="OX585" s="22"/>
      <c r="OY585" s="22"/>
    </row>
    <row r="586" spans="413:415" x14ac:dyDescent="0.25">
      <c r="OW586" s="22"/>
      <c r="OX586" s="22"/>
      <c r="OY586" s="22"/>
    </row>
    <row r="587" spans="413:415" x14ac:dyDescent="0.25">
      <c r="OW587" s="22"/>
      <c r="OX587" s="22"/>
      <c r="OY587" s="22"/>
    </row>
    <row r="588" spans="413:415" x14ac:dyDescent="0.25">
      <c r="OW588" s="22"/>
      <c r="OX588" s="22"/>
      <c r="OY588" s="22"/>
    </row>
    <row r="589" spans="413:415" x14ac:dyDescent="0.25">
      <c r="OW589" s="22"/>
      <c r="OX589" s="22"/>
      <c r="OY589" s="22"/>
    </row>
    <row r="590" spans="413:415" x14ac:dyDescent="0.25">
      <c r="OW590" s="22"/>
      <c r="OX590" s="22"/>
      <c r="OY590" s="22"/>
    </row>
    <row r="591" spans="413:415" x14ac:dyDescent="0.25">
      <c r="OW591" s="22"/>
      <c r="OX591" s="22"/>
      <c r="OY591" s="22"/>
    </row>
    <row r="592" spans="413:415" x14ac:dyDescent="0.25">
      <c r="OW592" s="22"/>
      <c r="OX592" s="22"/>
      <c r="OY592" s="22"/>
    </row>
    <row r="593" spans="413:415" x14ac:dyDescent="0.25">
      <c r="OW593" s="22"/>
      <c r="OX593" s="22"/>
      <c r="OY593" s="22"/>
    </row>
    <row r="594" spans="413:415" x14ac:dyDescent="0.25">
      <c r="OW594" s="22"/>
      <c r="OX594" s="22"/>
      <c r="OY594" s="22"/>
    </row>
    <row r="595" spans="413:415" x14ac:dyDescent="0.25">
      <c r="OW595" s="22"/>
      <c r="OX595" s="22"/>
      <c r="OY595" s="22"/>
    </row>
    <row r="596" spans="413:415" x14ac:dyDescent="0.25">
      <c r="OW596" s="22"/>
      <c r="OX596" s="22"/>
      <c r="OY596" s="22"/>
    </row>
    <row r="597" spans="413:415" x14ac:dyDescent="0.25">
      <c r="OW597" s="22"/>
      <c r="OX597" s="22"/>
      <c r="OY597" s="22"/>
    </row>
    <row r="598" spans="413:415" x14ac:dyDescent="0.25">
      <c r="OW598" s="22"/>
      <c r="OX598" s="22"/>
      <c r="OY598" s="22"/>
    </row>
    <row r="599" spans="413:415" x14ac:dyDescent="0.25">
      <c r="OW599" s="22"/>
      <c r="OX599" s="22"/>
      <c r="OY599" s="22"/>
    </row>
    <row r="600" spans="413:415" x14ac:dyDescent="0.25">
      <c r="OW600" s="22"/>
      <c r="OX600" s="22"/>
      <c r="OY600" s="22"/>
    </row>
    <row r="601" spans="413:415" x14ac:dyDescent="0.25">
      <c r="OW601" s="22"/>
      <c r="OX601" s="22"/>
      <c r="OY601" s="22"/>
    </row>
    <row r="602" spans="413:415" x14ac:dyDescent="0.25">
      <c r="OW602" s="22"/>
      <c r="OX602" s="22"/>
      <c r="OY602" s="22"/>
    </row>
    <row r="603" spans="413:415" x14ac:dyDescent="0.25">
      <c r="OW603" s="22"/>
      <c r="OX603" s="22"/>
      <c r="OY603" s="22"/>
    </row>
    <row r="604" spans="413:415" x14ac:dyDescent="0.25">
      <c r="OW604" s="22"/>
      <c r="OX604" s="22"/>
      <c r="OY604" s="22"/>
    </row>
    <row r="605" spans="413:415" x14ac:dyDescent="0.25">
      <c r="OW605" s="22"/>
      <c r="OX605" s="22"/>
      <c r="OY605" s="22"/>
    </row>
    <row r="606" spans="413:415" x14ac:dyDescent="0.25">
      <c r="OW606" s="22"/>
      <c r="OX606" s="22"/>
      <c r="OY606" s="22"/>
    </row>
    <row r="607" spans="413:415" x14ac:dyDescent="0.25">
      <c r="OW607" s="22"/>
      <c r="OX607" s="22"/>
      <c r="OY607" s="22"/>
    </row>
    <row r="608" spans="413:415" x14ac:dyDescent="0.25">
      <c r="OW608" s="22"/>
      <c r="OX608" s="22"/>
      <c r="OY608" s="22"/>
    </row>
    <row r="609" spans="413:415" x14ac:dyDescent="0.25">
      <c r="OW609" s="22"/>
      <c r="OX609" s="22"/>
      <c r="OY609" s="22"/>
    </row>
    <row r="610" spans="413:415" x14ac:dyDescent="0.25">
      <c r="OW610" s="22"/>
      <c r="OX610" s="22"/>
      <c r="OY610" s="22"/>
    </row>
    <row r="611" spans="413:415" x14ac:dyDescent="0.25">
      <c r="OW611" s="22"/>
      <c r="OX611" s="22"/>
      <c r="OY611" s="22"/>
    </row>
    <row r="612" spans="413:415" x14ac:dyDescent="0.25">
      <c r="OW612" s="22"/>
      <c r="OX612" s="22"/>
      <c r="OY612" s="22"/>
    </row>
    <row r="613" spans="413:415" x14ac:dyDescent="0.25">
      <c r="OW613" s="22"/>
      <c r="OX613" s="22"/>
      <c r="OY613" s="22"/>
    </row>
    <row r="614" spans="413:415" x14ac:dyDescent="0.25">
      <c r="OW614" s="22"/>
      <c r="OX614" s="22"/>
      <c r="OY614" s="22"/>
    </row>
    <row r="615" spans="413:415" x14ac:dyDescent="0.25">
      <c r="OW615" s="22"/>
      <c r="OX615" s="22"/>
      <c r="OY615" s="22"/>
    </row>
    <row r="616" spans="413:415" x14ac:dyDescent="0.25">
      <c r="OW616" s="22"/>
      <c r="OX616" s="22"/>
      <c r="OY616" s="22"/>
    </row>
    <row r="617" spans="413:415" x14ac:dyDescent="0.25">
      <c r="OW617" s="22"/>
      <c r="OX617" s="22"/>
      <c r="OY617" s="22"/>
    </row>
    <row r="618" spans="413:415" x14ac:dyDescent="0.25">
      <c r="OW618" s="22"/>
      <c r="OX618" s="22"/>
      <c r="OY618" s="22"/>
    </row>
    <row r="619" spans="413:415" x14ac:dyDescent="0.25">
      <c r="OW619" s="22"/>
      <c r="OX619" s="22"/>
      <c r="OY619" s="22"/>
    </row>
    <row r="620" spans="413:415" x14ac:dyDescent="0.25">
      <c r="OW620" s="22"/>
      <c r="OX620" s="22"/>
      <c r="OY620" s="22"/>
    </row>
    <row r="621" spans="413:415" x14ac:dyDescent="0.25">
      <c r="OW621" s="22"/>
      <c r="OX621" s="22"/>
      <c r="OY621" s="22"/>
    </row>
    <row r="622" spans="413:415" x14ac:dyDescent="0.25">
      <c r="OW622" s="22"/>
      <c r="OX622" s="22"/>
      <c r="OY622" s="22"/>
    </row>
    <row r="623" spans="413:415" x14ac:dyDescent="0.25">
      <c r="OW623" s="22"/>
      <c r="OX623" s="22"/>
      <c r="OY623" s="22"/>
    </row>
    <row r="624" spans="413:415" x14ac:dyDescent="0.25">
      <c r="OW624" s="22"/>
      <c r="OX624" s="22"/>
      <c r="OY624" s="22"/>
    </row>
    <row r="625" spans="413:415" x14ac:dyDescent="0.25">
      <c r="OW625" s="22"/>
      <c r="OX625" s="22"/>
      <c r="OY625" s="22"/>
    </row>
    <row r="626" spans="413:415" x14ac:dyDescent="0.25">
      <c r="OW626" s="22"/>
      <c r="OX626" s="22"/>
      <c r="OY626" s="22"/>
    </row>
    <row r="627" spans="413:415" x14ac:dyDescent="0.25">
      <c r="OW627" s="22"/>
      <c r="OX627" s="22"/>
      <c r="OY627" s="22"/>
    </row>
    <row r="628" spans="413:415" x14ac:dyDescent="0.25">
      <c r="OW628" s="22"/>
      <c r="OX628" s="22"/>
      <c r="OY628" s="22"/>
    </row>
    <row r="629" spans="413:415" x14ac:dyDescent="0.25">
      <c r="OW629" s="22"/>
      <c r="OX629" s="22"/>
      <c r="OY629" s="22"/>
    </row>
    <row r="630" spans="413:415" x14ac:dyDescent="0.25">
      <c r="OW630" s="22"/>
      <c r="OX630" s="22"/>
      <c r="OY630" s="22"/>
    </row>
    <row r="631" spans="413:415" x14ac:dyDescent="0.25">
      <c r="OW631" s="22"/>
      <c r="OX631" s="22"/>
      <c r="OY631" s="22"/>
    </row>
    <row r="632" spans="413:415" x14ac:dyDescent="0.25">
      <c r="OW632" s="22"/>
      <c r="OX632" s="22"/>
      <c r="OY632" s="22"/>
    </row>
    <row r="633" spans="413:415" x14ac:dyDescent="0.25">
      <c r="OW633" s="22"/>
      <c r="OX633" s="22"/>
      <c r="OY633" s="22"/>
    </row>
    <row r="634" spans="413:415" x14ac:dyDescent="0.25">
      <c r="OW634" s="22"/>
      <c r="OX634" s="22"/>
      <c r="OY634" s="22"/>
    </row>
    <row r="635" spans="413:415" x14ac:dyDescent="0.25">
      <c r="OW635" s="22"/>
      <c r="OX635" s="22"/>
      <c r="OY635" s="22"/>
    </row>
    <row r="636" spans="413:415" x14ac:dyDescent="0.25">
      <c r="OW636" s="22"/>
      <c r="OX636" s="22"/>
      <c r="OY636" s="22"/>
    </row>
    <row r="637" spans="413:415" x14ac:dyDescent="0.25">
      <c r="OW637" s="22"/>
      <c r="OX637" s="22"/>
      <c r="OY637" s="22"/>
    </row>
    <row r="638" spans="413:415" x14ac:dyDescent="0.25">
      <c r="OW638" s="22"/>
      <c r="OX638" s="22"/>
      <c r="OY638" s="22"/>
    </row>
    <row r="639" spans="413:415" x14ac:dyDescent="0.25">
      <c r="OW639" s="22"/>
      <c r="OX639" s="22"/>
      <c r="OY639" s="22"/>
    </row>
    <row r="640" spans="413:415" x14ac:dyDescent="0.25">
      <c r="OW640" s="22"/>
      <c r="OX640" s="22"/>
      <c r="OY640" s="22"/>
    </row>
    <row r="641" spans="413:415" x14ac:dyDescent="0.25">
      <c r="OW641" s="22"/>
      <c r="OX641" s="22"/>
      <c r="OY641" s="22"/>
    </row>
    <row r="642" spans="413:415" x14ac:dyDescent="0.25">
      <c r="OW642" s="22"/>
      <c r="OX642" s="22"/>
      <c r="OY642" s="22"/>
    </row>
    <row r="643" spans="413:415" x14ac:dyDescent="0.25">
      <c r="OW643" s="22"/>
      <c r="OX643" s="22"/>
      <c r="OY643" s="22"/>
    </row>
    <row r="644" spans="413:415" x14ac:dyDescent="0.25">
      <c r="OW644" s="22"/>
      <c r="OX644" s="22"/>
      <c r="OY644" s="22"/>
    </row>
    <row r="645" spans="413:415" x14ac:dyDescent="0.25">
      <c r="OW645" s="22"/>
      <c r="OX645" s="22"/>
      <c r="OY645" s="22"/>
    </row>
    <row r="646" spans="413:415" x14ac:dyDescent="0.25">
      <c r="OW646" s="22"/>
      <c r="OX646" s="22"/>
      <c r="OY646" s="22"/>
    </row>
    <row r="647" spans="413:415" x14ac:dyDescent="0.25">
      <c r="OW647" s="22"/>
      <c r="OX647" s="22"/>
      <c r="OY647" s="22"/>
    </row>
    <row r="648" spans="413:415" x14ac:dyDescent="0.25">
      <c r="OW648" s="22"/>
      <c r="OX648" s="22"/>
      <c r="OY648" s="22"/>
    </row>
    <row r="649" spans="413:415" x14ac:dyDescent="0.25">
      <c r="OW649" s="22"/>
      <c r="OX649" s="22"/>
      <c r="OY649" s="22"/>
    </row>
    <row r="650" spans="413:415" x14ac:dyDescent="0.25">
      <c r="OW650" s="22"/>
      <c r="OX650" s="22"/>
      <c r="OY650" s="22"/>
    </row>
    <row r="651" spans="413:415" x14ac:dyDescent="0.25">
      <c r="OW651" s="22"/>
      <c r="OX651" s="22"/>
      <c r="OY651" s="22"/>
    </row>
    <row r="652" spans="413:415" x14ac:dyDescent="0.25">
      <c r="OW652" s="22"/>
      <c r="OX652" s="22"/>
      <c r="OY652" s="22"/>
    </row>
    <row r="653" spans="413:415" x14ac:dyDescent="0.25">
      <c r="OW653" s="22"/>
      <c r="OX653" s="22"/>
      <c r="OY653" s="22"/>
    </row>
    <row r="654" spans="413:415" x14ac:dyDescent="0.25">
      <c r="OW654" s="22"/>
      <c r="OX654" s="22"/>
      <c r="OY654" s="22"/>
    </row>
    <row r="655" spans="413:415" x14ac:dyDescent="0.25">
      <c r="OW655" s="22"/>
      <c r="OX655" s="22"/>
      <c r="OY655" s="22"/>
    </row>
    <row r="656" spans="413:415" x14ac:dyDescent="0.25">
      <c r="OW656" s="22"/>
      <c r="OX656" s="22"/>
      <c r="OY656" s="22"/>
    </row>
    <row r="657" spans="413:415" x14ac:dyDescent="0.25">
      <c r="OW657" s="22"/>
      <c r="OX657" s="22"/>
      <c r="OY657" s="22"/>
    </row>
    <row r="658" spans="413:415" x14ac:dyDescent="0.25">
      <c r="OW658" s="22"/>
      <c r="OX658" s="22"/>
      <c r="OY658" s="22"/>
    </row>
    <row r="659" spans="413:415" x14ac:dyDescent="0.25">
      <c r="OW659" s="22"/>
      <c r="OX659" s="22"/>
      <c r="OY659" s="22"/>
    </row>
    <row r="660" spans="413:415" x14ac:dyDescent="0.25">
      <c r="OW660" s="22"/>
      <c r="OX660" s="22"/>
      <c r="OY660" s="22"/>
    </row>
    <row r="661" spans="413:415" x14ac:dyDescent="0.25">
      <c r="OW661" s="22"/>
      <c r="OX661" s="22"/>
      <c r="OY661" s="22"/>
    </row>
    <row r="662" spans="413:415" x14ac:dyDescent="0.25">
      <c r="OW662" s="22"/>
      <c r="OX662" s="22"/>
      <c r="OY662" s="22"/>
    </row>
    <row r="663" spans="413:415" x14ac:dyDescent="0.25">
      <c r="OW663" s="22"/>
      <c r="OX663" s="22"/>
      <c r="OY663" s="22"/>
    </row>
    <row r="664" spans="413:415" x14ac:dyDescent="0.25">
      <c r="OW664" s="22"/>
      <c r="OX664" s="22"/>
      <c r="OY664" s="22"/>
    </row>
    <row r="665" spans="413:415" x14ac:dyDescent="0.25">
      <c r="OW665" s="22"/>
      <c r="OX665" s="22"/>
      <c r="OY665" s="22"/>
    </row>
    <row r="666" spans="413:415" x14ac:dyDescent="0.25">
      <c r="OW666" s="22"/>
      <c r="OX666" s="22"/>
      <c r="OY666" s="22"/>
    </row>
    <row r="667" spans="413:415" x14ac:dyDescent="0.25">
      <c r="OW667" s="22"/>
      <c r="OX667" s="22"/>
      <c r="OY667" s="22"/>
    </row>
    <row r="668" spans="413:415" x14ac:dyDescent="0.25">
      <c r="OW668" s="22"/>
      <c r="OX668" s="22"/>
      <c r="OY668" s="22"/>
    </row>
    <row r="669" spans="413:415" x14ac:dyDescent="0.25">
      <c r="OW669" s="22"/>
      <c r="OX669" s="22"/>
      <c r="OY669" s="22"/>
    </row>
    <row r="670" spans="413:415" x14ac:dyDescent="0.25">
      <c r="OW670" s="22"/>
      <c r="OX670" s="22"/>
      <c r="OY670" s="22"/>
    </row>
    <row r="671" spans="413:415" x14ac:dyDescent="0.25">
      <c r="OW671" s="22"/>
      <c r="OX671" s="22"/>
      <c r="OY671" s="22"/>
    </row>
    <row r="672" spans="413:415" x14ac:dyDescent="0.25">
      <c r="OW672" s="22"/>
      <c r="OX672" s="22"/>
      <c r="OY672" s="22"/>
    </row>
    <row r="673" spans="413:415" x14ac:dyDescent="0.25">
      <c r="OW673" s="22"/>
      <c r="OX673" s="22"/>
      <c r="OY673" s="22"/>
    </row>
    <row r="674" spans="413:415" x14ac:dyDescent="0.25">
      <c r="OW674" s="22"/>
      <c r="OX674" s="22"/>
      <c r="OY674" s="22"/>
    </row>
    <row r="675" spans="413:415" x14ac:dyDescent="0.25">
      <c r="OW675" s="22"/>
      <c r="OX675" s="22"/>
      <c r="OY675" s="22"/>
    </row>
    <row r="676" spans="413:415" x14ac:dyDescent="0.25">
      <c r="OW676" s="22"/>
      <c r="OX676" s="22"/>
      <c r="OY676" s="22"/>
    </row>
    <row r="677" spans="413:415" x14ac:dyDescent="0.25">
      <c r="OW677" s="22"/>
      <c r="OX677" s="22"/>
      <c r="OY677" s="22"/>
    </row>
    <row r="678" spans="413:415" x14ac:dyDescent="0.25">
      <c r="OW678" s="22"/>
      <c r="OX678" s="22"/>
      <c r="OY678" s="22"/>
    </row>
    <row r="679" spans="413:415" x14ac:dyDescent="0.25">
      <c r="OW679" s="22"/>
      <c r="OX679" s="22"/>
      <c r="OY679" s="22"/>
    </row>
    <row r="680" spans="413:415" x14ac:dyDescent="0.25">
      <c r="OW680" s="22"/>
      <c r="OX680" s="22"/>
      <c r="OY680" s="22"/>
    </row>
    <row r="681" spans="413:415" x14ac:dyDescent="0.25">
      <c r="OW681" s="22"/>
      <c r="OX681" s="22"/>
      <c r="OY681" s="22"/>
    </row>
    <row r="682" spans="413:415" x14ac:dyDescent="0.25">
      <c r="OW682" s="22"/>
      <c r="OX682" s="22"/>
      <c r="OY682" s="22"/>
    </row>
    <row r="683" spans="413:415" x14ac:dyDescent="0.25">
      <c r="OW683" s="22"/>
      <c r="OX683" s="22"/>
      <c r="OY683" s="22"/>
    </row>
    <row r="684" spans="413:415" x14ac:dyDescent="0.25">
      <c r="OW684" s="22"/>
      <c r="OX684" s="22"/>
      <c r="OY684" s="22"/>
    </row>
    <row r="685" spans="413:415" x14ac:dyDescent="0.25">
      <c r="OW685" s="22"/>
      <c r="OX685" s="22"/>
      <c r="OY685" s="22"/>
    </row>
    <row r="686" spans="413:415" x14ac:dyDescent="0.25">
      <c r="OW686" s="22"/>
      <c r="OX686" s="22"/>
      <c r="OY686" s="22"/>
    </row>
    <row r="687" spans="413:415" x14ac:dyDescent="0.25">
      <c r="OW687" s="22"/>
      <c r="OX687" s="22"/>
      <c r="OY687" s="22"/>
    </row>
    <row r="688" spans="413:415" x14ac:dyDescent="0.25">
      <c r="OW688" s="22"/>
      <c r="OX688" s="22"/>
      <c r="OY688" s="22"/>
    </row>
    <row r="689" spans="413:415" x14ac:dyDescent="0.25">
      <c r="OW689" s="22"/>
      <c r="OX689" s="22"/>
      <c r="OY689" s="22"/>
    </row>
    <row r="690" spans="413:415" x14ac:dyDescent="0.25">
      <c r="OW690" s="22"/>
      <c r="OX690" s="22"/>
      <c r="OY690" s="22"/>
    </row>
    <row r="691" spans="413:415" x14ac:dyDescent="0.25">
      <c r="OW691" s="22"/>
      <c r="OX691" s="22"/>
      <c r="OY691" s="22"/>
    </row>
    <row r="692" spans="413:415" x14ac:dyDescent="0.25">
      <c r="OW692" s="22"/>
      <c r="OX692" s="22"/>
      <c r="OY692" s="22"/>
    </row>
    <row r="693" spans="413:415" x14ac:dyDescent="0.25">
      <c r="OW693" s="22"/>
      <c r="OX693" s="22"/>
      <c r="OY693" s="22"/>
    </row>
    <row r="694" spans="413:415" x14ac:dyDescent="0.25">
      <c r="OW694" s="22"/>
      <c r="OX694" s="22"/>
      <c r="OY694" s="22"/>
    </row>
    <row r="695" spans="413:415" x14ac:dyDescent="0.25">
      <c r="OW695" s="22"/>
      <c r="OX695" s="22"/>
      <c r="OY695" s="22"/>
    </row>
    <row r="696" spans="413:415" x14ac:dyDescent="0.25">
      <c r="OW696" s="22"/>
      <c r="OX696" s="22"/>
      <c r="OY696" s="22"/>
    </row>
    <row r="697" spans="413:415" x14ac:dyDescent="0.25">
      <c r="OW697" s="22"/>
      <c r="OX697" s="22"/>
      <c r="OY697" s="22"/>
    </row>
    <row r="698" spans="413:415" x14ac:dyDescent="0.25">
      <c r="OW698" s="22"/>
      <c r="OX698" s="22"/>
      <c r="OY698" s="22"/>
    </row>
    <row r="699" spans="413:415" x14ac:dyDescent="0.25">
      <c r="OW699" s="22"/>
      <c r="OX699" s="22"/>
      <c r="OY699" s="22"/>
    </row>
    <row r="700" spans="413:415" x14ac:dyDescent="0.25">
      <c r="OW700" s="22"/>
      <c r="OX700" s="22"/>
      <c r="OY700" s="22"/>
    </row>
    <row r="701" spans="413:415" x14ac:dyDescent="0.25">
      <c r="OW701" s="22"/>
      <c r="OX701" s="22"/>
      <c r="OY701" s="22"/>
    </row>
    <row r="702" spans="413:415" x14ac:dyDescent="0.25">
      <c r="OW702" s="22"/>
      <c r="OX702" s="22"/>
      <c r="OY702" s="22"/>
    </row>
    <row r="703" spans="413:415" x14ac:dyDescent="0.25">
      <c r="OW703" s="22"/>
      <c r="OX703" s="22"/>
      <c r="OY703" s="22"/>
    </row>
    <row r="704" spans="413:415" x14ac:dyDescent="0.25">
      <c r="OW704" s="22"/>
      <c r="OX704" s="22"/>
      <c r="OY704" s="22"/>
    </row>
    <row r="705" spans="413:415" x14ac:dyDescent="0.25">
      <c r="OW705" s="22"/>
      <c r="OX705" s="22"/>
      <c r="OY705" s="22"/>
    </row>
    <row r="706" spans="413:415" x14ac:dyDescent="0.25">
      <c r="OW706" s="22"/>
      <c r="OX706" s="22"/>
      <c r="OY706" s="22"/>
    </row>
    <row r="707" spans="413:415" x14ac:dyDescent="0.25">
      <c r="OW707" s="22"/>
      <c r="OX707" s="22"/>
      <c r="OY707" s="22"/>
    </row>
    <row r="708" spans="413:415" x14ac:dyDescent="0.25">
      <c r="OW708" s="22"/>
      <c r="OX708" s="22"/>
      <c r="OY708" s="22"/>
    </row>
    <row r="709" spans="413:415" x14ac:dyDescent="0.25">
      <c r="OW709" s="22"/>
      <c r="OX709" s="22"/>
      <c r="OY709" s="22"/>
    </row>
    <row r="710" spans="413:415" x14ac:dyDescent="0.25">
      <c r="OW710" s="22"/>
      <c r="OX710" s="22"/>
      <c r="OY710" s="22"/>
    </row>
    <row r="711" spans="413:415" x14ac:dyDescent="0.25">
      <c r="OW711" s="22"/>
      <c r="OX711" s="22"/>
      <c r="OY711" s="22"/>
    </row>
    <row r="712" spans="413:415" x14ac:dyDescent="0.25">
      <c r="OW712" s="22"/>
      <c r="OX712" s="22"/>
      <c r="OY712" s="22"/>
    </row>
    <row r="713" spans="413:415" x14ac:dyDescent="0.25">
      <c r="OW713" s="22"/>
      <c r="OX713" s="22"/>
      <c r="OY713" s="22"/>
    </row>
    <row r="714" spans="413:415" x14ac:dyDescent="0.25">
      <c r="OW714" s="22"/>
      <c r="OX714" s="22"/>
      <c r="OY714" s="22"/>
    </row>
    <row r="715" spans="413:415" x14ac:dyDescent="0.25">
      <c r="OW715" s="22"/>
      <c r="OX715" s="22"/>
      <c r="OY715" s="22"/>
    </row>
    <row r="716" spans="413:415" x14ac:dyDescent="0.25">
      <c r="OW716" s="22"/>
      <c r="OX716" s="22"/>
      <c r="OY716" s="22"/>
    </row>
    <row r="717" spans="413:415" x14ac:dyDescent="0.25">
      <c r="OW717" s="22"/>
      <c r="OX717" s="22"/>
      <c r="OY717" s="22"/>
    </row>
    <row r="718" spans="413:415" x14ac:dyDescent="0.25">
      <c r="OW718" s="22"/>
      <c r="OX718" s="22"/>
      <c r="OY718" s="22"/>
    </row>
    <row r="719" spans="413:415" x14ac:dyDescent="0.25">
      <c r="OW719" s="22"/>
      <c r="OX719" s="22"/>
      <c r="OY719" s="22"/>
    </row>
    <row r="720" spans="413:415" x14ac:dyDescent="0.25">
      <c r="OW720" s="22"/>
      <c r="OX720" s="22"/>
      <c r="OY720" s="22"/>
    </row>
    <row r="721" spans="413:415" x14ac:dyDescent="0.25">
      <c r="OW721" s="22"/>
      <c r="OX721" s="22"/>
      <c r="OY721" s="22"/>
    </row>
    <row r="722" spans="413:415" x14ac:dyDescent="0.25">
      <c r="OW722" s="22"/>
      <c r="OX722" s="22"/>
      <c r="OY722" s="22"/>
    </row>
    <row r="723" spans="413:415" x14ac:dyDescent="0.25">
      <c r="OW723" s="22"/>
      <c r="OX723" s="22"/>
      <c r="OY723" s="22"/>
    </row>
    <row r="724" spans="413:415" x14ac:dyDescent="0.25">
      <c r="OW724" s="22"/>
      <c r="OX724" s="22"/>
      <c r="OY724" s="22"/>
    </row>
    <row r="725" spans="413:415" x14ac:dyDescent="0.25">
      <c r="OW725" s="22"/>
      <c r="OX725" s="22"/>
      <c r="OY725" s="22"/>
    </row>
    <row r="726" spans="413:415" x14ac:dyDescent="0.25">
      <c r="OW726" s="22"/>
      <c r="OX726" s="22"/>
      <c r="OY726" s="22"/>
    </row>
    <row r="727" spans="413:415" x14ac:dyDescent="0.25">
      <c r="OW727" s="22"/>
      <c r="OX727" s="22"/>
      <c r="OY727" s="22"/>
    </row>
    <row r="728" spans="413:415" x14ac:dyDescent="0.25">
      <c r="OW728" s="22"/>
      <c r="OX728" s="22"/>
      <c r="OY728" s="22"/>
    </row>
    <row r="729" spans="413:415" x14ac:dyDescent="0.25">
      <c r="OW729" s="22"/>
      <c r="OX729" s="22"/>
      <c r="OY729" s="22"/>
    </row>
    <row r="730" spans="413:415" x14ac:dyDescent="0.25">
      <c r="OW730" s="22"/>
      <c r="OX730" s="22"/>
      <c r="OY730" s="22"/>
    </row>
    <row r="731" spans="413:415" x14ac:dyDescent="0.25">
      <c r="OW731" s="22"/>
      <c r="OX731" s="22"/>
      <c r="OY731" s="22"/>
    </row>
    <row r="732" spans="413:415" x14ac:dyDescent="0.25">
      <c r="OW732" s="22"/>
      <c r="OX732" s="22"/>
      <c r="OY732" s="22"/>
    </row>
    <row r="733" spans="413:415" x14ac:dyDescent="0.25">
      <c r="OW733" s="22"/>
      <c r="OX733" s="22"/>
      <c r="OY733" s="22"/>
    </row>
    <row r="734" spans="413:415" x14ac:dyDescent="0.25">
      <c r="OW734" s="22"/>
      <c r="OX734" s="22"/>
      <c r="OY734" s="22"/>
    </row>
    <row r="735" spans="413:415" x14ac:dyDescent="0.25">
      <c r="OW735" s="22"/>
      <c r="OX735" s="22"/>
      <c r="OY735" s="22"/>
    </row>
    <row r="736" spans="413:415" x14ac:dyDescent="0.25">
      <c r="OW736" s="22"/>
      <c r="OX736" s="22"/>
      <c r="OY736" s="22"/>
    </row>
    <row r="737" spans="413:415" x14ac:dyDescent="0.25">
      <c r="OW737" s="22"/>
      <c r="OX737" s="22"/>
      <c r="OY737" s="22"/>
    </row>
    <row r="738" spans="413:415" x14ac:dyDescent="0.25">
      <c r="OW738" s="22"/>
      <c r="OX738" s="22"/>
      <c r="OY738" s="22"/>
    </row>
    <row r="739" spans="413:415" x14ac:dyDescent="0.25">
      <c r="OW739" s="22"/>
      <c r="OX739" s="22"/>
      <c r="OY739" s="22"/>
    </row>
    <row r="740" spans="413:415" x14ac:dyDescent="0.25">
      <c r="OW740" s="22"/>
      <c r="OX740" s="22"/>
      <c r="OY740" s="22"/>
    </row>
    <row r="741" spans="413:415" x14ac:dyDescent="0.25">
      <c r="OW741" s="22"/>
      <c r="OX741" s="22"/>
      <c r="OY741" s="22"/>
    </row>
    <row r="742" spans="413:415" x14ac:dyDescent="0.25">
      <c r="OW742" s="22"/>
      <c r="OX742" s="22"/>
      <c r="OY742" s="22"/>
    </row>
    <row r="743" spans="413:415" x14ac:dyDescent="0.25">
      <c r="OW743" s="22"/>
      <c r="OX743" s="22"/>
      <c r="OY743" s="22"/>
    </row>
    <row r="744" spans="413:415" x14ac:dyDescent="0.25">
      <c r="OW744" s="22"/>
      <c r="OX744" s="22"/>
      <c r="OY744" s="22"/>
    </row>
    <row r="745" spans="413:415" x14ac:dyDescent="0.25">
      <c r="OW745" s="22"/>
      <c r="OX745" s="22"/>
      <c r="OY745" s="22"/>
    </row>
    <row r="746" spans="413:415" x14ac:dyDescent="0.25">
      <c r="OW746" s="22"/>
      <c r="OX746" s="22"/>
      <c r="OY746" s="22"/>
    </row>
    <row r="747" spans="413:415" x14ac:dyDescent="0.25">
      <c r="OW747" s="22"/>
      <c r="OX747" s="22"/>
      <c r="OY747" s="22"/>
    </row>
    <row r="748" spans="413:415" x14ac:dyDescent="0.25">
      <c r="OW748" s="22"/>
      <c r="OX748" s="22"/>
      <c r="OY748" s="22"/>
    </row>
    <row r="749" spans="413:415" x14ac:dyDescent="0.25">
      <c r="OW749" s="22"/>
      <c r="OX749" s="22"/>
      <c r="OY749" s="22"/>
    </row>
    <row r="750" spans="413:415" x14ac:dyDescent="0.25">
      <c r="OW750" s="22"/>
      <c r="OX750" s="22"/>
      <c r="OY750" s="22"/>
    </row>
    <row r="751" spans="413:415" x14ac:dyDescent="0.25">
      <c r="OW751" s="22"/>
      <c r="OX751" s="22"/>
      <c r="OY751" s="22"/>
    </row>
    <row r="752" spans="413:415" x14ac:dyDescent="0.25">
      <c r="OW752" s="22"/>
      <c r="OX752" s="22"/>
      <c r="OY752" s="22"/>
    </row>
    <row r="753" spans="413:415" x14ac:dyDescent="0.25">
      <c r="OW753" s="22"/>
      <c r="OX753" s="22"/>
      <c r="OY753" s="22"/>
    </row>
    <row r="754" spans="413:415" x14ac:dyDescent="0.25">
      <c r="OW754" s="22"/>
      <c r="OX754" s="22"/>
      <c r="OY754" s="22"/>
    </row>
    <row r="755" spans="413:415" x14ac:dyDescent="0.25">
      <c r="OW755" s="22"/>
      <c r="OX755" s="22"/>
      <c r="OY755" s="22"/>
    </row>
    <row r="756" spans="413:415" x14ac:dyDescent="0.25">
      <c r="OW756" s="22"/>
      <c r="OX756" s="22"/>
      <c r="OY756" s="22"/>
    </row>
    <row r="757" spans="413:415" x14ac:dyDescent="0.25">
      <c r="OW757" s="22"/>
      <c r="OX757" s="22"/>
      <c r="OY757" s="22"/>
    </row>
    <row r="758" spans="413:415" x14ac:dyDescent="0.25">
      <c r="OW758" s="22"/>
      <c r="OX758" s="22"/>
      <c r="OY758" s="22"/>
    </row>
    <row r="759" spans="413:415" x14ac:dyDescent="0.25">
      <c r="OW759" s="22"/>
      <c r="OX759" s="22"/>
      <c r="OY759" s="22"/>
    </row>
    <row r="760" spans="413:415" x14ac:dyDescent="0.25">
      <c r="OW760" s="22"/>
      <c r="OX760" s="22"/>
      <c r="OY760" s="22"/>
    </row>
    <row r="761" spans="413:415" x14ac:dyDescent="0.25">
      <c r="OW761" s="22"/>
      <c r="OX761" s="22"/>
      <c r="OY761" s="22"/>
    </row>
    <row r="762" spans="413:415" x14ac:dyDescent="0.25">
      <c r="OW762" s="22"/>
      <c r="OX762" s="22"/>
      <c r="OY762" s="22"/>
    </row>
    <row r="763" spans="413:415" x14ac:dyDescent="0.25">
      <c r="OW763" s="22"/>
      <c r="OX763" s="22"/>
      <c r="OY763" s="22"/>
    </row>
    <row r="764" spans="413:415" x14ac:dyDescent="0.25">
      <c r="OW764" s="22"/>
      <c r="OX764" s="22"/>
      <c r="OY764" s="22"/>
    </row>
    <row r="765" spans="413:415" x14ac:dyDescent="0.25">
      <c r="OW765" s="22"/>
      <c r="OX765" s="22"/>
      <c r="OY765" s="22"/>
    </row>
    <row r="766" spans="413:415" x14ac:dyDescent="0.25">
      <c r="OW766" s="22"/>
      <c r="OX766" s="22"/>
      <c r="OY766" s="22"/>
    </row>
    <row r="767" spans="413:415" x14ac:dyDescent="0.25">
      <c r="OW767" s="22"/>
      <c r="OX767" s="22"/>
      <c r="OY767" s="22"/>
    </row>
    <row r="768" spans="413:415" x14ac:dyDescent="0.25">
      <c r="OW768" s="22"/>
      <c r="OX768" s="22"/>
      <c r="OY768" s="22"/>
    </row>
    <row r="769" spans="413:415" x14ac:dyDescent="0.25">
      <c r="OW769" s="22"/>
      <c r="OX769" s="22"/>
      <c r="OY769" s="22"/>
    </row>
    <row r="770" spans="413:415" x14ac:dyDescent="0.25">
      <c r="OW770" s="22"/>
      <c r="OX770" s="22"/>
      <c r="OY770" s="22"/>
    </row>
    <row r="771" spans="413:415" x14ac:dyDescent="0.25">
      <c r="OW771" s="22"/>
      <c r="OX771" s="22"/>
      <c r="OY771" s="22"/>
    </row>
    <row r="772" spans="413:415" x14ac:dyDescent="0.25">
      <c r="OW772" s="22"/>
      <c r="OX772" s="22"/>
      <c r="OY772" s="22"/>
    </row>
    <row r="773" spans="413:415" x14ac:dyDescent="0.25">
      <c r="OW773" s="22"/>
      <c r="OX773" s="22"/>
      <c r="OY773" s="22"/>
    </row>
    <row r="774" spans="413:415" x14ac:dyDescent="0.25">
      <c r="OW774" s="22"/>
      <c r="OX774" s="22"/>
      <c r="OY774" s="22"/>
    </row>
    <row r="775" spans="413:415" x14ac:dyDescent="0.25">
      <c r="OW775" s="22"/>
      <c r="OX775" s="22"/>
      <c r="OY775" s="22"/>
    </row>
    <row r="776" spans="413:415" x14ac:dyDescent="0.25">
      <c r="OW776" s="22"/>
      <c r="OX776" s="22"/>
      <c r="OY776" s="22"/>
    </row>
    <row r="777" spans="413:415" x14ac:dyDescent="0.25">
      <c r="OW777" s="22"/>
      <c r="OX777" s="22"/>
      <c r="OY777" s="22"/>
    </row>
    <row r="778" spans="413:415" x14ac:dyDescent="0.25">
      <c r="OW778" s="22"/>
      <c r="OX778" s="22"/>
      <c r="OY778" s="22"/>
    </row>
    <row r="779" spans="413:415" x14ac:dyDescent="0.25">
      <c r="OW779" s="22"/>
      <c r="OX779" s="22"/>
      <c r="OY779" s="22"/>
    </row>
    <row r="780" spans="413:415" x14ac:dyDescent="0.25">
      <c r="OW780" s="22"/>
      <c r="OX780" s="22"/>
      <c r="OY780" s="22"/>
    </row>
    <row r="781" spans="413:415" x14ac:dyDescent="0.25">
      <c r="OW781" s="22"/>
      <c r="OX781" s="22"/>
      <c r="OY781" s="22"/>
    </row>
    <row r="782" spans="413:415" x14ac:dyDescent="0.25">
      <c r="OW782" s="22"/>
      <c r="OX782" s="22"/>
      <c r="OY782" s="22"/>
    </row>
    <row r="783" spans="413:415" x14ac:dyDescent="0.25">
      <c r="OW783" s="22"/>
      <c r="OX783" s="22"/>
      <c r="OY783" s="22"/>
    </row>
    <row r="784" spans="413:415" x14ac:dyDescent="0.25">
      <c r="OW784" s="22"/>
      <c r="OX784" s="22"/>
      <c r="OY784" s="22"/>
    </row>
    <row r="785" spans="413:415" x14ac:dyDescent="0.25">
      <c r="OW785" s="22"/>
      <c r="OX785" s="22"/>
      <c r="OY785" s="22"/>
    </row>
    <row r="786" spans="413:415" x14ac:dyDescent="0.25">
      <c r="OW786" s="22"/>
      <c r="OX786" s="22"/>
      <c r="OY786" s="22"/>
    </row>
    <row r="787" spans="413:415" x14ac:dyDescent="0.25">
      <c r="OW787" s="22"/>
      <c r="OX787" s="22"/>
      <c r="OY787" s="22"/>
    </row>
    <row r="788" spans="413:415" x14ac:dyDescent="0.25">
      <c r="OW788" s="22"/>
      <c r="OX788" s="22"/>
      <c r="OY788" s="22"/>
    </row>
    <row r="789" spans="413:415" x14ac:dyDescent="0.25">
      <c r="OW789" s="22"/>
      <c r="OX789" s="22"/>
      <c r="OY789" s="22"/>
    </row>
    <row r="790" spans="413:415" x14ac:dyDescent="0.25">
      <c r="OW790" s="22"/>
      <c r="OX790" s="22"/>
      <c r="OY790" s="22"/>
    </row>
  </sheetData>
  <mergeCells count="3">
    <mergeCell ref="A1:A2"/>
    <mergeCell ref="B1:B2"/>
    <mergeCell ref="C1:C2"/>
  </mergeCells>
  <conditionalFormatting sqref="A37:XFD37">
    <cfRule type="expression" dxfId="352" priority="1" stopIfTrue="1">
      <formula>AND(ROW()&gt;=37,ROW()&lt;=37)</formula>
    </cfRule>
  </conditionalFormatting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Z188"/>
  <sheetViews>
    <sheetView zoomScaleNormal="100" workbookViewId="0">
      <pane xSplit="5" ySplit="4" topLeftCell="JL5" activePane="bottomRight" state="frozen"/>
      <selection pane="topRight" activeCell="F1" sqref="F1"/>
      <selection pane="bottomLeft" activeCell="A5" sqref="A5"/>
      <selection pane="bottomRight" activeCell="JO1" sqref="JO1:JQ1048576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8.140625" style="22" bestFit="1" customWidth="1"/>
    <col min="5" max="5" width="10.85546875" customWidth="1"/>
    <col min="6" max="6" width="10.7109375" style="22" customWidth="1"/>
    <col min="7" max="7" width="9.85546875" style="22" customWidth="1"/>
    <col min="8" max="8" width="9.140625" style="22" customWidth="1"/>
    <col min="9" max="9" width="10" style="22" customWidth="1"/>
    <col min="10" max="96" width="11.140625" style="22" customWidth="1"/>
    <col min="97" max="98" width="11.28515625" style="22" customWidth="1"/>
    <col min="99" max="114" width="11" style="22" customWidth="1"/>
    <col min="115" max="140" width="11.28515625" style="22" customWidth="1"/>
    <col min="141" max="190" width="10.85546875" style="22" customWidth="1"/>
    <col min="191" max="206" width="9.85546875" style="22" customWidth="1"/>
    <col min="207" max="212" width="10.85546875" style="22" customWidth="1"/>
    <col min="213" max="213" width="11" style="22" customWidth="1"/>
    <col min="214" max="216" width="9.85546875" style="22" customWidth="1"/>
    <col min="217" max="222" width="10.85546875" style="22" customWidth="1"/>
    <col min="223" max="251" width="9.85546875" style="22" customWidth="1"/>
    <col min="252" max="257" width="11" style="22" customWidth="1"/>
    <col min="258" max="278" width="9.85546875" style="22" customWidth="1"/>
    <col min="279" max="279" width="10.85546875" style="22" customWidth="1"/>
    <col min="280" max="280" width="21.85546875" style="22" customWidth="1"/>
    <col min="281" max="281" width="9.140625" style="31" customWidth="1"/>
    <col min="282" max="282" width="13.85546875" style="70" customWidth="1"/>
  </cols>
  <sheetData>
    <row r="1" spans="1:282" ht="36.75" customHeight="1" thickBot="1" x14ac:dyDescent="0.35">
      <c r="A1" s="149" t="s">
        <v>1</v>
      </c>
      <c r="B1" s="128" t="s">
        <v>174</v>
      </c>
      <c r="C1" s="149" t="s">
        <v>175</v>
      </c>
      <c r="D1" s="80">
        <f>SUBTOTAL(3,F1:XFD1)-3</f>
        <v>272</v>
      </c>
      <c r="E1" s="37" t="s">
        <v>188</v>
      </c>
      <c r="F1" s="26" t="s">
        <v>184</v>
      </c>
      <c r="G1" s="26" t="s">
        <v>184</v>
      </c>
      <c r="H1" s="26" t="s">
        <v>184</v>
      </c>
      <c r="I1" s="26" t="s">
        <v>184</v>
      </c>
      <c r="J1" s="26" t="s">
        <v>184</v>
      </c>
      <c r="K1" s="26" t="s">
        <v>184</v>
      </c>
      <c r="L1" s="26" t="s">
        <v>184</v>
      </c>
      <c r="M1" s="26" t="s">
        <v>184</v>
      </c>
      <c r="N1" s="26" t="s">
        <v>184</v>
      </c>
      <c r="O1" s="26" t="s">
        <v>184</v>
      </c>
      <c r="P1" s="26" t="s">
        <v>184</v>
      </c>
      <c r="Q1" s="26" t="s">
        <v>184</v>
      </c>
      <c r="R1" s="26" t="s">
        <v>184</v>
      </c>
      <c r="S1" s="26" t="s">
        <v>184</v>
      </c>
      <c r="T1" s="26" t="s">
        <v>184</v>
      </c>
      <c r="U1" s="26" t="s">
        <v>184</v>
      </c>
      <c r="V1" s="26" t="s">
        <v>435</v>
      </c>
      <c r="W1" s="26" t="s">
        <v>435</v>
      </c>
      <c r="X1" s="26" t="s">
        <v>184</v>
      </c>
      <c r="Y1" s="26" t="s">
        <v>184</v>
      </c>
      <c r="Z1" s="26" t="s">
        <v>184</v>
      </c>
      <c r="AA1" s="26" t="s">
        <v>184</v>
      </c>
      <c r="AB1" s="26" t="s">
        <v>184</v>
      </c>
      <c r="AC1" s="26" t="s">
        <v>184</v>
      </c>
      <c r="AD1" s="26" t="s">
        <v>184</v>
      </c>
      <c r="AE1" s="26" t="s">
        <v>184</v>
      </c>
      <c r="AF1" s="26" t="s">
        <v>184</v>
      </c>
      <c r="AG1" s="26" t="s">
        <v>184</v>
      </c>
      <c r="AH1" s="26" t="s">
        <v>184</v>
      </c>
      <c r="AI1" s="26" t="s">
        <v>184</v>
      </c>
      <c r="AJ1" s="26" t="s">
        <v>435</v>
      </c>
      <c r="AK1" s="26" t="s">
        <v>435</v>
      </c>
      <c r="AL1" s="26" t="s">
        <v>435</v>
      </c>
      <c r="AM1" s="26" t="s">
        <v>435</v>
      </c>
      <c r="AN1" s="26" t="s">
        <v>435</v>
      </c>
      <c r="AO1" s="26" t="s">
        <v>435</v>
      </c>
      <c r="AP1" s="26" t="s">
        <v>435</v>
      </c>
      <c r="AQ1" s="26" t="s">
        <v>435</v>
      </c>
      <c r="AR1" s="26" t="s">
        <v>435</v>
      </c>
      <c r="AS1" s="26" t="s">
        <v>435</v>
      </c>
      <c r="AT1" s="26" t="s">
        <v>435</v>
      </c>
      <c r="AU1" s="26" t="s">
        <v>435</v>
      </c>
      <c r="AV1" s="26" t="s">
        <v>435</v>
      </c>
      <c r="AW1" s="26" t="s">
        <v>435</v>
      </c>
      <c r="AX1" s="26" t="s">
        <v>184</v>
      </c>
      <c r="AY1" s="26" t="s">
        <v>435</v>
      </c>
      <c r="AZ1" s="26" t="s">
        <v>435</v>
      </c>
      <c r="BA1" s="26" t="s">
        <v>435</v>
      </c>
      <c r="BB1" s="26" t="s">
        <v>435</v>
      </c>
      <c r="BC1" s="26" t="s">
        <v>435</v>
      </c>
      <c r="BD1" s="26" t="s">
        <v>435</v>
      </c>
      <c r="BE1" s="26" t="s">
        <v>184</v>
      </c>
      <c r="BF1" s="26" t="s">
        <v>435</v>
      </c>
      <c r="BG1" s="26" t="s">
        <v>435</v>
      </c>
      <c r="BH1" s="26" t="s">
        <v>435</v>
      </c>
      <c r="BI1" s="26" t="s">
        <v>435</v>
      </c>
      <c r="BJ1" s="26" t="s">
        <v>435</v>
      </c>
      <c r="BK1" s="26" t="s">
        <v>435</v>
      </c>
      <c r="BL1" s="26" t="s">
        <v>435</v>
      </c>
      <c r="BM1" s="26" t="s">
        <v>435</v>
      </c>
      <c r="BN1" s="26" t="s">
        <v>435</v>
      </c>
      <c r="BO1" s="26" t="s">
        <v>435</v>
      </c>
      <c r="BP1" s="26" t="s">
        <v>435</v>
      </c>
      <c r="BQ1" s="26" t="s">
        <v>435</v>
      </c>
      <c r="BR1" s="26" t="s">
        <v>435</v>
      </c>
      <c r="BS1" s="26" t="s">
        <v>435</v>
      </c>
      <c r="BT1" s="26" t="s">
        <v>435</v>
      </c>
      <c r="BU1" s="26" t="s">
        <v>435</v>
      </c>
      <c r="BV1" s="26" t="s">
        <v>435</v>
      </c>
      <c r="BW1" s="26" t="s">
        <v>435</v>
      </c>
      <c r="BX1" s="26" t="s">
        <v>435</v>
      </c>
      <c r="BY1" s="26" t="s">
        <v>435</v>
      </c>
      <c r="BZ1" s="26" t="s">
        <v>435</v>
      </c>
      <c r="CA1" s="26" t="s">
        <v>435</v>
      </c>
      <c r="CB1" s="26" t="s">
        <v>435</v>
      </c>
      <c r="CC1" s="26" t="s">
        <v>435</v>
      </c>
      <c r="CD1" s="26" t="s">
        <v>435</v>
      </c>
      <c r="CE1" s="26" t="s">
        <v>435</v>
      </c>
      <c r="CF1" s="26" t="s">
        <v>435</v>
      </c>
      <c r="CG1" s="26" t="s">
        <v>435</v>
      </c>
      <c r="CH1" s="26" t="s">
        <v>435</v>
      </c>
      <c r="CI1" s="26" t="s">
        <v>435</v>
      </c>
      <c r="CJ1" s="26" t="s">
        <v>435</v>
      </c>
      <c r="CK1" s="26" t="s">
        <v>435</v>
      </c>
      <c r="CL1" s="26" t="s">
        <v>435</v>
      </c>
      <c r="CM1" s="26" t="s">
        <v>435</v>
      </c>
      <c r="CN1" s="26" t="s">
        <v>435</v>
      </c>
      <c r="CO1" s="26" t="s">
        <v>435</v>
      </c>
      <c r="CP1" s="26" t="s">
        <v>435</v>
      </c>
      <c r="CQ1" s="26" t="s">
        <v>435</v>
      </c>
      <c r="CR1" s="26" t="s">
        <v>435</v>
      </c>
      <c r="CS1" s="26" t="s">
        <v>435</v>
      </c>
      <c r="CT1" s="26" t="s">
        <v>435</v>
      </c>
      <c r="CU1" s="26" t="s">
        <v>435</v>
      </c>
      <c r="CV1" s="26" t="s">
        <v>435</v>
      </c>
      <c r="CW1" s="26" t="s">
        <v>435</v>
      </c>
      <c r="CX1" s="26" t="s">
        <v>435</v>
      </c>
      <c r="CY1" s="26" t="s">
        <v>435</v>
      </c>
      <c r="CZ1" s="26" t="s">
        <v>435</v>
      </c>
      <c r="DA1" s="26" t="s">
        <v>435</v>
      </c>
      <c r="DB1" s="26" t="s">
        <v>435</v>
      </c>
      <c r="DC1" s="26" t="s">
        <v>435</v>
      </c>
      <c r="DD1" s="26" t="s">
        <v>435</v>
      </c>
      <c r="DE1" s="26" t="s">
        <v>435</v>
      </c>
      <c r="DF1" s="26" t="s">
        <v>435</v>
      </c>
      <c r="DG1" s="26" t="s">
        <v>435</v>
      </c>
      <c r="DH1" s="26" t="s">
        <v>435</v>
      </c>
      <c r="DI1" s="26" t="s">
        <v>435</v>
      </c>
      <c r="DJ1" s="26" t="s">
        <v>435</v>
      </c>
      <c r="DK1" s="26" t="s">
        <v>435</v>
      </c>
      <c r="DL1" s="26" t="s">
        <v>435</v>
      </c>
      <c r="DM1" s="26" t="s">
        <v>435</v>
      </c>
      <c r="DN1" s="26" t="s">
        <v>435</v>
      </c>
      <c r="DO1" s="26" t="s">
        <v>435</v>
      </c>
      <c r="DP1" s="26" t="s">
        <v>435</v>
      </c>
      <c r="DQ1" s="26" t="s">
        <v>435</v>
      </c>
      <c r="DR1" s="26" t="s">
        <v>435</v>
      </c>
      <c r="DS1" s="26" t="s">
        <v>435</v>
      </c>
      <c r="DT1" s="26" t="s">
        <v>435</v>
      </c>
      <c r="DU1" s="26" t="s">
        <v>435</v>
      </c>
      <c r="DV1" s="26" t="s">
        <v>435</v>
      </c>
      <c r="DW1" s="26" t="s">
        <v>184</v>
      </c>
      <c r="DX1" s="26" t="s">
        <v>184</v>
      </c>
      <c r="DY1" s="26" t="s">
        <v>184</v>
      </c>
      <c r="DZ1" s="26" t="s">
        <v>435</v>
      </c>
      <c r="EA1" s="26" t="s">
        <v>435</v>
      </c>
      <c r="EB1" s="26" t="s">
        <v>435</v>
      </c>
      <c r="EC1" s="26" t="s">
        <v>435</v>
      </c>
      <c r="ED1" s="26" t="s">
        <v>435</v>
      </c>
      <c r="EE1" s="26" t="s">
        <v>435</v>
      </c>
      <c r="EF1" s="26" t="s">
        <v>435</v>
      </c>
      <c r="EG1" s="26" t="s">
        <v>435</v>
      </c>
      <c r="EH1" s="26" t="s">
        <v>184</v>
      </c>
      <c r="EI1" s="26" t="s">
        <v>184</v>
      </c>
      <c r="EJ1" s="26" t="s">
        <v>184</v>
      </c>
      <c r="EK1" s="26" t="s">
        <v>184</v>
      </c>
      <c r="EL1" s="26" t="s">
        <v>310</v>
      </c>
      <c r="EM1" s="26" t="s">
        <v>310</v>
      </c>
      <c r="EN1" s="26" t="s">
        <v>310</v>
      </c>
      <c r="EO1" s="26" t="s">
        <v>988</v>
      </c>
      <c r="EP1" s="26" t="s">
        <v>310</v>
      </c>
      <c r="EQ1" s="26" t="s">
        <v>310</v>
      </c>
      <c r="ER1" s="26" t="s">
        <v>988</v>
      </c>
      <c r="ES1" s="26" t="s">
        <v>988</v>
      </c>
      <c r="ET1" s="26" t="s">
        <v>310</v>
      </c>
      <c r="EU1" s="26" t="s">
        <v>988</v>
      </c>
      <c r="EV1" s="26" t="s">
        <v>184</v>
      </c>
      <c r="EW1" s="26" t="s">
        <v>184</v>
      </c>
      <c r="EX1" s="26" t="s">
        <v>184</v>
      </c>
      <c r="EY1" s="26" t="s">
        <v>184</v>
      </c>
      <c r="EZ1" s="26" t="s">
        <v>184</v>
      </c>
      <c r="FA1" s="26" t="s">
        <v>184</v>
      </c>
      <c r="FB1" s="26" t="s">
        <v>184</v>
      </c>
      <c r="FC1" s="26" t="s">
        <v>184</v>
      </c>
      <c r="FD1" s="26" t="s">
        <v>184</v>
      </c>
      <c r="FE1" s="26" t="s">
        <v>184</v>
      </c>
      <c r="FF1" s="26" t="s">
        <v>184</v>
      </c>
      <c r="FG1" s="26" t="s">
        <v>184</v>
      </c>
      <c r="FH1" s="26" t="s">
        <v>184</v>
      </c>
      <c r="FI1" s="26" t="s">
        <v>184</v>
      </c>
      <c r="FJ1" s="26" t="s">
        <v>184</v>
      </c>
      <c r="FK1" s="26" t="s">
        <v>184</v>
      </c>
      <c r="FL1" s="26" t="s">
        <v>184</v>
      </c>
      <c r="FM1" s="26" t="s">
        <v>184</v>
      </c>
      <c r="FN1" s="26" t="s">
        <v>310</v>
      </c>
      <c r="FO1" s="26" t="s">
        <v>310</v>
      </c>
      <c r="FP1" s="26" t="s">
        <v>310</v>
      </c>
      <c r="FQ1" s="26" t="s">
        <v>310</v>
      </c>
      <c r="FR1" s="26" t="s">
        <v>310</v>
      </c>
      <c r="FS1" s="26" t="s">
        <v>184</v>
      </c>
      <c r="FT1" s="26" t="s">
        <v>184</v>
      </c>
      <c r="FU1" s="26" t="s">
        <v>184</v>
      </c>
      <c r="FV1" s="26" t="s">
        <v>184</v>
      </c>
      <c r="FW1" s="26" t="s">
        <v>184</v>
      </c>
      <c r="FX1" s="26" t="s">
        <v>310</v>
      </c>
      <c r="FY1" s="26" t="s">
        <v>184</v>
      </c>
      <c r="FZ1" s="26" t="s">
        <v>184</v>
      </c>
      <c r="GA1" s="26" t="s">
        <v>184</v>
      </c>
      <c r="GB1" s="26" t="s">
        <v>184</v>
      </c>
      <c r="GC1" s="26" t="s">
        <v>184</v>
      </c>
      <c r="GD1" s="26" t="s">
        <v>988</v>
      </c>
      <c r="GE1" s="26" t="s">
        <v>988</v>
      </c>
      <c r="GF1" s="26" t="s">
        <v>988</v>
      </c>
      <c r="GG1" s="26" t="s">
        <v>988</v>
      </c>
      <c r="GH1" s="26" t="s">
        <v>988</v>
      </c>
      <c r="GI1" s="26" t="s">
        <v>988</v>
      </c>
      <c r="GJ1" s="26" t="s">
        <v>988</v>
      </c>
      <c r="GK1" s="26" t="s">
        <v>988</v>
      </c>
      <c r="GL1" s="26" t="s">
        <v>988</v>
      </c>
      <c r="GM1" s="26" t="s">
        <v>988</v>
      </c>
      <c r="GN1" s="26" t="s">
        <v>988</v>
      </c>
      <c r="GO1" s="26" t="s">
        <v>988</v>
      </c>
      <c r="GP1" s="26" t="s">
        <v>988</v>
      </c>
      <c r="GQ1" s="26" t="s">
        <v>988</v>
      </c>
      <c r="GR1" s="26" t="s">
        <v>988</v>
      </c>
      <c r="GS1" s="26" t="s">
        <v>988</v>
      </c>
      <c r="GT1" s="26" t="s">
        <v>988</v>
      </c>
      <c r="GU1" s="26" t="s">
        <v>988</v>
      </c>
      <c r="GV1" s="26" t="s">
        <v>988</v>
      </c>
      <c r="GW1" s="26" t="s">
        <v>988</v>
      </c>
      <c r="GX1" s="26" t="s">
        <v>988</v>
      </c>
      <c r="GY1" s="26" t="s">
        <v>184</v>
      </c>
      <c r="GZ1" s="26" t="s">
        <v>184</v>
      </c>
      <c r="HA1" s="26" t="s">
        <v>184</v>
      </c>
      <c r="HB1" s="26" t="s">
        <v>310</v>
      </c>
      <c r="HC1" s="26" t="s">
        <v>310</v>
      </c>
      <c r="HD1" s="26" t="s">
        <v>310</v>
      </c>
      <c r="HE1" s="26" t="s">
        <v>988</v>
      </c>
      <c r="HF1" s="26" t="s">
        <v>988</v>
      </c>
      <c r="HG1" s="26" t="s">
        <v>988</v>
      </c>
      <c r="HH1" s="26" t="s">
        <v>988</v>
      </c>
      <c r="HI1" s="26" t="s">
        <v>184</v>
      </c>
      <c r="HJ1" s="26" t="s">
        <v>184</v>
      </c>
      <c r="HK1" s="26" t="s">
        <v>184</v>
      </c>
      <c r="HL1" s="26" t="s">
        <v>184</v>
      </c>
      <c r="HM1" s="26" t="s">
        <v>184</v>
      </c>
      <c r="HN1" s="26" t="s">
        <v>184</v>
      </c>
      <c r="HO1" s="26" t="s">
        <v>988</v>
      </c>
      <c r="HP1" s="26" t="s">
        <v>988</v>
      </c>
      <c r="HQ1" s="26" t="s">
        <v>184</v>
      </c>
      <c r="HR1" s="26" t="s">
        <v>184</v>
      </c>
      <c r="HS1" s="26" t="s">
        <v>184</v>
      </c>
      <c r="HT1" s="26" t="s">
        <v>184</v>
      </c>
      <c r="HU1" s="26" t="s">
        <v>988</v>
      </c>
      <c r="HV1" s="26" t="s">
        <v>184</v>
      </c>
      <c r="HW1" s="26" t="s">
        <v>184</v>
      </c>
      <c r="HX1" s="26" t="s">
        <v>184</v>
      </c>
      <c r="HY1" s="26" t="s">
        <v>184</v>
      </c>
      <c r="HZ1" s="26" t="s">
        <v>184</v>
      </c>
      <c r="IA1" s="26" t="s">
        <v>988</v>
      </c>
      <c r="IB1" s="26" t="s">
        <v>988</v>
      </c>
      <c r="IC1" s="26" t="s">
        <v>988</v>
      </c>
      <c r="ID1" s="26" t="s">
        <v>184</v>
      </c>
      <c r="IE1" s="26" t="s">
        <v>184</v>
      </c>
      <c r="IF1" s="26" t="s">
        <v>184</v>
      </c>
      <c r="IG1" s="26" t="s">
        <v>184</v>
      </c>
      <c r="IH1" s="26" t="s">
        <v>184</v>
      </c>
      <c r="II1" s="26" t="s">
        <v>184</v>
      </c>
      <c r="IJ1" s="26" t="s">
        <v>988</v>
      </c>
      <c r="IK1" s="26" t="s">
        <v>988</v>
      </c>
      <c r="IL1" s="26" t="s">
        <v>184</v>
      </c>
      <c r="IM1" s="26" t="s">
        <v>213</v>
      </c>
      <c r="IN1" s="26" t="s">
        <v>184</v>
      </c>
      <c r="IO1" s="26" t="s">
        <v>184</v>
      </c>
      <c r="IP1" s="26" t="s">
        <v>184</v>
      </c>
      <c r="IQ1" s="26" t="s">
        <v>184</v>
      </c>
      <c r="IR1" s="26" t="s">
        <v>213</v>
      </c>
      <c r="IS1" s="26" t="s">
        <v>184</v>
      </c>
      <c r="IT1" s="26" t="s">
        <v>184</v>
      </c>
      <c r="IU1" s="26" t="s">
        <v>184</v>
      </c>
      <c r="IV1" s="26" t="s">
        <v>184</v>
      </c>
      <c r="IW1" s="26" t="s">
        <v>184</v>
      </c>
      <c r="IX1" s="26" t="s">
        <v>184</v>
      </c>
      <c r="IY1" s="26" t="s">
        <v>184</v>
      </c>
      <c r="IZ1" s="26" t="s">
        <v>184</v>
      </c>
      <c r="JA1" s="26" t="s">
        <v>184</v>
      </c>
      <c r="JB1" s="26" t="s">
        <v>184</v>
      </c>
      <c r="JC1" s="26" t="s">
        <v>184</v>
      </c>
      <c r="JD1" s="26" t="s">
        <v>184</v>
      </c>
      <c r="JE1" s="26" t="s">
        <v>184</v>
      </c>
      <c r="JF1" s="26" t="s">
        <v>184</v>
      </c>
      <c r="JG1" s="26" t="s">
        <v>184</v>
      </c>
      <c r="JH1" s="26" t="s">
        <v>184</v>
      </c>
      <c r="JI1" s="26" t="s">
        <v>184</v>
      </c>
      <c r="JJ1" s="26" t="s">
        <v>184</v>
      </c>
      <c r="JK1" s="26" t="s">
        <v>184</v>
      </c>
      <c r="JL1" s="26" t="s">
        <v>184</v>
      </c>
      <c r="JM1" s="26" t="s">
        <v>184</v>
      </c>
      <c r="JN1" s="26" t="s">
        <v>184</v>
      </c>
      <c r="JO1" s="26" t="s">
        <v>184</v>
      </c>
      <c r="JP1" s="26" t="s">
        <v>184</v>
      </c>
      <c r="JQ1" s="26" t="s">
        <v>184</v>
      </c>
      <c r="JR1" s="26"/>
      <c r="JS1" s="26"/>
      <c r="JT1" s="26" t="s">
        <v>1638</v>
      </c>
      <c r="JU1" s="29" t="s">
        <v>177</v>
      </c>
      <c r="JV1" s="72" t="s">
        <v>484</v>
      </c>
    </row>
    <row r="2" spans="1:282" ht="29.25" customHeight="1" thickBot="1" x14ac:dyDescent="0.3">
      <c r="A2" s="150"/>
      <c r="B2" s="130"/>
      <c r="C2" s="150"/>
      <c r="D2" s="4" t="s">
        <v>176</v>
      </c>
      <c r="E2" s="4" t="s">
        <v>186</v>
      </c>
      <c r="F2" s="25" t="s">
        <v>178</v>
      </c>
      <c r="G2" s="25" t="s">
        <v>179</v>
      </c>
      <c r="H2" s="25" t="s">
        <v>180</v>
      </c>
      <c r="I2" s="25" t="s">
        <v>181</v>
      </c>
      <c r="J2" s="25" t="s">
        <v>185</v>
      </c>
      <c r="K2" s="25" t="s">
        <v>189</v>
      </c>
      <c r="L2" s="25" t="s">
        <v>286</v>
      </c>
      <c r="M2" s="25" t="s">
        <v>292</v>
      </c>
      <c r="N2" s="25" t="s">
        <v>307</v>
      </c>
      <c r="O2" s="25" t="s">
        <v>427</v>
      </c>
      <c r="P2" s="25" t="s">
        <v>428</v>
      </c>
      <c r="Q2" s="25" t="s">
        <v>429</v>
      </c>
      <c r="R2" s="25" t="s">
        <v>430</v>
      </c>
      <c r="S2" s="25" t="s">
        <v>431</v>
      </c>
      <c r="T2" s="25" t="s">
        <v>433</v>
      </c>
      <c r="U2" s="25" t="s">
        <v>434</v>
      </c>
      <c r="V2" s="25" t="s">
        <v>436</v>
      </c>
      <c r="W2" s="25" t="s">
        <v>439</v>
      </c>
      <c r="X2" s="25" t="s">
        <v>440</v>
      </c>
      <c r="Y2" s="25" t="s">
        <v>441</v>
      </c>
      <c r="Z2" s="25" t="s">
        <v>442</v>
      </c>
      <c r="AA2" s="25" t="s">
        <v>443</v>
      </c>
      <c r="AB2" s="25" t="s">
        <v>444</v>
      </c>
      <c r="AC2" s="25" t="s">
        <v>445</v>
      </c>
      <c r="AD2" s="25" t="s">
        <v>445</v>
      </c>
      <c r="AE2" s="25" t="s">
        <v>451</v>
      </c>
      <c r="AF2" s="25" t="s">
        <v>464</v>
      </c>
      <c r="AG2" s="25" t="s">
        <v>467</v>
      </c>
      <c r="AH2" s="25" t="s">
        <v>475</v>
      </c>
      <c r="AI2" s="25" t="s">
        <v>478</v>
      </c>
      <c r="AJ2" s="25" t="s">
        <v>472</v>
      </c>
      <c r="AK2" s="25" t="s">
        <v>473</v>
      </c>
      <c r="AL2" s="25" t="s">
        <v>474</v>
      </c>
      <c r="AM2" s="25" t="s">
        <v>477</v>
      </c>
      <c r="AN2" s="25" t="s">
        <v>479</v>
      </c>
      <c r="AO2" s="25" t="s">
        <v>480</v>
      </c>
      <c r="AP2" s="25" t="s">
        <v>481</v>
      </c>
      <c r="AQ2" s="25" t="s">
        <v>483</v>
      </c>
      <c r="AR2" s="25" t="s">
        <v>486</v>
      </c>
      <c r="AS2" s="25" t="s">
        <v>487</v>
      </c>
      <c r="AT2" s="25" t="s">
        <v>488</v>
      </c>
      <c r="AU2" s="25" t="s">
        <v>489</v>
      </c>
      <c r="AV2" s="25" t="s">
        <v>490</v>
      </c>
      <c r="AW2" s="25" t="s">
        <v>491</v>
      </c>
      <c r="AX2" s="25" t="s">
        <v>492</v>
      </c>
      <c r="AY2" s="25" t="s">
        <v>493</v>
      </c>
      <c r="AZ2" s="25" t="s">
        <v>494</v>
      </c>
      <c r="BA2" s="25" t="s">
        <v>495</v>
      </c>
      <c r="BB2" s="25" t="s">
        <v>496</v>
      </c>
      <c r="BC2" s="25" t="s">
        <v>497</v>
      </c>
      <c r="BD2" s="25" t="s">
        <v>498</v>
      </c>
      <c r="BE2" s="25" t="s">
        <v>500</v>
      </c>
      <c r="BF2" s="25" t="s">
        <v>499</v>
      </c>
      <c r="BG2" s="25" t="s">
        <v>501</v>
      </c>
      <c r="BH2" s="25" t="s">
        <v>503</v>
      </c>
      <c r="BI2" s="25" t="s">
        <v>504</v>
      </c>
      <c r="BJ2" s="25" t="s">
        <v>505</v>
      </c>
      <c r="BK2" s="25" t="s">
        <v>506</v>
      </c>
      <c r="BL2" s="25" t="s">
        <v>507</v>
      </c>
      <c r="BM2" s="25" t="s">
        <v>508</v>
      </c>
      <c r="BN2" s="25" t="s">
        <v>509</v>
      </c>
      <c r="BO2" s="25" t="s">
        <v>511</v>
      </c>
      <c r="BP2" s="25" t="s">
        <v>512</v>
      </c>
      <c r="BQ2" s="25" t="s">
        <v>514</v>
      </c>
      <c r="BR2" s="25" t="s">
        <v>515</v>
      </c>
      <c r="BS2" s="25" t="s">
        <v>513</v>
      </c>
      <c r="BT2" s="25" t="s">
        <v>517</v>
      </c>
      <c r="BU2" s="25" t="s">
        <v>519</v>
      </c>
      <c r="BV2" s="25" t="s">
        <v>520</v>
      </c>
      <c r="BW2" s="25" t="s">
        <v>521</v>
      </c>
      <c r="BX2" s="25" t="s">
        <v>522</v>
      </c>
      <c r="BY2" s="25" t="s">
        <v>523</v>
      </c>
      <c r="BZ2" s="25" t="s">
        <v>524</v>
      </c>
      <c r="CA2" s="25" t="s">
        <v>528</v>
      </c>
      <c r="CB2" s="25" t="s">
        <v>529</v>
      </c>
      <c r="CC2" s="25" t="s">
        <v>531</v>
      </c>
      <c r="CD2" s="25" t="s">
        <v>534</v>
      </c>
      <c r="CE2" s="25" t="s">
        <v>536</v>
      </c>
      <c r="CF2" s="25" t="s">
        <v>537</v>
      </c>
      <c r="CG2" s="25" t="s">
        <v>538</v>
      </c>
      <c r="CH2" s="25" t="s">
        <v>539</v>
      </c>
      <c r="CI2" s="25" t="s">
        <v>540</v>
      </c>
      <c r="CJ2" s="25" t="s">
        <v>541</v>
      </c>
      <c r="CK2" s="25" t="s">
        <v>545</v>
      </c>
      <c r="CL2" s="25" t="s">
        <v>546</v>
      </c>
      <c r="CM2" s="25" t="s">
        <v>549</v>
      </c>
      <c r="CN2" s="25" t="s">
        <v>550</v>
      </c>
      <c r="CO2" s="25" t="s">
        <v>552</v>
      </c>
      <c r="CP2" s="25" t="s">
        <v>553</v>
      </c>
      <c r="CQ2" s="25" t="s">
        <v>554</v>
      </c>
      <c r="CR2" s="25" t="s">
        <v>555</v>
      </c>
      <c r="CS2" s="25" t="s">
        <v>556</v>
      </c>
      <c r="CT2" s="25" t="s">
        <v>557</v>
      </c>
      <c r="CU2" s="25" t="s">
        <v>558</v>
      </c>
      <c r="CV2" s="25" t="s">
        <v>559</v>
      </c>
      <c r="CW2" s="25" t="s">
        <v>560</v>
      </c>
      <c r="CX2" s="25" t="s">
        <v>561</v>
      </c>
      <c r="CY2" s="25" t="s">
        <v>562</v>
      </c>
      <c r="CZ2" s="25" t="s">
        <v>563</v>
      </c>
      <c r="DA2" s="25" t="s">
        <v>564</v>
      </c>
      <c r="DB2" s="25" t="s">
        <v>565</v>
      </c>
      <c r="DC2" s="25" t="s">
        <v>566</v>
      </c>
      <c r="DD2" s="25" t="s">
        <v>567</v>
      </c>
      <c r="DE2" s="25" t="s">
        <v>568</v>
      </c>
      <c r="DF2" s="25" t="s">
        <v>569</v>
      </c>
      <c r="DG2" s="25" t="s">
        <v>570</v>
      </c>
      <c r="DH2" s="25" t="s">
        <v>571</v>
      </c>
      <c r="DI2" s="25" t="s">
        <v>572</v>
      </c>
      <c r="DJ2" s="25" t="s">
        <v>573</v>
      </c>
      <c r="DK2" s="25" t="s">
        <v>574</v>
      </c>
      <c r="DL2" s="25" t="s">
        <v>575</v>
      </c>
      <c r="DM2" s="25" t="s">
        <v>576</v>
      </c>
      <c r="DN2" s="25" t="s">
        <v>577</v>
      </c>
      <c r="DO2" s="25" t="s">
        <v>578</v>
      </c>
      <c r="DP2" s="25" t="s">
        <v>580</v>
      </c>
      <c r="DQ2" s="25" t="s">
        <v>581</v>
      </c>
      <c r="DR2" s="25" t="s">
        <v>582</v>
      </c>
      <c r="DS2" s="25" t="s">
        <v>587</v>
      </c>
      <c r="DT2" s="25" t="s">
        <v>583</v>
      </c>
      <c r="DU2" s="25" t="s">
        <v>584</v>
      </c>
      <c r="DV2" s="25" t="s">
        <v>585</v>
      </c>
      <c r="DW2" s="25" t="s">
        <v>595</v>
      </c>
      <c r="DX2" s="25" t="s">
        <v>596</v>
      </c>
      <c r="DY2" s="25" t="s">
        <v>597</v>
      </c>
      <c r="DZ2" s="25" t="s">
        <v>588</v>
      </c>
      <c r="EA2" s="25" t="s">
        <v>592</v>
      </c>
      <c r="EB2" s="25" t="s">
        <v>589</v>
      </c>
      <c r="EC2" s="25" t="s">
        <v>590</v>
      </c>
      <c r="ED2" s="25" t="s">
        <v>593</v>
      </c>
      <c r="EE2" s="25" t="s">
        <v>594</v>
      </c>
      <c r="EF2" s="25" t="s">
        <v>599</v>
      </c>
      <c r="EG2" s="25" t="s">
        <v>598</v>
      </c>
      <c r="EH2" s="25" t="s">
        <v>626</v>
      </c>
      <c r="EI2" s="25" t="s">
        <v>651</v>
      </c>
      <c r="EJ2" s="25" t="s">
        <v>652</v>
      </c>
      <c r="EK2" s="25" t="s">
        <v>685</v>
      </c>
      <c r="EL2" s="25" t="s">
        <v>1312</v>
      </c>
      <c r="EM2" s="25" t="s">
        <v>1320</v>
      </c>
      <c r="EN2" s="25" t="s">
        <v>1340</v>
      </c>
      <c r="EO2" s="25" t="s">
        <v>1370</v>
      </c>
      <c r="EP2" s="25" t="s">
        <v>1385</v>
      </c>
      <c r="EQ2" s="25" t="s">
        <v>1386</v>
      </c>
      <c r="ER2" s="25" t="s">
        <v>1366</v>
      </c>
      <c r="ES2" s="25" t="s">
        <v>1367</v>
      </c>
      <c r="ET2" s="25" t="s">
        <v>1387</v>
      </c>
      <c r="EU2" s="25" t="s">
        <v>1371</v>
      </c>
      <c r="EV2" s="25" t="s">
        <v>1379</v>
      </c>
      <c r="EW2" s="25" t="s">
        <v>1380</v>
      </c>
      <c r="EX2" s="25" t="s">
        <v>1381</v>
      </c>
      <c r="EY2" s="25" t="s">
        <v>1392</v>
      </c>
      <c r="EZ2" s="25" t="s">
        <v>1393</v>
      </c>
      <c r="FA2" s="25" t="s">
        <v>1389</v>
      </c>
      <c r="FB2" s="25" t="s">
        <v>1395</v>
      </c>
      <c r="FC2" s="25" t="s">
        <v>1396</v>
      </c>
      <c r="FD2" s="25" t="s">
        <v>1398</v>
      </c>
      <c r="FE2" s="25" t="s">
        <v>1399</v>
      </c>
      <c r="FF2" s="25" t="s">
        <v>1400</v>
      </c>
      <c r="FG2" s="25" t="s">
        <v>1409</v>
      </c>
      <c r="FH2" s="25" t="s">
        <v>1401</v>
      </c>
      <c r="FI2" s="25" t="s">
        <v>1408</v>
      </c>
      <c r="FJ2" s="25" t="s">
        <v>1412</v>
      </c>
      <c r="FK2" s="25" t="s">
        <v>1413</v>
      </c>
      <c r="FL2" s="25" t="s">
        <v>1414</v>
      </c>
      <c r="FM2" s="25" t="s">
        <v>1418</v>
      </c>
      <c r="FN2" s="25" t="s">
        <v>1424</v>
      </c>
      <c r="FO2" s="25" t="s">
        <v>1433</v>
      </c>
      <c r="FP2" s="25" t="s">
        <v>1434</v>
      </c>
      <c r="FQ2" s="25" t="s">
        <v>1463</v>
      </c>
      <c r="FR2" s="25" t="s">
        <v>1464</v>
      </c>
      <c r="FS2" s="25" t="s">
        <v>1465</v>
      </c>
      <c r="FT2" s="25" t="s">
        <v>1466</v>
      </c>
      <c r="FU2" s="25" t="s">
        <v>1475</v>
      </c>
      <c r="FV2" s="25" t="s">
        <v>1480</v>
      </c>
      <c r="FW2" s="25" t="s">
        <v>1481</v>
      </c>
      <c r="FX2" s="25" t="s">
        <v>1566</v>
      </c>
      <c r="FY2" s="25" t="s">
        <v>1483</v>
      </c>
      <c r="FZ2" s="25" t="s">
        <v>1485</v>
      </c>
      <c r="GA2" s="25" t="s">
        <v>1486</v>
      </c>
      <c r="GB2" s="25" t="s">
        <v>1487</v>
      </c>
      <c r="GC2" s="25" t="s">
        <v>1488</v>
      </c>
      <c r="GD2" s="25" t="s">
        <v>1518</v>
      </c>
      <c r="GE2" s="25" t="s">
        <v>1519</v>
      </c>
      <c r="GF2" s="25" t="s">
        <v>1520</v>
      </c>
      <c r="GG2" s="25" t="s">
        <v>1521</v>
      </c>
      <c r="GH2" s="25" t="s">
        <v>1522</v>
      </c>
      <c r="GI2" s="25" t="s">
        <v>1548</v>
      </c>
      <c r="GJ2" s="25" t="s">
        <v>1549</v>
      </c>
      <c r="GK2" s="25" t="s">
        <v>1550</v>
      </c>
      <c r="GL2" s="25" t="s">
        <v>1551</v>
      </c>
      <c r="GM2" s="25" t="s">
        <v>1552</v>
      </c>
      <c r="GN2" s="25" t="s">
        <v>1553</v>
      </c>
      <c r="GO2" s="25" t="s">
        <v>1554</v>
      </c>
      <c r="GP2" s="25" t="s">
        <v>1555</v>
      </c>
      <c r="GQ2" s="25" t="s">
        <v>1556</v>
      </c>
      <c r="GR2" s="25" t="s">
        <v>1558</v>
      </c>
      <c r="GS2" s="25" t="s">
        <v>1564</v>
      </c>
      <c r="GT2" s="25" t="s">
        <v>1578</v>
      </c>
      <c r="GU2" s="25" t="s">
        <v>1579</v>
      </c>
      <c r="GV2" s="25" t="s">
        <v>1572</v>
      </c>
      <c r="GW2" s="25" t="s">
        <v>1573</v>
      </c>
      <c r="GX2" s="25" t="s">
        <v>1577</v>
      </c>
      <c r="GY2" s="25" t="s">
        <v>1567</v>
      </c>
      <c r="GZ2" s="25" t="s">
        <v>1568</v>
      </c>
      <c r="HA2" s="25" t="s">
        <v>1569</v>
      </c>
      <c r="HB2" s="25" t="s">
        <v>1570</v>
      </c>
      <c r="HC2" s="25" t="s">
        <v>1581</v>
      </c>
      <c r="HD2" s="25" t="s">
        <v>1582</v>
      </c>
      <c r="HE2" s="25" t="s">
        <v>1598</v>
      </c>
      <c r="HF2" s="25" t="s">
        <v>1604</v>
      </c>
      <c r="HG2" s="25" t="s">
        <v>1605</v>
      </c>
      <c r="HH2" s="25" t="s">
        <v>1606</v>
      </c>
      <c r="HI2" s="25" t="s">
        <v>1607</v>
      </c>
      <c r="HJ2" s="25" t="s">
        <v>1608</v>
      </c>
      <c r="HK2" s="25" t="s">
        <v>1609</v>
      </c>
      <c r="HL2" s="25" t="s">
        <v>1611</v>
      </c>
      <c r="HM2" s="25" t="s">
        <v>1610</v>
      </c>
      <c r="HN2" s="25" t="s">
        <v>1612</v>
      </c>
      <c r="HO2" s="25" t="s">
        <v>1619</v>
      </c>
      <c r="HP2" s="25" t="s">
        <v>1620</v>
      </c>
      <c r="HQ2" s="25" t="s">
        <v>1640</v>
      </c>
      <c r="HR2" s="25" t="s">
        <v>1639</v>
      </c>
      <c r="HS2" s="25" t="s">
        <v>1641</v>
      </c>
      <c r="HT2" s="25" t="s">
        <v>1642</v>
      </c>
      <c r="HU2" s="25" t="s">
        <v>1648</v>
      </c>
      <c r="HV2" s="25" t="s">
        <v>1649</v>
      </c>
      <c r="HW2" s="25" t="s">
        <v>1650</v>
      </c>
      <c r="HX2" s="25" t="s">
        <v>1651</v>
      </c>
      <c r="HY2" s="25" t="s">
        <v>1656</v>
      </c>
      <c r="HZ2" s="25" t="s">
        <v>1657</v>
      </c>
      <c r="IA2" s="25" t="s">
        <v>1659</v>
      </c>
      <c r="IB2" s="25" t="s">
        <v>1661</v>
      </c>
      <c r="IC2" s="25" t="s">
        <v>1672</v>
      </c>
      <c r="ID2" s="25" t="s">
        <v>1664</v>
      </c>
      <c r="IE2" s="25" t="s">
        <v>1665</v>
      </c>
      <c r="IF2" s="25" t="s">
        <v>1666</v>
      </c>
      <c r="IG2" s="25" t="s">
        <v>1667</v>
      </c>
      <c r="IH2" s="25" t="s">
        <v>1668</v>
      </c>
      <c r="II2" s="25" t="s">
        <v>1669</v>
      </c>
      <c r="IJ2" s="25" t="s">
        <v>1673</v>
      </c>
      <c r="IK2" s="25" t="s">
        <v>1674</v>
      </c>
      <c r="IL2" s="25" t="s">
        <v>1670</v>
      </c>
      <c r="IM2" s="25" t="s">
        <v>1681</v>
      </c>
      <c r="IN2" s="25" t="s">
        <v>1683</v>
      </c>
      <c r="IO2" s="25" t="s">
        <v>1684</v>
      </c>
      <c r="IP2" s="25" t="s">
        <v>1685</v>
      </c>
      <c r="IQ2" s="25" t="s">
        <v>1686</v>
      </c>
      <c r="IR2" s="25" t="s">
        <v>1804</v>
      </c>
      <c r="IS2" s="25" t="s">
        <v>1806</v>
      </c>
      <c r="IT2" s="25" t="s">
        <v>1807</v>
      </c>
      <c r="IU2" s="25" t="s">
        <v>1808</v>
      </c>
      <c r="IV2" s="25" t="s">
        <v>1809</v>
      </c>
      <c r="IW2" s="25" t="s">
        <v>1810</v>
      </c>
      <c r="IX2" s="25" t="s">
        <v>1811</v>
      </c>
      <c r="IY2" s="25" t="s">
        <v>1820</v>
      </c>
      <c r="IZ2" s="25" t="s">
        <v>1821</v>
      </c>
      <c r="JA2" s="25" t="s">
        <v>1824</v>
      </c>
      <c r="JB2" s="25" t="s">
        <v>1823</v>
      </c>
      <c r="JC2" s="25" t="s">
        <v>1825</v>
      </c>
      <c r="JD2" s="25" t="s">
        <v>1826</v>
      </c>
      <c r="JE2" s="25" t="s">
        <v>1827</v>
      </c>
      <c r="JF2" s="25" t="s">
        <v>1831</v>
      </c>
      <c r="JG2" s="25" t="s">
        <v>1832</v>
      </c>
      <c r="JH2" s="25" t="s">
        <v>1833</v>
      </c>
      <c r="JI2" s="25" t="s">
        <v>1840</v>
      </c>
      <c r="JJ2" s="25" t="s">
        <v>1841</v>
      </c>
      <c r="JK2" s="25" t="s">
        <v>1842</v>
      </c>
      <c r="JL2" s="25" t="s">
        <v>1843</v>
      </c>
      <c r="JM2" s="25" t="s">
        <v>1844</v>
      </c>
      <c r="JN2" s="25" t="s">
        <v>1878</v>
      </c>
      <c r="JO2" s="25" t="s">
        <v>1879</v>
      </c>
      <c r="JP2" s="25" t="s">
        <v>1880</v>
      </c>
      <c r="JQ2" s="25" t="s">
        <v>1881</v>
      </c>
      <c r="JR2" s="25"/>
      <c r="JS2" s="25"/>
      <c r="JT2" s="25"/>
      <c r="JU2" s="29"/>
      <c r="JV2" s="72" t="s">
        <v>485</v>
      </c>
    </row>
    <row r="3" spans="1:282" s="28" customFormat="1" ht="12" customHeight="1" x14ac:dyDescent="0.2">
      <c r="A3" s="26"/>
      <c r="B3" s="26"/>
      <c r="C3" s="26" t="s">
        <v>10</v>
      </c>
      <c r="D3" s="26"/>
      <c r="E3" s="38" t="s">
        <v>187</v>
      </c>
      <c r="F3" s="27">
        <v>45875</v>
      </c>
      <c r="G3" s="27">
        <v>45875</v>
      </c>
      <c r="H3" s="27">
        <v>45876</v>
      </c>
      <c r="I3" s="27">
        <v>45878</v>
      </c>
      <c r="J3" s="34">
        <v>45879</v>
      </c>
      <c r="K3" s="34">
        <v>45879</v>
      </c>
      <c r="L3" s="34">
        <v>45881</v>
      </c>
      <c r="M3" s="34">
        <v>45885</v>
      </c>
      <c r="N3" s="34">
        <v>45887</v>
      </c>
      <c r="O3" s="34">
        <v>45888</v>
      </c>
      <c r="P3" s="34">
        <v>45888</v>
      </c>
      <c r="Q3" s="34">
        <v>45888</v>
      </c>
      <c r="R3" s="34">
        <v>45889</v>
      </c>
      <c r="S3" s="34">
        <v>45889</v>
      </c>
      <c r="T3" s="34">
        <v>45890</v>
      </c>
      <c r="U3" s="34">
        <v>45890</v>
      </c>
      <c r="V3" s="34">
        <v>45892</v>
      </c>
      <c r="W3" s="34">
        <v>45893</v>
      </c>
      <c r="X3" s="34">
        <v>45892</v>
      </c>
      <c r="Y3" s="34">
        <v>45892</v>
      </c>
      <c r="Z3" s="34">
        <v>45893</v>
      </c>
      <c r="AA3" s="34">
        <v>45893</v>
      </c>
      <c r="AB3" s="34">
        <v>45894</v>
      </c>
      <c r="AC3" s="34">
        <v>45894</v>
      </c>
      <c r="AD3" s="34">
        <v>45894</v>
      </c>
      <c r="AE3" s="34">
        <v>45895</v>
      </c>
      <c r="AF3" s="34">
        <v>45897</v>
      </c>
      <c r="AG3" s="34">
        <v>45899</v>
      </c>
      <c r="AH3" s="34">
        <v>45900</v>
      </c>
      <c r="AI3" s="34">
        <v>45901</v>
      </c>
      <c r="AJ3" s="34">
        <v>45901</v>
      </c>
      <c r="AK3" s="34">
        <v>45901</v>
      </c>
      <c r="AL3" s="34">
        <v>45901</v>
      </c>
      <c r="AM3" s="34">
        <v>45902</v>
      </c>
      <c r="AN3" s="34">
        <v>45902</v>
      </c>
      <c r="AO3" s="34">
        <v>45902</v>
      </c>
      <c r="AP3" s="34">
        <v>45902</v>
      </c>
      <c r="AQ3" s="34">
        <v>45903</v>
      </c>
      <c r="AR3" s="34">
        <v>45903</v>
      </c>
      <c r="AS3" s="34">
        <v>45903</v>
      </c>
      <c r="AT3" s="34">
        <v>45903</v>
      </c>
      <c r="AU3" s="34">
        <v>45903</v>
      </c>
      <c r="AV3" s="34">
        <v>45904</v>
      </c>
      <c r="AW3" s="34">
        <v>45904</v>
      </c>
      <c r="AX3" s="34">
        <v>45904</v>
      </c>
      <c r="AY3" s="34">
        <v>45905</v>
      </c>
      <c r="AZ3" s="34">
        <v>45905</v>
      </c>
      <c r="BA3" s="34">
        <v>45905</v>
      </c>
      <c r="BB3" s="34">
        <v>45905</v>
      </c>
      <c r="BC3" s="34">
        <v>45906</v>
      </c>
      <c r="BD3" s="34">
        <v>45906</v>
      </c>
      <c r="BE3" s="34">
        <v>45906</v>
      </c>
      <c r="BF3" s="34">
        <v>45907</v>
      </c>
      <c r="BG3" s="34">
        <v>45907</v>
      </c>
      <c r="BH3" s="34">
        <v>45907</v>
      </c>
      <c r="BI3" s="34">
        <v>45907</v>
      </c>
      <c r="BJ3" s="34">
        <v>45907</v>
      </c>
      <c r="BK3" s="34">
        <v>45908</v>
      </c>
      <c r="BL3" s="34">
        <v>45908</v>
      </c>
      <c r="BM3" s="34">
        <v>45908</v>
      </c>
      <c r="BN3" s="34">
        <v>45908</v>
      </c>
      <c r="BO3" s="34">
        <v>45908</v>
      </c>
      <c r="BP3" s="34">
        <v>45908</v>
      </c>
      <c r="BQ3" s="34">
        <v>45908</v>
      </c>
      <c r="BR3" s="34">
        <v>45908</v>
      </c>
      <c r="BS3" s="34">
        <v>45908</v>
      </c>
      <c r="BT3" s="34">
        <v>45909</v>
      </c>
      <c r="BU3" s="34">
        <v>45909</v>
      </c>
      <c r="BV3" s="34">
        <v>45909</v>
      </c>
      <c r="BW3" s="34">
        <v>45909</v>
      </c>
      <c r="BX3" s="34">
        <v>45909</v>
      </c>
      <c r="BY3" s="34">
        <v>45910</v>
      </c>
      <c r="BZ3" s="34">
        <v>45910</v>
      </c>
      <c r="CA3" s="34">
        <v>45910</v>
      </c>
      <c r="CB3" s="34">
        <v>45910</v>
      </c>
      <c r="CC3" s="34">
        <v>45911</v>
      </c>
      <c r="CD3" s="34">
        <v>45911</v>
      </c>
      <c r="CE3" s="34">
        <v>45910</v>
      </c>
      <c r="CF3" s="34">
        <v>45911</v>
      </c>
      <c r="CG3" s="34">
        <v>45912</v>
      </c>
      <c r="CH3" s="34">
        <v>45912</v>
      </c>
      <c r="CI3" s="34">
        <v>45912</v>
      </c>
      <c r="CJ3" s="34">
        <v>45912</v>
      </c>
      <c r="CK3" s="34">
        <v>45913</v>
      </c>
      <c r="CL3" s="34">
        <v>45913</v>
      </c>
      <c r="CM3" s="34">
        <v>45914</v>
      </c>
      <c r="CN3" s="34">
        <v>45915</v>
      </c>
      <c r="CO3" s="34">
        <v>45915</v>
      </c>
      <c r="CP3" s="34">
        <v>45915</v>
      </c>
      <c r="CQ3" s="34">
        <v>45916</v>
      </c>
      <c r="CR3" s="34">
        <v>45916</v>
      </c>
      <c r="CS3" s="34">
        <v>45916</v>
      </c>
      <c r="CT3" s="34">
        <v>45917</v>
      </c>
      <c r="CU3" s="34">
        <v>45918</v>
      </c>
      <c r="CV3" s="34">
        <v>45918</v>
      </c>
      <c r="CW3" s="34">
        <v>45918</v>
      </c>
      <c r="CX3" s="34">
        <v>45918</v>
      </c>
      <c r="CY3" s="34">
        <v>45918</v>
      </c>
      <c r="CZ3" s="34">
        <v>45919</v>
      </c>
      <c r="DA3" s="34">
        <v>45919</v>
      </c>
      <c r="DB3" s="34">
        <v>45919</v>
      </c>
      <c r="DC3" s="34">
        <v>45919</v>
      </c>
      <c r="DD3" s="34">
        <v>45919</v>
      </c>
      <c r="DE3" s="34">
        <v>45920</v>
      </c>
      <c r="DF3" s="34">
        <v>45920</v>
      </c>
      <c r="DG3" s="34">
        <v>45920</v>
      </c>
      <c r="DH3" s="34">
        <v>45920</v>
      </c>
      <c r="DI3" s="34">
        <v>45920</v>
      </c>
      <c r="DJ3" s="34">
        <v>45921</v>
      </c>
      <c r="DK3" s="34">
        <v>45921</v>
      </c>
      <c r="DL3" s="34">
        <v>45921</v>
      </c>
      <c r="DM3" s="34">
        <v>45921</v>
      </c>
      <c r="DN3" s="34">
        <v>45922</v>
      </c>
      <c r="DO3" s="34">
        <v>45921</v>
      </c>
      <c r="DP3" s="34">
        <v>45922</v>
      </c>
      <c r="DQ3" s="34">
        <v>45923</v>
      </c>
      <c r="DR3" s="34">
        <v>45923</v>
      </c>
      <c r="DS3" s="34">
        <v>45924</v>
      </c>
      <c r="DT3" s="34">
        <v>45923</v>
      </c>
      <c r="DU3" s="34">
        <v>45923</v>
      </c>
      <c r="DV3" s="34">
        <v>45923</v>
      </c>
      <c r="DW3" s="34">
        <v>45924</v>
      </c>
      <c r="DX3" s="34">
        <v>45924</v>
      </c>
      <c r="DY3" s="34">
        <v>45924</v>
      </c>
      <c r="DZ3" s="34">
        <v>45925</v>
      </c>
      <c r="EA3" s="34">
        <v>45925</v>
      </c>
      <c r="EB3" s="34">
        <v>45925</v>
      </c>
      <c r="EC3" s="34">
        <v>45926</v>
      </c>
      <c r="ED3" s="34">
        <v>45927</v>
      </c>
      <c r="EE3" s="34">
        <v>45927</v>
      </c>
      <c r="EF3" s="34">
        <v>45930</v>
      </c>
      <c r="EG3" s="34">
        <v>45930</v>
      </c>
      <c r="EH3" s="34">
        <v>45934</v>
      </c>
      <c r="EI3" s="34">
        <v>45941</v>
      </c>
      <c r="EJ3" s="34">
        <v>45951</v>
      </c>
      <c r="EK3" s="27">
        <v>45955</v>
      </c>
      <c r="EL3" s="27">
        <v>45966</v>
      </c>
      <c r="EM3" s="27">
        <v>45970</v>
      </c>
      <c r="EN3" s="27">
        <v>45974</v>
      </c>
      <c r="EO3" s="27">
        <v>45965</v>
      </c>
      <c r="EP3" s="27">
        <v>45976</v>
      </c>
      <c r="EQ3" s="27">
        <v>45977</v>
      </c>
      <c r="ER3" s="27">
        <v>45978</v>
      </c>
      <c r="ES3" s="27">
        <v>45978</v>
      </c>
      <c r="ET3" s="27">
        <v>45979</v>
      </c>
      <c r="EU3" s="27">
        <v>45982</v>
      </c>
      <c r="EV3" s="27">
        <v>45983</v>
      </c>
      <c r="EW3" s="27">
        <v>45983</v>
      </c>
      <c r="EX3" s="27">
        <v>45983</v>
      </c>
      <c r="EY3" s="27">
        <v>45985</v>
      </c>
      <c r="EZ3" s="27">
        <v>45985</v>
      </c>
      <c r="FA3" s="27">
        <v>45984</v>
      </c>
      <c r="FB3" s="27">
        <v>45986</v>
      </c>
      <c r="FC3" s="27">
        <v>45986</v>
      </c>
      <c r="FD3" s="27">
        <v>45987</v>
      </c>
      <c r="FE3" s="27">
        <v>45988</v>
      </c>
      <c r="FF3" s="27">
        <v>45988</v>
      </c>
      <c r="FG3" s="27">
        <v>45990</v>
      </c>
      <c r="FH3" s="27">
        <v>45990</v>
      </c>
      <c r="FI3" s="27">
        <v>45990</v>
      </c>
      <c r="FJ3" s="27">
        <v>45992</v>
      </c>
      <c r="FK3" s="27">
        <v>45993</v>
      </c>
      <c r="FL3" s="27">
        <v>45993</v>
      </c>
      <c r="FM3" s="27">
        <v>45994</v>
      </c>
      <c r="FN3" s="27">
        <v>45995</v>
      </c>
      <c r="FO3" s="27">
        <v>45999</v>
      </c>
      <c r="FP3" s="27">
        <v>46000</v>
      </c>
      <c r="FQ3" s="27">
        <v>46001</v>
      </c>
      <c r="FR3" s="27">
        <v>46002</v>
      </c>
      <c r="FS3" s="27">
        <v>46005</v>
      </c>
      <c r="FT3" s="27">
        <v>46005</v>
      </c>
      <c r="FU3" s="27">
        <v>46007</v>
      </c>
      <c r="FV3" s="27">
        <v>46012</v>
      </c>
      <c r="FW3" s="27">
        <v>46012</v>
      </c>
      <c r="FX3" s="27">
        <v>46013</v>
      </c>
      <c r="FY3" s="27">
        <v>46014</v>
      </c>
      <c r="FZ3" s="27">
        <v>46016</v>
      </c>
      <c r="GA3" s="27">
        <v>46016</v>
      </c>
      <c r="GB3" s="27">
        <v>46016</v>
      </c>
      <c r="GC3" s="27">
        <v>46016</v>
      </c>
      <c r="GD3" s="27">
        <v>46019</v>
      </c>
      <c r="GE3" s="27">
        <v>46019</v>
      </c>
      <c r="GF3" s="27">
        <v>46019</v>
      </c>
      <c r="GG3" s="27">
        <v>46020</v>
      </c>
      <c r="GH3" s="27">
        <v>46019</v>
      </c>
      <c r="GI3" s="27">
        <v>46022</v>
      </c>
      <c r="GJ3" s="27">
        <v>46022</v>
      </c>
      <c r="GK3" s="27">
        <v>46023</v>
      </c>
      <c r="GL3" s="27">
        <v>46023</v>
      </c>
      <c r="GM3" s="27">
        <v>46023</v>
      </c>
      <c r="GN3" s="27">
        <v>46024</v>
      </c>
      <c r="GO3" s="27">
        <v>46024</v>
      </c>
      <c r="GP3" s="27">
        <v>46025</v>
      </c>
      <c r="GQ3" s="27">
        <v>46023</v>
      </c>
      <c r="GR3" s="27">
        <v>46025</v>
      </c>
      <c r="GS3" s="27">
        <v>46025</v>
      </c>
      <c r="GT3" s="27">
        <v>46025</v>
      </c>
      <c r="GU3" s="27">
        <v>46025</v>
      </c>
      <c r="GV3" s="27">
        <v>46026</v>
      </c>
      <c r="GW3" s="27">
        <v>46027</v>
      </c>
      <c r="GX3" s="27">
        <v>46028</v>
      </c>
      <c r="GY3" s="27">
        <v>46020</v>
      </c>
      <c r="GZ3" s="27">
        <v>46020</v>
      </c>
      <c r="HA3" s="27">
        <v>46022</v>
      </c>
      <c r="HB3" s="27">
        <v>46026</v>
      </c>
      <c r="HC3" s="27">
        <v>46027</v>
      </c>
      <c r="HD3" s="27">
        <v>46027</v>
      </c>
      <c r="HE3" s="27">
        <v>46028</v>
      </c>
      <c r="HF3" s="27">
        <v>46030</v>
      </c>
      <c r="HG3" s="27">
        <v>46030</v>
      </c>
      <c r="HH3" s="27">
        <v>46031</v>
      </c>
      <c r="HI3" s="27">
        <v>46022</v>
      </c>
      <c r="HJ3" s="27">
        <v>46028</v>
      </c>
      <c r="HK3" s="27">
        <v>46028</v>
      </c>
      <c r="HL3" s="27">
        <v>46030</v>
      </c>
      <c r="HM3" s="27">
        <v>46030</v>
      </c>
      <c r="HN3" s="27">
        <v>46030</v>
      </c>
      <c r="HO3" s="27">
        <v>46032</v>
      </c>
      <c r="HP3" s="27">
        <v>46032</v>
      </c>
      <c r="HQ3" s="27">
        <v>46032</v>
      </c>
      <c r="HR3" s="27">
        <v>46032</v>
      </c>
      <c r="HS3" s="27">
        <v>46032</v>
      </c>
      <c r="HT3" s="27">
        <v>46032</v>
      </c>
      <c r="HU3" s="27">
        <v>45669</v>
      </c>
      <c r="HV3" s="27">
        <v>45669</v>
      </c>
      <c r="HW3" s="27">
        <v>45669</v>
      </c>
      <c r="HX3" s="27">
        <v>45669</v>
      </c>
      <c r="HY3" s="27">
        <v>46035</v>
      </c>
      <c r="HZ3" s="27">
        <v>46035</v>
      </c>
      <c r="IA3" s="27">
        <v>46035</v>
      </c>
      <c r="IB3" s="27">
        <v>45671</v>
      </c>
      <c r="IC3" s="27">
        <v>46036</v>
      </c>
      <c r="ID3" s="27">
        <v>46036</v>
      </c>
      <c r="IE3" s="27">
        <v>46037</v>
      </c>
      <c r="IF3" s="27">
        <v>46037</v>
      </c>
      <c r="IG3" s="27">
        <v>46037</v>
      </c>
      <c r="IH3" s="27">
        <v>46037</v>
      </c>
      <c r="II3" s="27">
        <v>46037</v>
      </c>
      <c r="IJ3" s="27">
        <v>46037</v>
      </c>
      <c r="IK3" s="27">
        <v>46037</v>
      </c>
      <c r="IL3" s="27">
        <v>46039</v>
      </c>
      <c r="IM3" s="27">
        <v>46042</v>
      </c>
      <c r="IN3" s="27">
        <v>46039</v>
      </c>
      <c r="IO3" s="27">
        <v>46039</v>
      </c>
      <c r="IP3" s="27">
        <v>46041</v>
      </c>
      <c r="IQ3" s="27">
        <v>46041</v>
      </c>
      <c r="IR3" s="34">
        <v>46051</v>
      </c>
      <c r="IS3" s="34">
        <v>46042</v>
      </c>
      <c r="IT3" s="34">
        <v>46044</v>
      </c>
      <c r="IU3" s="34">
        <v>46046</v>
      </c>
      <c r="IV3" s="34">
        <v>46047</v>
      </c>
      <c r="IW3" s="34">
        <v>46049</v>
      </c>
      <c r="IX3" s="27">
        <v>46050</v>
      </c>
      <c r="IY3" s="27">
        <v>46051</v>
      </c>
      <c r="IZ3" s="27">
        <v>46051</v>
      </c>
      <c r="JA3" s="27">
        <v>45687</v>
      </c>
      <c r="JB3" s="27">
        <v>46053</v>
      </c>
      <c r="JC3" s="27">
        <v>46054</v>
      </c>
      <c r="JD3" s="27">
        <v>46054</v>
      </c>
      <c r="JE3" s="27">
        <v>46055</v>
      </c>
      <c r="JF3" s="27">
        <v>46056</v>
      </c>
      <c r="JG3" s="27">
        <v>46056</v>
      </c>
      <c r="JH3" s="27">
        <v>46056</v>
      </c>
      <c r="JI3" s="27">
        <v>46057</v>
      </c>
      <c r="JJ3" s="27">
        <v>46057</v>
      </c>
      <c r="JK3" s="27">
        <v>46057</v>
      </c>
      <c r="JL3" s="27">
        <v>46058</v>
      </c>
      <c r="JM3" s="27">
        <v>46058</v>
      </c>
      <c r="JN3" s="27">
        <v>46058</v>
      </c>
      <c r="JO3" s="27">
        <v>46060</v>
      </c>
      <c r="JP3" s="27">
        <v>46062</v>
      </c>
      <c r="JQ3" s="27">
        <v>46062</v>
      </c>
      <c r="JR3" s="27"/>
      <c r="JS3" s="27"/>
      <c r="JT3" s="34"/>
      <c r="JU3" s="30"/>
      <c r="JV3" s="71"/>
    </row>
    <row r="4" spans="1:282" ht="12" customHeight="1" x14ac:dyDescent="0.25">
      <c r="A4" s="23"/>
      <c r="B4" s="23"/>
      <c r="C4" s="24"/>
      <c r="D4" s="23"/>
      <c r="E4" s="136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2"/>
      <c r="DW4" s="32"/>
      <c r="DX4" s="32"/>
      <c r="DY4" s="32"/>
      <c r="DZ4" s="32"/>
      <c r="EA4" s="32"/>
      <c r="EB4" s="32"/>
      <c r="EC4" s="32"/>
      <c r="ED4" s="32"/>
      <c r="EE4" s="32"/>
      <c r="EF4" s="111" t="s">
        <v>1615</v>
      </c>
      <c r="EG4" s="32" t="s">
        <v>1432</v>
      </c>
      <c r="EH4" s="32" t="s">
        <v>670</v>
      </c>
      <c r="EI4" s="32" t="s">
        <v>668</v>
      </c>
      <c r="EJ4" s="32" t="s">
        <v>669</v>
      </c>
      <c r="EK4" s="111" t="s">
        <v>1292</v>
      </c>
      <c r="EL4" s="111" t="s">
        <v>1326</v>
      </c>
      <c r="EM4" s="111" t="s">
        <v>1325</v>
      </c>
      <c r="EN4" s="111" t="s">
        <v>1356</v>
      </c>
      <c r="EO4" s="111" t="s">
        <v>1423</v>
      </c>
      <c r="EP4" s="111" t="s">
        <v>1420</v>
      </c>
      <c r="EQ4" s="111" t="s">
        <v>1421</v>
      </c>
      <c r="ER4" s="111" t="s">
        <v>1431</v>
      </c>
      <c r="ES4" s="111" t="s">
        <v>1615</v>
      </c>
      <c r="ET4" s="111" t="s">
        <v>1422</v>
      </c>
      <c r="EU4" s="111" t="s">
        <v>1372</v>
      </c>
      <c r="EV4" s="111" t="s">
        <v>1382</v>
      </c>
      <c r="EW4" s="111" t="s">
        <v>1382</v>
      </c>
      <c r="EX4" s="111" t="s">
        <v>1382</v>
      </c>
      <c r="EY4" s="111" t="s">
        <v>1394</v>
      </c>
      <c r="EZ4" s="111" t="s">
        <v>1394</v>
      </c>
      <c r="FA4" s="111" t="s">
        <v>1390</v>
      </c>
      <c r="FB4" s="111" t="s">
        <v>1397</v>
      </c>
      <c r="FC4" s="111" t="s">
        <v>1397</v>
      </c>
      <c r="FD4" s="111" t="s">
        <v>1402</v>
      </c>
      <c r="FE4" s="111" t="s">
        <v>1403</v>
      </c>
      <c r="FF4" s="111" t="s">
        <v>1404</v>
      </c>
      <c r="FG4" s="111" t="s">
        <v>1457</v>
      </c>
      <c r="FH4" s="111" t="s">
        <v>1403</v>
      </c>
      <c r="FI4" s="111" t="s">
        <v>1411</v>
      </c>
      <c r="FJ4" s="111" t="s">
        <v>1415</v>
      </c>
      <c r="FK4" s="111" t="s">
        <v>1417</v>
      </c>
      <c r="FL4" s="111" t="s">
        <v>1416</v>
      </c>
      <c r="FM4" s="111" t="s">
        <v>1419</v>
      </c>
      <c r="FN4" s="111" t="s">
        <v>1429</v>
      </c>
      <c r="FO4" s="111" t="s">
        <v>1435</v>
      </c>
      <c r="FP4" s="111" t="s">
        <v>1436</v>
      </c>
      <c r="FQ4" s="111" t="s">
        <v>1476</v>
      </c>
      <c r="FR4" s="111" t="s">
        <v>1473</v>
      </c>
      <c r="FS4" s="111" t="s">
        <v>1472</v>
      </c>
      <c r="FT4" s="111" t="s">
        <v>1471</v>
      </c>
      <c r="FU4" s="111" t="s">
        <v>1477</v>
      </c>
      <c r="FV4" s="111" t="s">
        <v>1514</v>
      </c>
      <c r="FW4" s="111" t="s">
        <v>1509</v>
      </c>
      <c r="FX4" s="111" t="s">
        <v>1614</v>
      </c>
      <c r="FY4" s="111" t="s">
        <v>1513</v>
      </c>
      <c r="FZ4" s="111" t="s">
        <v>1489</v>
      </c>
      <c r="GA4" s="111" t="s">
        <v>1489</v>
      </c>
      <c r="GB4" s="111" t="s">
        <v>1489</v>
      </c>
      <c r="GC4" s="111" t="s">
        <v>1489</v>
      </c>
      <c r="GD4" s="111" t="s">
        <v>1615</v>
      </c>
      <c r="GE4" s="111" t="s">
        <v>1615</v>
      </c>
      <c r="GF4" s="111" t="s">
        <v>1615</v>
      </c>
      <c r="GG4" s="111" t="s">
        <v>1615</v>
      </c>
      <c r="GH4" s="111" t="s">
        <v>1615</v>
      </c>
      <c r="GI4" s="111" t="s">
        <v>1615</v>
      </c>
      <c r="GJ4" s="111" t="s">
        <v>1615</v>
      </c>
      <c r="GK4" s="111" t="s">
        <v>1615</v>
      </c>
      <c r="GL4" s="111" t="s">
        <v>1615</v>
      </c>
      <c r="GM4" s="111" t="s">
        <v>1615</v>
      </c>
      <c r="GN4" s="111" t="s">
        <v>1615</v>
      </c>
      <c r="GO4" s="111" t="s">
        <v>1615</v>
      </c>
      <c r="GP4" s="111" t="s">
        <v>1615</v>
      </c>
      <c r="GQ4" s="111" t="s">
        <v>1615</v>
      </c>
      <c r="GR4" s="111" t="s">
        <v>1615</v>
      </c>
      <c r="GS4" s="111" t="s">
        <v>1615</v>
      </c>
      <c r="GT4" s="111" t="s">
        <v>1615</v>
      </c>
      <c r="GU4" s="111" t="s">
        <v>1615</v>
      </c>
      <c r="GV4" s="111" t="s">
        <v>1615</v>
      </c>
      <c r="GW4" s="111" t="s">
        <v>1615</v>
      </c>
      <c r="GX4" s="111" t="s">
        <v>1615</v>
      </c>
      <c r="GY4" s="111" t="s">
        <v>1613</v>
      </c>
      <c r="GZ4" s="111" t="s">
        <v>1613</v>
      </c>
      <c r="HA4" s="111" t="s">
        <v>1613</v>
      </c>
      <c r="HB4" s="111" t="s">
        <v>1614</v>
      </c>
      <c r="HC4" s="111" t="s">
        <v>1614</v>
      </c>
      <c r="HD4" s="111" t="s">
        <v>1614</v>
      </c>
      <c r="HE4" s="111" t="s">
        <v>1615</v>
      </c>
      <c r="HF4" s="111" t="s">
        <v>1615</v>
      </c>
      <c r="HG4" s="111" t="s">
        <v>1615</v>
      </c>
      <c r="HH4" s="111" t="s">
        <v>1615</v>
      </c>
      <c r="HI4" s="111" t="s">
        <v>1613</v>
      </c>
      <c r="HJ4" s="111" t="s">
        <v>1613</v>
      </c>
      <c r="HK4" s="111" t="s">
        <v>1613</v>
      </c>
      <c r="HL4" s="111" t="s">
        <v>1613</v>
      </c>
      <c r="HM4" s="111" t="s">
        <v>1613</v>
      </c>
      <c r="HN4" s="111" t="s">
        <v>1613</v>
      </c>
      <c r="HO4" s="111" t="s">
        <v>1647</v>
      </c>
      <c r="HP4" s="111" t="s">
        <v>1647</v>
      </c>
      <c r="HQ4" s="111" t="s">
        <v>1644</v>
      </c>
      <c r="HR4" s="111" t="s">
        <v>1645</v>
      </c>
      <c r="HS4" s="111" t="s">
        <v>1646</v>
      </c>
      <c r="HT4" s="111" t="s">
        <v>1643</v>
      </c>
      <c r="HU4" s="111" t="s">
        <v>1653</v>
      </c>
      <c r="HV4" s="111" t="s">
        <v>1654</v>
      </c>
      <c r="HW4" s="111" t="s">
        <v>1654</v>
      </c>
      <c r="HX4" s="111" t="s">
        <v>1654</v>
      </c>
      <c r="HY4" s="111" t="s">
        <v>1658</v>
      </c>
      <c r="HZ4" s="111" t="s">
        <v>1658</v>
      </c>
      <c r="IA4" s="111" t="s">
        <v>1660</v>
      </c>
      <c r="IB4" s="111" t="s">
        <v>1675</v>
      </c>
      <c r="IC4" s="111" t="s">
        <v>1675</v>
      </c>
      <c r="ID4" s="111" t="s">
        <v>1671</v>
      </c>
      <c r="IE4" s="111" t="s">
        <v>1671</v>
      </c>
      <c r="IF4" s="111" t="s">
        <v>1671</v>
      </c>
      <c r="IG4" s="111" t="s">
        <v>1671</v>
      </c>
      <c r="IH4" s="111" t="s">
        <v>1671</v>
      </c>
      <c r="II4" s="111" t="s">
        <v>1671</v>
      </c>
      <c r="IJ4" s="111" t="s">
        <v>1675</v>
      </c>
      <c r="IK4" s="111" t="s">
        <v>1675</v>
      </c>
      <c r="IL4" s="111" t="s">
        <v>1671</v>
      </c>
      <c r="IM4" s="111"/>
      <c r="IN4" s="111" t="s">
        <v>1692</v>
      </c>
      <c r="IO4" s="111" t="s">
        <v>1692</v>
      </c>
      <c r="IP4" s="111" t="s">
        <v>1692</v>
      </c>
      <c r="IQ4" s="111" t="s">
        <v>1692</v>
      </c>
      <c r="IR4" s="32"/>
      <c r="IS4" s="32" t="s">
        <v>1830</v>
      </c>
      <c r="IT4" s="32" t="s">
        <v>1830</v>
      </c>
      <c r="IU4" s="32" t="s">
        <v>1830</v>
      </c>
      <c r="IV4" s="32" t="s">
        <v>1830</v>
      </c>
      <c r="IW4" s="32" t="s">
        <v>1830</v>
      </c>
      <c r="IX4" s="32" t="s">
        <v>1830</v>
      </c>
      <c r="IY4" s="32" t="s">
        <v>1830</v>
      </c>
      <c r="IZ4" s="32" t="s">
        <v>1830</v>
      </c>
      <c r="JA4" s="32" t="s">
        <v>1830</v>
      </c>
      <c r="JB4" s="32" t="s">
        <v>1830</v>
      </c>
      <c r="JC4" s="32" t="s">
        <v>1830</v>
      </c>
      <c r="JD4" s="32" t="s">
        <v>1830</v>
      </c>
      <c r="JE4" s="39" t="s">
        <v>1839</v>
      </c>
      <c r="JF4" s="111" t="s">
        <v>1838</v>
      </c>
      <c r="JG4" s="111" t="s">
        <v>1838</v>
      </c>
      <c r="JH4" s="111" t="s">
        <v>1838</v>
      </c>
      <c r="JI4" s="111" t="s">
        <v>1845</v>
      </c>
      <c r="JJ4" s="111" t="s">
        <v>1845</v>
      </c>
      <c r="JK4" s="111" t="s">
        <v>1845</v>
      </c>
      <c r="JL4" s="111" t="s">
        <v>1845</v>
      </c>
      <c r="JM4" s="111" t="s">
        <v>1845</v>
      </c>
      <c r="JN4" s="111" t="s">
        <v>1845</v>
      </c>
      <c r="JO4" s="111"/>
      <c r="JP4" s="111"/>
      <c r="JQ4" s="111"/>
      <c r="JR4" s="111"/>
      <c r="JS4" s="111"/>
      <c r="JT4" s="111"/>
      <c r="JU4" s="33"/>
    </row>
    <row r="5" spans="1:282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EF5" s="22">
        <v>120</v>
      </c>
      <c r="GP5" s="22">
        <v>120</v>
      </c>
      <c r="IR5" s="22" t="s">
        <v>1805</v>
      </c>
      <c r="JT5" s="22">
        <f>'NEW PURCHASE MATERIAL'!O5</f>
        <v>0</v>
      </c>
      <c r="JU5" s="31">
        <v>240</v>
      </c>
    </row>
    <row r="6" spans="1:282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EA6" s="22">
        <v>1</v>
      </c>
      <c r="IR6" s="22" t="s">
        <v>1805</v>
      </c>
      <c r="JT6" s="22">
        <f>'NEW PURCHASE MATERIAL'!O6</f>
        <v>0</v>
      </c>
      <c r="JU6" s="31">
        <v>1</v>
      </c>
    </row>
    <row r="7" spans="1:282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IR7" s="22" t="s">
        <v>1805</v>
      </c>
      <c r="JT7" s="22">
        <f>'NEW PURCHASE MATERIAL'!O7</f>
        <v>0</v>
      </c>
      <c r="JU7" s="31">
        <v>0</v>
      </c>
    </row>
    <row r="8" spans="1:282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EA8" s="22">
        <v>2</v>
      </c>
      <c r="IM8" s="22">
        <v>1</v>
      </c>
      <c r="JT8" s="22">
        <f>'NEW PURCHASE MATERIAL'!O8</f>
        <v>0</v>
      </c>
      <c r="JU8" s="31">
        <v>3</v>
      </c>
    </row>
    <row r="9" spans="1:282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G9" s="22">
        <v>180</v>
      </c>
      <c r="BR9" s="22">
        <v>2</v>
      </c>
      <c r="EA9" s="22">
        <v>5</v>
      </c>
      <c r="EQ9" s="22">
        <v>4</v>
      </c>
      <c r="ET9" s="22">
        <v>1</v>
      </c>
      <c r="FQ9" s="22">
        <v>5</v>
      </c>
      <c r="GZ9" s="22">
        <v>92</v>
      </c>
      <c r="HK9" s="22">
        <v>45</v>
      </c>
      <c r="IR9" s="22" t="s">
        <v>1805</v>
      </c>
      <c r="IZ9" s="22">
        <v>90</v>
      </c>
      <c r="JT9" s="22">
        <f>'NEW PURCHASE MATERIAL'!O9</f>
        <v>0</v>
      </c>
      <c r="JU9" s="31">
        <v>424</v>
      </c>
    </row>
    <row r="10" spans="1:282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EQ10" s="22">
        <v>3</v>
      </c>
      <c r="ET10" s="22">
        <v>1</v>
      </c>
      <c r="FQ10" s="22">
        <v>16</v>
      </c>
      <c r="IR10" s="22">
        <v>10</v>
      </c>
      <c r="JT10" s="22">
        <f>'NEW PURCHASE MATERIAL'!O10</f>
        <v>0</v>
      </c>
      <c r="JU10" s="31">
        <v>30</v>
      </c>
    </row>
    <row r="11" spans="1:282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O11" s="22">
        <v>90</v>
      </c>
      <c r="BR11" s="22">
        <v>2</v>
      </c>
      <c r="DN11" s="22">
        <v>368</v>
      </c>
      <c r="DQ11" s="22">
        <v>30</v>
      </c>
      <c r="DR11" s="22">
        <v>30</v>
      </c>
      <c r="DT11" s="22">
        <v>10</v>
      </c>
      <c r="EA11" s="22">
        <v>1</v>
      </c>
      <c r="EQ11" s="22">
        <v>12</v>
      </c>
      <c r="ET11" s="22">
        <v>5</v>
      </c>
      <c r="HK11" s="22">
        <v>135</v>
      </c>
      <c r="IR11" s="22">
        <v>7</v>
      </c>
      <c r="JT11" s="22">
        <f>'NEW PURCHASE MATERIAL'!O11</f>
        <v>0</v>
      </c>
      <c r="JU11" s="31">
        <v>690</v>
      </c>
      <c r="JV11" s="70">
        <v>5</v>
      </c>
    </row>
    <row r="12" spans="1:282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IR12" s="22" t="s">
        <v>1805</v>
      </c>
      <c r="JT12" s="22">
        <f>'NEW PURCHASE MATERIAL'!O12</f>
        <v>0</v>
      </c>
      <c r="JU12" s="31">
        <v>0</v>
      </c>
    </row>
    <row r="13" spans="1:282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EA13" s="22">
        <v>1</v>
      </c>
      <c r="IR13" s="22" t="s">
        <v>1805</v>
      </c>
      <c r="JT13" s="22">
        <f>'NEW PURCHASE MATERIAL'!O13</f>
        <v>0</v>
      </c>
      <c r="JU13" s="31">
        <v>1</v>
      </c>
    </row>
    <row r="14" spans="1:282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IR14" s="22" t="s">
        <v>1805</v>
      </c>
      <c r="JT14" s="22">
        <f>'NEW PURCHASE MATERIAL'!O14</f>
        <v>0</v>
      </c>
      <c r="JU14" s="31">
        <v>0</v>
      </c>
    </row>
    <row r="15" spans="1:282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IR15" s="22" t="s">
        <v>1805</v>
      </c>
      <c r="JT15" s="22">
        <f>'NEW PURCHASE MATERIAL'!O15</f>
        <v>0</v>
      </c>
      <c r="JU15" s="31">
        <v>0</v>
      </c>
    </row>
    <row r="16" spans="1:282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IR16" s="22">
        <v>3</v>
      </c>
      <c r="JT16" s="22">
        <f>'NEW PURCHASE MATERIAL'!O16</f>
        <v>0</v>
      </c>
      <c r="JU16" s="31">
        <v>3</v>
      </c>
    </row>
    <row r="17" spans="1:281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IR17" s="22" t="s">
        <v>1805</v>
      </c>
      <c r="JT17" s="22">
        <f>'NEW PURCHASE MATERIAL'!O17</f>
        <v>0</v>
      </c>
      <c r="JU17" s="31">
        <v>0</v>
      </c>
    </row>
    <row r="18" spans="1:281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EA18" s="22">
        <v>1</v>
      </c>
      <c r="IR18" s="22" t="s">
        <v>1805</v>
      </c>
      <c r="JT18" s="22">
        <f>'NEW PURCHASE MATERIAL'!O18</f>
        <v>0</v>
      </c>
      <c r="JU18" s="31">
        <v>1</v>
      </c>
    </row>
    <row r="19" spans="1:281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R19" s="22">
        <v>433</v>
      </c>
      <c r="BR19" s="22">
        <v>10</v>
      </c>
      <c r="CF19" s="22">
        <v>887</v>
      </c>
      <c r="IR19" s="22">
        <v>22</v>
      </c>
      <c r="JF19" s="22">
        <v>411</v>
      </c>
      <c r="JT19" s="22">
        <f>'NEW PURCHASE MATERIAL'!O19</f>
        <v>2000</v>
      </c>
      <c r="JU19" s="31">
        <v>3763</v>
      </c>
    </row>
    <row r="20" spans="1:281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BQ20" s="22">
        <v>50</v>
      </c>
      <c r="CF20" s="22">
        <v>1700</v>
      </c>
      <c r="CJ20" s="22">
        <v>7640</v>
      </c>
      <c r="FT20" s="22">
        <v>1000</v>
      </c>
      <c r="IR20" s="22">
        <v>21</v>
      </c>
      <c r="JT20" s="22">
        <f>'NEW PURCHASE MATERIAL'!O20</f>
        <v>2000</v>
      </c>
      <c r="JU20" s="31">
        <v>12411</v>
      </c>
    </row>
    <row r="21" spans="1:281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T21" s="22">
        <v>6185</v>
      </c>
      <c r="BA21" s="22">
        <v>3000</v>
      </c>
      <c r="CP21" s="22">
        <v>8</v>
      </c>
      <c r="CU21" s="22">
        <v>11900</v>
      </c>
      <c r="DF21" s="22">
        <v>11470</v>
      </c>
      <c r="DG21" s="22">
        <v>6300</v>
      </c>
      <c r="EH21" s="22">
        <v>1480</v>
      </c>
      <c r="EI21" s="22">
        <v>1620</v>
      </c>
      <c r="GP21" s="22">
        <v>219</v>
      </c>
      <c r="IR21" s="22">
        <v>18</v>
      </c>
      <c r="JA21" s="22">
        <v>1800</v>
      </c>
      <c r="JC21" s="22">
        <v>1500</v>
      </c>
      <c r="JD21" s="22">
        <v>3100</v>
      </c>
      <c r="JG21" s="22">
        <v>2400</v>
      </c>
      <c r="JJ21" s="22">
        <v>3170</v>
      </c>
      <c r="JK21" s="22">
        <v>4600</v>
      </c>
      <c r="JL21" s="22">
        <v>1885</v>
      </c>
      <c r="JM21" s="22">
        <v>6330</v>
      </c>
      <c r="JO21" s="22">
        <v>1730</v>
      </c>
      <c r="JP21" s="22">
        <v>3000</v>
      </c>
      <c r="JQ21" s="22">
        <v>2765</v>
      </c>
      <c r="JT21" s="22">
        <f>'NEW PURCHASE MATERIAL'!O21</f>
        <v>0</v>
      </c>
      <c r="JU21" s="31">
        <v>74480</v>
      </c>
    </row>
    <row r="22" spans="1:281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ER22" s="22">
        <v>2</v>
      </c>
      <c r="IR22" s="22" t="s">
        <v>1805</v>
      </c>
      <c r="JT22" s="22">
        <f>'NEW PURCHASE MATERIAL'!O22</f>
        <v>0</v>
      </c>
      <c r="JU22" s="31">
        <v>2</v>
      </c>
    </row>
    <row r="23" spans="1:281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CH23" s="22">
        <v>530</v>
      </c>
      <c r="CI23" s="22">
        <v>234</v>
      </c>
      <c r="ER23" s="22">
        <v>4</v>
      </c>
      <c r="FK23" s="22">
        <v>720</v>
      </c>
      <c r="IR23" s="22" t="s">
        <v>1805</v>
      </c>
      <c r="JB23" s="22">
        <v>90</v>
      </c>
      <c r="JT23" s="22">
        <f>'NEW PURCHASE MATERIAL'!O23</f>
        <v>0</v>
      </c>
      <c r="JU23" s="31">
        <v>1578</v>
      </c>
    </row>
    <row r="24" spans="1:281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AA24" s="22">
        <v>90</v>
      </c>
      <c r="BN24" s="22">
        <v>90</v>
      </c>
      <c r="BO24" s="22">
        <v>90</v>
      </c>
      <c r="BP24" s="22">
        <v>86</v>
      </c>
      <c r="CG24" s="22">
        <v>360</v>
      </c>
      <c r="CI24" s="22">
        <v>93</v>
      </c>
      <c r="ER24" s="22">
        <v>4</v>
      </c>
      <c r="FB24" s="22">
        <v>180</v>
      </c>
      <c r="FJ24" s="22">
        <v>180</v>
      </c>
      <c r="FL24" s="22">
        <v>180</v>
      </c>
      <c r="IN24" s="22">
        <v>135</v>
      </c>
      <c r="IR24" s="22" t="s">
        <v>1805</v>
      </c>
      <c r="IZ24" s="22">
        <v>90</v>
      </c>
      <c r="JT24" s="22">
        <f>'NEW PURCHASE MATERIAL'!O24</f>
        <v>0</v>
      </c>
      <c r="JU24" s="31">
        <v>1578</v>
      </c>
    </row>
    <row r="25" spans="1:281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L25" s="22">
        <v>90</v>
      </c>
      <c r="S25" s="22">
        <v>90</v>
      </c>
      <c r="U25" s="22">
        <v>90</v>
      </c>
      <c r="V25" s="22">
        <v>315</v>
      </c>
      <c r="W25" s="22">
        <v>315</v>
      </c>
      <c r="Y25" s="22">
        <v>90</v>
      </c>
      <c r="AF25" s="22">
        <v>90</v>
      </c>
      <c r="AJ25" s="22">
        <v>630</v>
      </c>
      <c r="AK25" s="22">
        <v>315</v>
      </c>
      <c r="AL25" s="22">
        <v>315</v>
      </c>
      <c r="AM25" s="22">
        <v>300</v>
      </c>
      <c r="AY25" s="22">
        <v>315</v>
      </c>
      <c r="AZ25" s="22">
        <v>315</v>
      </c>
      <c r="BB25" s="22">
        <v>315</v>
      </c>
      <c r="BC25" s="22">
        <v>315</v>
      </c>
      <c r="CF25" s="22">
        <v>24</v>
      </c>
      <c r="DY25" s="22">
        <v>90</v>
      </c>
      <c r="EK25" s="22">
        <v>90</v>
      </c>
      <c r="ER25" s="22">
        <v>132</v>
      </c>
      <c r="EU25" s="22">
        <v>315</v>
      </c>
      <c r="EV25" s="22">
        <v>360</v>
      </c>
      <c r="EW25" s="22">
        <v>315</v>
      </c>
      <c r="EX25" s="22">
        <v>315</v>
      </c>
      <c r="FA25" s="22">
        <v>360</v>
      </c>
      <c r="FC25" s="22">
        <v>360</v>
      </c>
      <c r="FD25" s="22">
        <v>360</v>
      </c>
      <c r="GD25" s="22">
        <v>360</v>
      </c>
      <c r="GE25" s="22">
        <v>120</v>
      </c>
      <c r="GH25" s="22">
        <v>93</v>
      </c>
      <c r="GL25" s="22">
        <v>30</v>
      </c>
      <c r="GP25" s="22">
        <v>111</v>
      </c>
      <c r="IR25" s="22" t="s">
        <v>1805</v>
      </c>
      <c r="JT25" s="22">
        <f>'NEW PURCHASE MATERIAL'!O25</f>
        <v>0</v>
      </c>
      <c r="JU25" s="31">
        <v>7335</v>
      </c>
    </row>
    <row r="26" spans="1:281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Q26" s="22">
        <v>116</v>
      </c>
      <c r="BD26" s="22">
        <v>180</v>
      </c>
      <c r="BF26" s="22">
        <v>177</v>
      </c>
      <c r="BG26" s="22">
        <v>183</v>
      </c>
      <c r="BH26" s="22">
        <v>180</v>
      </c>
      <c r="BN26" s="22">
        <v>180</v>
      </c>
      <c r="BO26" s="22">
        <v>180</v>
      </c>
      <c r="BP26" s="22">
        <v>180</v>
      </c>
      <c r="BS26" s="22">
        <v>180</v>
      </c>
      <c r="BT26" s="22">
        <v>180</v>
      </c>
      <c r="BU26" s="22">
        <v>180</v>
      </c>
      <c r="BV26" s="22">
        <v>195</v>
      </c>
      <c r="BW26" s="22">
        <v>180</v>
      </c>
      <c r="BX26" s="22">
        <v>180</v>
      </c>
      <c r="BY26" s="22">
        <v>157</v>
      </c>
      <c r="BZ26" s="22">
        <v>174</v>
      </c>
      <c r="CA26" s="22">
        <v>174</v>
      </c>
      <c r="CB26" s="22">
        <v>160</v>
      </c>
      <c r="CC26" s="22">
        <v>161</v>
      </c>
      <c r="CE26" s="22">
        <v>180</v>
      </c>
      <c r="CF26" s="22">
        <v>114</v>
      </c>
      <c r="EC26" s="22">
        <v>180</v>
      </c>
      <c r="EE26" s="22">
        <v>150</v>
      </c>
      <c r="FB26" s="22">
        <v>180</v>
      </c>
      <c r="FJ26" s="22">
        <v>180</v>
      </c>
      <c r="FL26" s="22">
        <v>180</v>
      </c>
      <c r="GL26" s="22">
        <v>137</v>
      </c>
      <c r="IR26" s="22" t="s">
        <v>1805</v>
      </c>
      <c r="JT26" s="22">
        <f>'NEW PURCHASE MATERIAL'!O26</f>
        <v>0</v>
      </c>
      <c r="JU26" s="31">
        <v>4598</v>
      </c>
    </row>
    <row r="27" spans="1:281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M27" s="22">
        <v>2567</v>
      </c>
      <c r="T27" s="22">
        <v>4647</v>
      </c>
      <c r="AW27" s="22">
        <v>4446</v>
      </c>
      <c r="BA27" s="22">
        <v>176</v>
      </c>
      <c r="BD27" s="22">
        <v>6575</v>
      </c>
      <c r="BF27" s="22">
        <v>4242</v>
      </c>
      <c r="BG27" s="22">
        <v>4175</v>
      </c>
      <c r="BK27" s="22">
        <v>39</v>
      </c>
      <c r="BM27" s="22">
        <v>3000</v>
      </c>
      <c r="BR27" s="22">
        <v>100</v>
      </c>
      <c r="CF27" s="22">
        <v>24</v>
      </c>
      <c r="CJ27" s="22">
        <v>240</v>
      </c>
      <c r="CU27" s="22">
        <v>192</v>
      </c>
      <c r="DF27" s="22">
        <v>192</v>
      </c>
      <c r="DG27" s="22">
        <v>9360</v>
      </c>
      <c r="EH27" s="22">
        <v>5973</v>
      </c>
      <c r="EI27" s="22">
        <v>2658</v>
      </c>
      <c r="FW27" s="22">
        <v>9193</v>
      </c>
      <c r="GF27" s="22">
        <v>40</v>
      </c>
      <c r="GI27" s="22">
        <v>144</v>
      </c>
      <c r="GJ27" s="22">
        <v>130</v>
      </c>
      <c r="GL27" s="22">
        <v>48</v>
      </c>
      <c r="GO27" s="22">
        <v>144</v>
      </c>
      <c r="GP27" s="22">
        <v>1149</v>
      </c>
      <c r="GQ27" s="22">
        <v>120</v>
      </c>
      <c r="GS27" s="22">
        <v>20</v>
      </c>
      <c r="GT27" s="22">
        <v>1222</v>
      </c>
      <c r="HC27" s="22">
        <v>6209</v>
      </c>
      <c r="IJ27" s="22">
        <v>240</v>
      </c>
      <c r="IK27" s="22">
        <v>224</v>
      </c>
      <c r="IR27" s="22">
        <v>105</v>
      </c>
      <c r="JA27" s="22">
        <v>2398</v>
      </c>
      <c r="JC27" s="22">
        <v>208</v>
      </c>
      <c r="JD27" s="22">
        <v>2689</v>
      </c>
      <c r="JF27" s="22">
        <v>5121</v>
      </c>
      <c r="JG27" s="22">
        <v>150</v>
      </c>
      <c r="JH27" s="22">
        <v>4478</v>
      </c>
      <c r="JI27" s="22">
        <v>2407</v>
      </c>
      <c r="JJ27" s="22">
        <v>8184</v>
      </c>
      <c r="JK27" s="22">
        <v>4856</v>
      </c>
      <c r="JL27" s="22">
        <v>5156</v>
      </c>
      <c r="JM27" s="22">
        <v>6910</v>
      </c>
      <c r="JN27" s="22">
        <v>7016</v>
      </c>
      <c r="JO27" s="22">
        <v>4829</v>
      </c>
      <c r="JP27" s="22">
        <v>6899</v>
      </c>
      <c r="JQ27" s="22">
        <v>6000</v>
      </c>
      <c r="JT27" s="22">
        <f>'NEW PURCHASE MATERIAL'!O27</f>
        <v>0</v>
      </c>
      <c r="JU27" s="31">
        <v>134895</v>
      </c>
    </row>
    <row r="28" spans="1:281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GZ28" s="22">
        <v>2</v>
      </c>
      <c r="IL28" s="22">
        <v>1</v>
      </c>
      <c r="IP28" s="22">
        <v>2</v>
      </c>
      <c r="IR28" s="22" t="s">
        <v>1805</v>
      </c>
      <c r="JT28" s="22">
        <f>'NEW PURCHASE MATERIAL'!O28</f>
        <v>0</v>
      </c>
      <c r="JU28" s="31">
        <v>5</v>
      </c>
    </row>
    <row r="29" spans="1:281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IR29" s="22" t="s">
        <v>1805</v>
      </c>
      <c r="JT29" s="22">
        <f>'NEW PURCHASE MATERIAL'!O29</f>
        <v>0</v>
      </c>
      <c r="JU29" s="31">
        <v>0</v>
      </c>
    </row>
    <row r="30" spans="1:281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EF30" s="22">
        <v>38</v>
      </c>
      <c r="IR30" s="22" t="s">
        <v>1805</v>
      </c>
      <c r="JT30" s="22">
        <f>'NEW PURCHASE MATERIAL'!O30</f>
        <v>0</v>
      </c>
      <c r="JU30" s="31">
        <v>38</v>
      </c>
    </row>
    <row r="31" spans="1:281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IR31" s="22" t="s">
        <v>1805</v>
      </c>
      <c r="JT31" s="22">
        <f>'NEW PURCHASE MATERIAL'!O31</f>
        <v>0</v>
      </c>
      <c r="JU31" s="31">
        <v>0</v>
      </c>
    </row>
    <row r="32" spans="1:281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BR32" s="22">
        <v>4</v>
      </c>
      <c r="CD32" s="22">
        <v>4</v>
      </c>
      <c r="CT32" s="22">
        <v>4</v>
      </c>
      <c r="IR32" s="22" t="s">
        <v>1805</v>
      </c>
      <c r="JT32" s="22">
        <f>'NEW PURCHASE MATERIAL'!O32</f>
        <v>0</v>
      </c>
      <c r="JU32" s="31">
        <v>12</v>
      </c>
    </row>
    <row r="33" spans="1:281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IR33" s="22" t="s">
        <v>1805</v>
      </c>
      <c r="JT33" s="22">
        <f>'NEW PURCHASE MATERIAL'!O33</f>
        <v>0</v>
      </c>
      <c r="JU33" s="31">
        <v>0</v>
      </c>
    </row>
    <row r="34" spans="1:281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IR34" s="22" t="s">
        <v>1805</v>
      </c>
      <c r="JT34" s="22">
        <f>'NEW PURCHASE MATERIAL'!O34</f>
        <v>0</v>
      </c>
      <c r="JU34" s="31">
        <v>0</v>
      </c>
    </row>
    <row r="35" spans="1:281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IR35" s="22" t="s">
        <v>1805</v>
      </c>
      <c r="JT35" s="22">
        <f>'NEW PURCHASE MATERIAL'!O35</f>
        <v>0</v>
      </c>
      <c r="JU35" s="31">
        <v>0</v>
      </c>
    </row>
    <row r="36" spans="1:281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IR36" s="22" t="s">
        <v>1805</v>
      </c>
      <c r="JT36" s="22">
        <f>'NEW PURCHASE MATERIAL'!O36</f>
        <v>0</v>
      </c>
      <c r="JU36" s="31">
        <v>0</v>
      </c>
    </row>
    <row r="37" spans="1:281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GU37" s="22">
        <v>30</v>
      </c>
      <c r="IR37" s="22" t="s">
        <v>1805</v>
      </c>
      <c r="JT37" s="22">
        <f>'NEW PURCHASE MATERIAL'!O37</f>
        <v>0</v>
      </c>
      <c r="JU37" s="31">
        <v>30</v>
      </c>
    </row>
    <row r="38" spans="1:281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GU38" s="22">
        <v>168</v>
      </c>
      <c r="IR38" s="22" t="s">
        <v>1805</v>
      </c>
      <c r="JT38" s="22">
        <f>'NEW PURCHASE MATERIAL'!O38</f>
        <v>0</v>
      </c>
      <c r="JU38" s="31">
        <v>168</v>
      </c>
    </row>
    <row r="39" spans="1:281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GU39" s="22">
        <v>300</v>
      </c>
      <c r="IR39" s="22" t="s">
        <v>1805</v>
      </c>
      <c r="JT39" s="22">
        <f>'NEW PURCHASE MATERIAL'!O39</f>
        <v>0</v>
      </c>
      <c r="JU39" s="31">
        <v>300</v>
      </c>
    </row>
    <row r="40" spans="1:281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IR40" s="22" t="s">
        <v>1805</v>
      </c>
      <c r="JT40" s="22">
        <f>'NEW PURCHASE MATERIAL'!O40</f>
        <v>0</v>
      </c>
      <c r="JU40" s="31">
        <v>0</v>
      </c>
    </row>
    <row r="41" spans="1:281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GU41" s="22">
        <v>27</v>
      </c>
      <c r="IR41" s="22" t="s">
        <v>1805</v>
      </c>
      <c r="JT41" s="22">
        <f>'NEW PURCHASE MATERIAL'!O41</f>
        <v>0</v>
      </c>
      <c r="JU41" s="31">
        <v>27</v>
      </c>
    </row>
    <row r="42" spans="1:281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IR42" s="22" t="s">
        <v>1805</v>
      </c>
      <c r="JT42" s="22">
        <f>'NEW PURCHASE MATERIAL'!O42</f>
        <v>0</v>
      </c>
      <c r="JU42" s="31">
        <v>0</v>
      </c>
    </row>
    <row r="43" spans="1:281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GT43" s="22">
        <v>40</v>
      </c>
      <c r="IR43" s="22" t="s">
        <v>1805</v>
      </c>
      <c r="JT43" s="22">
        <f>'NEW PURCHASE MATERIAL'!O43</f>
        <v>0</v>
      </c>
      <c r="JU43" s="31">
        <v>40</v>
      </c>
    </row>
    <row r="44" spans="1:281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IR44" s="22" t="s">
        <v>1805</v>
      </c>
      <c r="JT44" s="22">
        <f>'NEW PURCHASE MATERIAL'!O44</f>
        <v>0</v>
      </c>
      <c r="JU44" s="31">
        <v>0</v>
      </c>
    </row>
    <row r="45" spans="1:281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IR45" s="22" t="s">
        <v>1805</v>
      </c>
      <c r="JT45" s="22">
        <f>'NEW PURCHASE MATERIAL'!O45</f>
        <v>0</v>
      </c>
      <c r="JU45" s="31">
        <v>0</v>
      </c>
    </row>
    <row r="46" spans="1:281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IR46" s="22" t="s">
        <v>1805</v>
      </c>
      <c r="JT46" s="22">
        <f>'NEW PURCHASE MATERIAL'!O46</f>
        <v>0</v>
      </c>
      <c r="JU46" s="31">
        <v>0</v>
      </c>
    </row>
    <row r="47" spans="1:281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IR47" s="22" t="s">
        <v>1805</v>
      </c>
      <c r="JT47" s="22">
        <f>'NEW PURCHASE MATERIAL'!O47</f>
        <v>0</v>
      </c>
      <c r="JU47" s="31">
        <v>0</v>
      </c>
    </row>
    <row r="48" spans="1:281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IR48" s="22" t="s">
        <v>1805</v>
      </c>
      <c r="JT48" s="22">
        <f>'NEW PURCHASE MATERIAL'!O48</f>
        <v>0</v>
      </c>
      <c r="JU48" s="31">
        <v>0</v>
      </c>
    </row>
    <row r="49" spans="1:281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IR49" s="22" t="s">
        <v>1805</v>
      </c>
      <c r="JT49" s="22">
        <f>'NEW PURCHASE MATERIAL'!O49</f>
        <v>0</v>
      </c>
      <c r="JU49" s="31">
        <v>0</v>
      </c>
    </row>
    <row r="50" spans="1:281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IR50" s="22" t="s">
        <v>1805</v>
      </c>
      <c r="JT50" s="22">
        <f>'NEW PURCHASE MATERIAL'!O50</f>
        <v>0</v>
      </c>
      <c r="JU50" s="31">
        <v>0</v>
      </c>
    </row>
    <row r="51" spans="1:281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IR51" s="22" t="s">
        <v>1805</v>
      </c>
      <c r="JT51" s="22">
        <f>'NEW PURCHASE MATERIAL'!O51</f>
        <v>0</v>
      </c>
      <c r="JU51" s="31">
        <v>0</v>
      </c>
    </row>
    <row r="52" spans="1:281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IR52" s="22" t="s">
        <v>1805</v>
      </c>
      <c r="JT52" s="22">
        <f>'NEW PURCHASE MATERIAL'!O52</f>
        <v>0</v>
      </c>
      <c r="JU52" s="31">
        <v>0</v>
      </c>
    </row>
    <row r="53" spans="1:281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IR53" s="22" t="s">
        <v>1805</v>
      </c>
      <c r="JT53" s="22">
        <f>'NEW PURCHASE MATERIAL'!O53</f>
        <v>0</v>
      </c>
      <c r="JU53" s="31">
        <v>0</v>
      </c>
    </row>
    <row r="54" spans="1:281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M54" s="22">
        <v>3100</v>
      </c>
      <c r="AP54" s="22">
        <v>2000</v>
      </c>
      <c r="AU54" s="22">
        <v>15400</v>
      </c>
      <c r="BQ54" s="22">
        <v>50</v>
      </c>
      <c r="CP54" s="22">
        <v>8</v>
      </c>
      <c r="DG54" s="22">
        <v>3142</v>
      </c>
      <c r="EI54" s="22">
        <v>4300</v>
      </c>
      <c r="FG54" s="22">
        <v>8</v>
      </c>
      <c r="FQ54" s="22">
        <v>4</v>
      </c>
      <c r="GS54" s="22">
        <v>1600</v>
      </c>
      <c r="GT54" s="22">
        <v>509</v>
      </c>
      <c r="IR54" s="22" t="s">
        <v>1805</v>
      </c>
      <c r="IY54" s="22">
        <v>2900</v>
      </c>
      <c r="JD54" s="22">
        <v>1950</v>
      </c>
      <c r="JE54" s="22">
        <v>7200</v>
      </c>
      <c r="JF54" s="22">
        <v>4600</v>
      </c>
      <c r="JG54" s="22">
        <v>3500</v>
      </c>
      <c r="JN54" s="22">
        <v>3266</v>
      </c>
      <c r="JQ54" s="22">
        <v>1500</v>
      </c>
      <c r="JT54" s="22">
        <f>'NEW PURCHASE MATERIAL'!O54</f>
        <v>0</v>
      </c>
      <c r="JU54" s="31">
        <v>55037</v>
      </c>
    </row>
    <row r="55" spans="1:281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FQ55" s="22" t="s">
        <v>10</v>
      </c>
      <c r="IR55" s="22" t="s">
        <v>1805</v>
      </c>
      <c r="JT55" s="22">
        <f>'NEW PURCHASE MATERIAL'!O55</f>
        <v>0</v>
      </c>
      <c r="JU55" s="31">
        <v>0</v>
      </c>
    </row>
    <row r="56" spans="1:281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IR56" s="22" t="s">
        <v>1805</v>
      </c>
      <c r="JT56" s="22">
        <f>'NEW PURCHASE MATERIAL'!O56</f>
        <v>0</v>
      </c>
      <c r="JU56" s="31">
        <v>0</v>
      </c>
    </row>
    <row r="57" spans="1:281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IR57" s="22" t="s">
        <v>1805</v>
      </c>
      <c r="JT57" s="22">
        <f>'NEW PURCHASE MATERIAL'!O57</f>
        <v>0</v>
      </c>
      <c r="JU57" s="31">
        <v>0</v>
      </c>
    </row>
    <row r="58" spans="1:281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IR58" s="22" t="s">
        <v>1805</v>
      </c>
      <c r="JT58" s="22">
        <f>'NEW PURCHASE MATERIAL'!O58</f>
        <v>0</v>
      </c>
      <c r="JU58" s="31">
        <v>0</v>
      </c>
    </row>
    <row r="59" spans="1:281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IR59" s="22" t="s">
        <v>1805</v>
      </c>
      <c r="JT59" s="22">
        <f>'NEW PURCHASE MATERIAL'!O59</f>
        <v>0</v>
      </c>
      <c r="JU59" s="31">
        <v>0</v>
      </c>
    </row>
    <row r="60" spans="1:281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IR60" s="22" t="s">
        <v>1805</v>
      </c>
      <c r="JT60" s="22">
        <f>'NEW PURCHASE MATERIAL'!O60</f>
        <v>0</v>
      </c>
      <c r="JU60" s="31">
        <v>0</v>
      </c>
    </row>
    <row r="61" spans="1:281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IR61" s="22" t="s">
        <v>1805</v>
      </c>
      <c r="JT61" s="22">
        <f>'NEW PURCHASE MATERIAL'!O61</f>
        <v>0</v>
      </c>
      <c r="JU61" s="31">
        <v>0</v>
      </c>
    </row>
    <row r="62" spans="1:281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IR62" s="22" t="s">
        <v>1805</v>
      </c>
      <c r="JT62" s="22">
        <f>'NEW PURCHASE MATERIAL'!O62</f>
        <v>0</v>
      </c>
      <c r="JU62" s="31">
        <v>0</v>
      </c>
    </row>
    <row r="63" spans="1:281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GI63" s="22">
        <v>14</v>
      </c>
      <c r="GM63" s="22">
        <v>6</v>
      </c>
      <c r="IR63" s="22" t="s">
        <v>1805</v>
      </c>
      <c r="JT63" s="22">
        <f>'NEW PURCHASE MATERIAL'!O63</f>
        <v>0</v>
      </c>
      <c r="JU63" s="31">
        <v>20</v>
      </c>
    </row>
    <row r="64" spans="1:281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GL64" s="22">
        <v>14</v>
      </c>
      <c r="GM64" s="22">
        <v>6</v>
      </c>
      <c r="IR64" s="22" t="s">
        <v>1805</v>
      </c>
      <c r="JT64" s="22">
        <f>'NEW PURCHASE MATERIAL'!O64</f>
        <v>0</v>
      </c>
      <c r="JU64" s="31">
        <v>20</v>
      </c>
    </row>
    <row r="65" spans="1:281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GI65" s="22">
        <v>14</v>
      </c>
      <c r="GM65" s="22">
        <v>28</v>
      </c>
      <c r="IR65" s="22" t="s">
        <v>1805</v>
      </c>
      <c r="JT65" s="22">
        <f>'NEW PURCHASE MATERIAL'!O65</f>
        <v>0</v>
      </c>
      <c r="JU65" s="31">
        <v>42</v>
      </c>
    </row>
    <row r="66" spans="1:281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GM66" s="22">
        <v>42</v>
      </c>
      <c r="IR66" s="22" t="s">
        <v>1805</v>
      </c>
      <c r="JT66" s="22">
        <f>'NEW PURCHASE MATERIAL'!O66</f>
        <v>0</v>
      </c>
      <c r="JU66" s="31">
        <v>42</v>
      </c>
    </row>
    <row r="67" spans="1:281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J67" s="22">
        <v>1200</v>
      </c>
      <c r="X67" s="22">
        <v>400</v>
      </c>
      <c r="BQ67" s="22">
        <v>10</v>
      </c>
      <c r="EJ67" s="22">
        <v>3150</v>
      </c>
      <c r="EN67" s="22">
        <v>9</v>
      </c>
      <c r="FN67" s="22">
        <v>196</v>
      </c>
      <c r="FP67" s="22">
        <f>197-15</f>
        <v>182</v>
      </c>
      <c r="FV67" s="22">
        <v>3850</v>
      </c>
      <c r="GF67" s="22">
        <v>12</v>
      </c>
      <c r="IK67" s="22">
        <v>24</v>
      </c>
      <c r="IR67" s="22" t="s">
        <v>1805</v>
      </c>
      <c r="JT67" s="22">
        <f>'NEW PURCHASE MATERIAL'!O67</f>
        <v>0</v>
      </c>
      <c r="JU67" s="31">
        <v>9033</v>
      </c>
    </row>
    <row r="68" spans="1:281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BA68" s="22">
        <v>32</v>
      </c>
      <c r="CF68" s="22">
        <v>8</v>
      </c>
      <c r="CJ68" s="22">
        <v>60</v>
      </c>
      <c r="CU68" s="22">
        <v>48</v>
      </c>
      <c r="DF68" s="22">
        <v>38</v>
      </c>
      <c r="DG68" s="22">
        <v>42</v>
      </c>
      <c r="FP68" s="22">
        <v>32</v>
      </c>
      <c r="GJ68" s="22">
        <v>12</v>
      </c>
      <c r="GL68" s="22">
        <v>6</v>
      </c>
      <c r="GO68" s="22">
        <v>6</v>
      </c>
      <c r="GQ68" s="22">
        <v>20</v>
      </c>
      <c r="GT68" s="22">
        <v>6</v>
      </c>
      <c r="HC68" s="22">
        <v>60</v>
      </c>
      <c r="IJ68" s="22">
        <v>18</v>
      </c>
      <c r="IK68" s="22">
        <v>6</v>
      </c>
      <c r="IR68" s="22" t="s">
        <v>1805</v>
      </c>
      <c r="JN68" s="22">
        <v>6</v>
      </c>
      <c r="JT68" s="22">
        <f>'NEW PURCHASE MATERIAL'!O68</f>
        <v>0</v>
      </c>
      <c r="JU68" s="31">
        <v>400</v>
      </c>
    </row>
    <row r="69" spans="1:281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M69" s="22">
        <v>186</v>
      </c>
      <c r="T69" s="22">
        <v>133</v>
      </c>
      <c r="AW69" s="22">
        <v>38</v>
      </c>
      <c r="BA69" s="22">
        <v>132</v>
      </c>
      <c r="BD69" s="22">
        <v>76</v>
      </c>
      <c r="BF69" s="22">
        <v>38</v>
      </c>
      <c r="BG69" s="22">
        <v>38</v>
      </c>
      <c r="BK69" s="22">
        <v>38</v>
      </c>
      <c r="BQ69" s="22">
        <v>10</v>
      </c>
      <c r="CF69" s="22">
        <v>14</v>
      </c>
      <c r="CJ69" s="22">
        <v>130</v>
      </c>
      <c r="CU69" s="22">
        <v>104</v>
      </c>
      <c r="DF69" s="22">
        <v>113</v>
      </c>
      <c r="DG69" s="22">
        <v>65</v>
      </c>
      <c r="EH69" s="22">
        <v>110</v>
      </c>
      <c r="EI69" s="22">
        <v>131</v>
      </c>
      <c r="EN69" s="22">
        <v>12</v>
      </c>
      <c r="FP69" s="22">
        <f>165-42</f>
        <v>123</v>
      </c>
      <c r="FS69" s="22">
        <v>700</v>
      </c>
      <c r="FW69" s="22">
        <v>137</v>
      </c>
      <c r="GI69" s="22">
        <v>36</v>
      </c>
      <c r="GJ69" s="22">
        <v>50</v>
      </c>
      <c r="GL69" s="22">
        <v>32</v>
      </c>
      <c r="GO69" s="22">
        <v>30</v>
      </c>
      <c r="GQ69" s="22">
        <v>52</v>
      </c>
      <c r="GT69" s="22">
        <v>22</v>
      </c>
      <c r="HC69" s="22">
        <v>149</v>
      </c>
      <c r="IJ69" s="22">
        <v>107</v>
      </c>
      <c r="IK69" s="22">
        <v>43</v>
      </c>
      <c r="IR69" s="22" t="s">
        <v>1805</v>
      </c>
      <c r="JA69" s="22">
        <v>150</v>
      </c>
      <c r="JC69" s="22">
        <v>152</v>
      </c>
      <c r="JD69" s="22">
        <v>76</v>
      </c>
      <c r="JF69" s="22">
        <v>95</v>
      </c>
      <c r="JG69" s="22">
        <v>114</v>
      </c>
      <c r="JH69" s="22">
        <v>192</v>
      </c>
      <c r="JI69" s="22">
        <v>132</v>
      </c>
      <c r="JJ69" s="22">
        <v>114</v>
      </c>
      <c r="JK69" s="22">
        <v>149</v>
      </c>
      <c r="JL69" s="22">
        <v>190</v>
      </c>
      <c r="JM69" s="22">
        <v>132</v>
      </c>
      <c r="JN69" s="22">
        <v>145</v>
      </c>
      <c r="JO69" s="22">
        <v>78</v>
      </c>
      <c r="JP69" s="22">
        <v>189</v>
      </c>
      <c r="JT69" s="22">
        <f>'NEW PURCHASE MATERIAL'!O69</f>
        <v>0</v>
      </c>
      <c r="JU69" s="31">
        <v>4757</v>
      </c>
    </row>
    <row r="70" spans="1:281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G70" s="22">
        <v>900</v>
      </c>
      <c r="AN70" s="22">
        <v>1050</v>
      </c>
      <c r="AW70" s="22">
        <v>50</v>
      </c>
      <c r="BE70" s="22">
        <v>1050</v>
      </c>
      <c r="BQ70" s="22">
        <v>20</v>
      </c>
      <c r="DG70" s="22">
        <v>13</v>
      </c>
      <c r="DW70" s="22">
        <v>1050</v>
      </c>
      <c r="EH70" s="22">
        <v>14</v>
      </c>
      <c r="EN70" s="22">
        <v>3</v>
      </c>
      <c r="FP70" s="22">
        <f>200-49</f>
        <v>151</v>
      </c>
      <c r="FS70" s="22">
        <v>700</v>
      </c>
      <c r="FT70" s="22">
        <v>1750</v>
      </c>
      <c r="FW70" s="22">
        <v>10</v>
      </c>
      <c r="FY70" s="22">
        <v>1050</v>
      </c>
      <c r="GF70" s="22">
        <v>22</v>
      </c>
      <c r="GI70" s="22">
        <v>78</v>
      </c>
      <c r="GJ70" s="22">
        <v>48</v>
      </c>
      <c r="GO70" s="22">
        <v>78</v>
      </c>
      <c r="GQ70" s="22">
        <v>26</v>
      </c>
      <c r="GU70" s="22">
        <v>9</v>
      </c>
      <c r="IJ70" s="22">
        <v>65</v>
      </c>
      <c r="IK70" s="22">
        <v>109</v>
      </c>
      <c r="IR70" s="22" t="s">
        <v>1805</v>
      </c>
      <c r="JA70" s="22">
        <v>1</v>
      </c>
      <c r="JH70" s="22">
        <v>6</v>
      </c>
      <c r="JI70" s="22">
        <v>5</v>
      </c>
      <c r="JJ70" s="22">
        <v>10</v>
      </c>
      <c r="JO70" s="22">
        <v>4</v>
      </c>
      <c r="JT70" s="22">
        <f>'NEW PURCHASE MATERIAL'!O70</f>
        <v>0</v>
      </c>
      <c r="JU70" s="31">
        <v>8272</v>
      </c>
    </row>
    <row r="71" spans="1:281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AW71" s="22">
        <v>1300</v>
      </c>
      <c r="DV71" s="22">
        <v>4</v>
      </c>
      <c r="FN71" s="22">
        <v>100</v>
      </c>
      <c r="FP71" s="22">
        <v>200</v>
      </c>
      <c r="FS71" s="22">
        <v>700</v>
      </c>
      <c r="GU71" s="22">
        <v>1</v>
      </c>
      <c r="IR71" s="22" t="s">
        <v>1805</v>
      </c>
      <c r="JT71" s="22">
        <f>'NEW PURCHASE MATERIAL'!O71</f>
        <v>0</v>
      </c>
      <c r="JU71" s="31">
        <v>2305</v>
      </c>
    </row>
    <row r="72" spans="1:281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F72" s="22">
        <v>1400</v>
      </c>
      <c r="K72" s="22">
        <v>1400</v>
      </c>
      <c r="P72" s="22">
        <v>1400</v>
      </c>
      <c r="AG72" s="22">
        <v>1400</v>
      </c>
      <c r="AH72" s="22">
        <v>1400</v>
      </c>
      <c r="AI72" s="22">
        <v>1400</v>
      </c>
      <c r="AQ72" s="22">
        <v>1325</v>
      </c>
      <c r="AR72" s="22">
        <v>1400</v>
      </c>
      <c r="AS72" s="22">
        <v>1400</v>
      </c>
      <c r="AT72" s="22">
        <v>1400</v>
      </c>
      <c r="AV72" s="22">
        <v>1400</v>
      </c>
      <c r="AX72" s="22">
        <v>1400</v>
      </c>
      <c r="BE72" s="22">
        <v>700</v>
      </c>
      <c r="BK72" s="22">
        <v>232</v>
      </c>
      <c r="BQ72" s="22">
        <v>75</v>
      </c>
      <c r="DW72" s="22">
        <v>700</v>
      </c>
      <c r="DX72" s="22">
        <v>1400</v>
      </c>
      <c r="EM72" s="22">
        <v>1200</v>
      </c>
      <c r="EN72" s="22">
        <v>1189</v>
      </c>
      <c r="EP72" s="22">
        <v>600</v>
      </c>
      <c r="EY72" s="22">
        <v>1400</v>
      </c>
      <c r="EZ72" s="22">
        <v>1400</v>
      </c>
      <c r="FE72" s="22">
        <v>1400</v>
      </c>
      <c r="FH72" s="22">
        <v>1400</v>
      </c>
      <c r="FI72" s="22">
        <v>1400</v>
      </c>
      <c r="FN72" s="22">
        <v>1100</v>
      </c>
      <c r="FP72" s="22">
        <v>800</v>
      </c>
      <c r="FU72" s="22">
        <v>1400</v>
      </c>
      <c r="FY72" s="22">
        <v>700</v>
      </c>
      <c r="FZ72" s="22">
        <v>1400</v>
      </c>
      <c r="GA72" s="22">
        <v>1400</v>
      </c>
      <c r="GB72" s="22">
        <v>1400</v>
      </c>
      <c r="GC72" s="22">
        <v>1400</v>
      </c>
      <c r="GE72" s="22">
        <v>800</v>
      </c>
      <c r="GG72" s="22">
        <v>1000</v>
      </c>
      <c r="GH72" s="22">
        <v>800</v>
      </c>
      <c r="GK72" s="22">
        <v>1400</v>
      </c>
      <c r="GN72" s="22">
        <v>1400</v>
      </c>
      <c r="GR72" s="22">
        <v>386</v>
      </c>
      <c r="GS72" s="22">
        <v>200</v>
      </c>
      <c r="GU72" s="22">
        <v>96</v>
      </c>
      <c r="GV72" s="22">
        <v>1600</v>
      </c>
      <c r="GW72" s="22">
        <v>1200</v>
      </c>
      <c r="GX72" s="22">
        <v>800</v>
      </c>
      <c r="HD72" s="22">
        <v>602</v>
      </c>
      <c r="HE72" s="22">
        <v>800</v>
      </c>
      <c r="HF72" s="22">
        <v>817</v>
      </c>
      <c r="HG72" s="22">
        <v>1400</v>
      </c>
      <c r="HH72" s="22">
        <v>800</v>
      </c>
      <c r="HL72" s="22">
        <v>1400</v>
      </c>
      <c r="HO72" s="22">
        <v>800</v>
      </c>
      <c r="HP72" s="22">
        <v>800</v>
      </c>
      <c r="HU72" s="22">
        <v>1600</v>
      </c>
      <c r="IA72" s="22">
        <v>1600</v>
      </c>
      <c r="IB72" s="22">
        <v>1600</v>
      </c>
      <c r="IC72" s="22">
        <v>1300</v>
      </c>
      <c r="IR72" s="22" t="s">
        <v>1805</v>
      </c>
      <c r="IV72" s="22">
        <v>1400</v>
      </c>
      <c r="IX72" s="22">
        <v>1400</v>
      </c>
      <c r="JT72" s="22">
        <f>'NEW PURCHASE MATERIAL'!O72</f>
        <v>0</v>
      </c>
      <c r="JU72" s="31">
        <v>65422</v>
      </c>
    </row>
    <row r="73" spans="1:281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IR73" s="22" t="s">
        <v>1805</v>
      </c>
      <c r="JT73" s="22">
        <f>'NEW PURCHASE MATERIAL'!O73</f>
        <v>0</v>
      </c>
      <c r="JU73" s="31">
        <v>0</v>
      </c>
    </row>
    <row r="74" spans="1:281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FO74" s="22">
        <f>117-117</f>
        <v>0</v>
      </c>
      <c r="GU74" s="22">
        <v>5</v>
      </c>
      <c r="IR74" s="22" t="s">
        <v>1805</v>
      </c>
      <c r="JT74" s="22">
        <f>'NEW PURCHASE MATERIAL'!O74</f>
        <v>0</v>
      </c>
      <c r="JU74" s="31">
        <v>5</v>
      </c>
    </row>
    <row r="75" spans="1:281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IR75" s="22" t="s">
        <v>1805</v>
      </c>
      <c r="JT75" s="22">
        <f>'NEW PURCHASE MATERIAL'!O75</f>
        <v>0</v>
      </c>
      <c r="JU75" s="31">
        <v>0</v>
      </c>
    </row>
    <row r="76" spans="1:281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GR76" s="22">
        <v>415</v>
      </c>
      <c r="IR76" s="22" t="s">
        <v>1805</v>
      </c>
      <c r="JT76" s="22">
        <f>'NEW PURCHASE MATERIAL'!O76</f>
        <v>0</v>
      </c>
      <c r="JU76" s="31">
        <v>415</v>
      </c>
    </row>
    <row r="77" spans="1:281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IR77" s="22" t="s">
        <v>1805</v>
      </c>
      <c r="JT77" s="22">
        <f>'NEW PURCHASE MATERIAL'!O77</f>
        <v>0</v>
      </c>
      <c r="JU77" s="31">
        <v>0</v>
      </c>
    </row>
    <row r="78" spans="1:281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EL78" s="22">
        <v>8</v>
      </c>
      <c r="FQ78" s="22">
        <v>4</v>
      </c>
      <c r="HB78" s="22">
        <v>2</v>
      </c>
      <c r="IR78" s="22" t="s">
        <v>1805</v>
      </c>
      <c r="JT78" s="22">
        <f>'NEW PURCHASE MATERIAL'!O78</f>
        <v>0</v>
      </c>
      <c r="JU78" s="31">
        <v>14</v>
      </c>
    </row>
    <row r="79" spans="1:281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ED79" s="22">
        <v>300</v>
      </c>
      <c r="EO79" s="22">
        <v>11</v>
      </c>
      <c r="ER79" s="22">
        <v>2</v>
      </c>
      <c r="FG79" s="22">
        <v>315</v>
      </c>
      <c r="IR79" s="22" t="s">
        <v>1805</v>
      </c>
      <c r="JT79" s="22">
        <f>'NEW PURCHASE MATERIAL'!O79</f>
        <v>500</v>
      </c>
      <c r="JU79" s="31">
        <v>1128</v>
      </c>
    </row>
    <row r="80" spans="1:281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BM80" s="22">
        <v>55</v>
      </c>
      <c r="ED80" s="22">
        <v>4</v>
      </c>
      <c r="EL80" s="22">
        <v>532</v>
      </c>
      <c r="EO80" s="22">
        <v>3</v>
      </c>
      <c r="ER80" s="22">
        <v>17</v>
      </c>
      <c r="FG80" s="22">
        <v>750</v>
      </c>
      <c r="FO80" s="22">
        <v>684</v>
      </c>
      <c r="FQ80" s="22">
        <v>130</v>
      </c>
      <c r="FX80" s="22">
        <v>676</v>
      </c>
      <c r="HB80" s="22">
        <v>277</v>
      </c>
      <c r="IR80" s="22">
        <v>135</v>
      </c>
      <c r="JT80" s="22">
        <f>'NEW PURCHASE MATERIAL'!O80</f>
        <v>0</v>
      </c>
      <c r="JU80" s="31">
        <v>3263</v>
      </c>
    </row>
    <row r="81" spans="1:281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BL81" s="22">
        <v>394</v>
      </c>
      <c r="EF81" s="22">
        <v>54</v>
      </c>
      <c r="EL81" s="22">
        <v>4</v>
      </c>
      <c r="EO81" s="22">
        <v>24</v>
      </c>
      <c r="ER81" s="22">
        <v>22</v>
      </c>
      <c r="FG81" s="22">
        <v>18</v>
      </c>
      <c r="FO81" s="22">
        <v>4</v>
      </c>
      <c r="FQ81" s="22">
        <v>110</v>
      </c>
      <c r="FX81" s="22">
        <v>200</v>
      </c>
      <c r="HA81" s="22">
        <v>52</v>
      </c>
      <c r="HB81" s="22">
        <v>7</v>
      </c>
      <c r="IR81" s="22">
        <v>109</v>
      </c>
      <c r="JT81" s="22">
        <f>'NEW PURCHASE MATERIAL'!O81</f>
        <v>0</v>
      </c>
      <c r="JU81" s="31">
        <v>998</v>
      </c>
    </row>
    <row r="82" spans="1:281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EF82" s="22">
        <v>41</v>
      </c>
      <c r="EO82" s="22">
        <v>15</v>
      </c>
      <c r="ER82" s="22">
        <v>3</v>
      </c>
      <c r="FG82" s="22">
        <v>6</v>
      </c>
      <c r="FQ82" s="22">
        <v>40</v>
      </c>
      <c r="FX82" s="22">
        <v>62</v>
      </c>
      <c r="HA82" s="22">
        <v>12</v>
      </c>
      <c r="HB82" s="22">
        <v>2</v>
      </c>
      <c r="IR82" s="22">
        <v>11</v>
      </c>
      <c r="JT82" s="22">
        <f>'NEW PURCHASE MATERIAL'!O82</f>
        <v>1200</v>
      </c>
      <c r="JU82" s="31">
        <v>1392</v>
      </c>
    </row>
    <row r="83" spans="1:281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AP83" s="22">
        <v>144</v>
      </c>
      <c r="BL83" s="22">
        <v>2</v>
      </c>
      <c r="EF83" s="22">
        <v>3</v>
      </c>
      <c r="EL83" s="22">
        <v>442</v>
      </c>
      <c r="FG83" s="22">
        <v>26</v>
      </c>
      <c r="FQ83" s="22">
        <v>116</v>
      </c>
      <c r="FX83" s="22">
        <v>123</v>
      </c>
      <c r="HA83" s="22">
        <v>18</v>
      </c>
      <c r="HB83" s="22">
        <v>8</v>
      </c>
      <c r="IR83" s="22">
        <v>41</v>
      </c>
      <c r="JT83" s="22">
        <f>'NEW PURCHASE MATERIAL'!O83</f>
        <v>0</v>
      </c>
      <c r="JU83" s="31">
        <v>923</v>
      </c>
    </row>
    <row r="84" spans="1:281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AP84" s="22">
        <v>93</v>
      </c>
      <c r="BL84" s="22">
        <v>68</v>
      </c>
      <c r="ED84" s="22">
        <v>958</v>
      </c>
      <c r="EF84" s="22">
        <v>126</v>
      </c>
      <c r="EL84" s="22">
        <v>7</v>
      </c>
      <c r="ER84" s="22">
        <v>38</v>
      </c>
      <c r="FG84" s="22">
        <v>214</v>
      </c>
      <c r="HA84" s="22">
        <v>119</v>
      </c>
      <c r="IR84" s="22" t="s">
        <v>1805</v>
      </c>
      <c r="JT84" s="22">
        <f>'NEW PURCHASE MATERIAL'!O84</f>
        <v>0</v>
      </c>
      <c r="JU84" s="31">
        <v>1623</v>
      </c>
    </row>
    <row r="85" spans="1:281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AP85" s="22">
        <v>38</v>
      </c>
      <c r="BL85" s="22">
        <v>124</v>
      </c>
      <c r="EF85" s="22">
        <v>97</v>
      </c>
      <c r="EL85" s="22">
        <v>438</v>
      </c>
      <c r="ER85" s="22">
        <v>29</v>
      </c>
      <c r="FG85" s="22">
        <v>230</v>
      </c>
      <c r="FO85" s="22">
        <v>27</v>
      </c>
      <c r="FQ85" s="22">
        <v>151</v>
      </c>
      <c r="FX85" s="22">
        <v>116</v>
      </c>
      <c r="HA85" s="22">
        <v>128</v>
      </c>
      <c r="IR85" s="22" t="s">
        <v>1805</v>
      </c>
      <c r="JT85" s="22">
        <f>'NEW PURCHASE MATERIAL'!O85</f>
        <v>2000</v>
      </c>
      <c r="JU85" s="31">
        <v>3378</v>
      </c>
    </row>
    <row r="86" spans="1:281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BM86" s="22">
        <v>38</v>
      </c>
      <c r="ED86" s="22">
        <v>4</v>
      </c>
      <c r="ES86" s="22">
        <v>3</v>
      </c>
      <c r="FG86" s="22">
        <v>172</v>
      </c>
      <c r="FO86" s="22">
        <v>261</v>
      </c>
      <c r="FQ86" s="22">
        <v>29</v>
      </c>
      <c r="HA86" s="22">
        <v>78</v>
      </c>
      <c r="IR86" s="22" t="s">
        <v>1805</v>
      </c>
      <c r="JT86" s="22">
        <f>'NEW PURCHASE MATERIAL'!O86</f>
        <v>0</v>
      </c>
      <c r="JU86" s="31">
        <v>585</v>
      </c>
    </row>
    <row r="87" spans="1:281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AN87" s="22">
        <v>771</v>
      </c>
      <c r="AO87" s="22">
        <v>1239</v>
      </c>
      <c r="BL87" s="22">
        <v>277</v>
      </c>
      <c r="BM87" s="22">
        <v>148</v>
      </c>
      <c r="EF87" s="22">
        <v>748</v>
      </c>
      <c r="EL87" s="22">
        <v>906</v>
      </c>
      <c r="ER87" s="22">
        <v>35</v>
      </c>
      <c r="FF87" s="22">
        <v>506</v>
      </c>
      <c r="FG87" s="22">
        <v>303</v>
      </c>
      <c r="FO87" s="22">
        <v>300</v>
      </c>
      <c r="FQ87" s="22">
        <v>307</v>
      </c>
      <c r="FX87" s="22">
        <v>780</v>
      </c>
      <c r="HA87" s="22">
        <v>230</v>
      </c>
      <c r="HB87" s="22">
        <v>1271</v>
      </c>
      <c r="IR87" s="22" t="s">
        <v>1805</v>
      </c>
      <c r="JT87" s="22">
        <f>'NEW PURCHASE MATERIAL'!O87</f>
        <v>2500</v>
      </c>
      <c r="JU87" s="31">
        <v>10321</v>
      </c>
    </row>
    <row r="88" spans="1:281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BM88" s="22">
        <v>42</v>
      </c>
      <c r="ED88" s="22">
        <v>197</v>
      </c>
      <c r="ES88" s="22">
        <v>1</v>
      </c>
      <c r="FQ88" s="22">
        <v>2</v>
      </c>
      <c r="IR88" s="22" t="s">
        <v>1805</v>
      </c>
      <c r="JT88" s="22">
        <f>'NEW PURCHASE MATERIAL'!O88</f>
        <v>0</v>
      </c>
      <c r="JU88" s="31">
        <v>242</v>
      </c>
    </row>
    <row r="89" spans="1:281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IR89" s="22" t="s">
        <v>1805</v>
      </c>
      <c r="JT89" s="22">
        <f>'NEW PURCHASE MATERIAL'!O89</f>
        <v>0</v>
      </c>
      <c r="JU89" s="31">
        <v>0</v>
      </c>
    </row>
    <row r="90" spans="1:281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IR90" s="22" t="s">
        <v>1805</v>
      </c>
      <c r="JT90" s="22">
        <f>'NEW PURCHASE MATERIAL'!O90</f>
        <v>0</v>
      </c>
      <c r="JU90" s="31">
        <v>0</v>
      </c>
    </row>
    <row r="91" spans="1:281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IR91" s="22" t="s">
        <v>1805</v>
      </c>
      <c r="JT91" s="22">
        <f>'NEW PURCHASE MATERIAL'!O91</f>
        <v>0</v>
      </c>
      <c r="JU91" s="31">
        <v>0</v>
      </c>
    </row>
    <row r="92" spans="1:281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GT92" s="22">
        <v>100</v>
      </c>
      <c r="IR92" s="22" t="s">
        <v>1805</v>
      </c>
      <c r="JT92" s="22">
        <f>'NEW PURCHASE MATERIAL'!O92</f>
        <v>0</v>
      </c>
      <c r="JU92" s="31">
        <v>100</v>
      </c>
    </row>
    <row r="93" spans="1:281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GT93" s="22">
        <v>390</v>
      </c>
      <c r="IR93" s="22" t="s">
        <v>1805</v>
      </c>
      <c r="JT93" s="22">
        <f>'NEW PURCHASE MATERIAL'!O93</f>
        <v>0</v>
      </c>
      <c r="JU93" s="31">
        <v>390</v>
      </c>
    </row>
    <row r="94" spans="1:281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IR94" s="22" t="s">
        <v>1805</v>
      </c>
      <c r="JT94" s="22">
        <f>'NEW PURCHASE MATERIAL'!O94</f>
        <v>0</v>
      </c>
      <c r="JU94" s="31">
        <v>0</v>
      </c>
    </row>
    <row r="95" spans="1:281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IR95" s="22" t="s">
        <v>1805</v>
      </c>
      <c r="JT95" s="22">
        <f>'NEW PURCHASE MATERIAL'!O95</f>
        <v>0</v>
      </c>
      <c r="JU95" s="31">
        <v>0</v>
      </c>
    </row>
    <row r="96" spans="1:281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IR96" s="22" t="s">
        <v>1805</v>
      </c>
      <c r="JT96" s="22">
        <f>'NEW PURCHASE MATERIAL'!O96</f>
        <v>0</v>
      </c>
      <c r="JU96" s="31">
        <v>0</v>
      </c>
    </row>
    <row r="97" spans="1:281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IR97" s="22" t="s">
        <v>1805</v>
      </c>
      <c r="JT97" s="22">
        <f>'NEW PURCHASE MATERIAL'!O97</f>
        <v>0</v>
      </c>
      <c r="JU97" s="31">
        <v>0</v>
      </c>
    </row>
    <row r="98" spans="1:281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GJ98" s="22">
        <v>30</v>
      </c>
      <c r="GQ98" s="22">
        <v>21</v>
      </c>
      <c r="IR98" s="22" t="s">
        <v>1805</v>
      </c>
      <c r="JT98" s="22">
        <f>'NEW PURCHASE MATERIAL'!O98</f>
        <v>0</v>
      </c>
      <c r="JU98" s="31">
        <v>51</v>
      </c>
    </row>
    <row r="99" spans="1:281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IR99" s="22" t="s">
        <v>1805</v>
      </c>
      <c r="JT99" s="22">
        <f>'NEW PURCHASE MATERIAL'!O99</f>
        <v>0</v>
      </c>
      <c r="JU99" s="31">
        <v>0</v>
      </c>
    </row>
    <row r="100" spans="1:281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GM100" s="22">
        <v>27</v>
      </c>
      <c r="GP100" s="22">
        <v>15</v>
      </c>
      <c r="IR100" s="22" t="s">
        <v>1805</v>
      </c>
      <c r="JT100" s="22">
        <f>'NEW PURCHASE MATERIAL'!O100</f>
        <v>0</v>
      </c>
      <c r="JU100" s="31">
        <v>42</v>
      </c>
    </row>
    <row r="101" spans="1:281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GJ101" s="22">
        <v>45</v>
      </c>
      <c r="GM101" s="22">
        <v>235</v>
      </c>
      <c r="GQ101" s="22">
        <v>45</v>
      </c>
      <c r="GT101" s="22">
        <v>120</v>
      </c>
      <c r="IR101" s="22" t="s">
        <v>1805</v>
      </c>
      <c r="JT101" s="22">
        <f>'NEW PURCHASE MATERIAL'!O101</f>
        <v>0</v>
      </c>
      <c r="JU101" s="31">
        <v>445</v>
      </c>
    </row>
    <row r="102" spans="1:281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IR102" s="22" t="s">
        <v>1805</v>
      </c>
      <c r="JT102" s="22">
        <f>'NEW PURCHASE MATERIAL'!O102</f>
        <v>0</v>
      </c>
      <c r="JU102" s="31">
        <v>0</v>
      </c>
    </row>
    <row r="103" spans="1:281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GH103" s="22">
        <v>88</v>
      </c>
      <c r="IR103" s="22" t="s">
        <v>1805</v>
      </c>
      <c r="JT103" s="22">
        <f>'NEW PURCHASE MATERIAL'!O103</f>
        <v>0</v>
      </c>
      <c r="JU103" s="31">
        <v>88</v>
      </c>
    </row>
    <row r="104" spans="1:281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IR104" s="22" t="s">
        <v>1805</v>
      </c>
      <c r="JT104" s="22">
        <f>'NEW PURCHASE MATERIAL'!O104</f>
        <v>0</v>
      </c>
      <c r="JU104" s="31">
        <v>0</v>
      </c>
    </row>
    <row r="105" spans="1:281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EF105" s="22">
        <v>21</v>
      </c>
      <c r="IR105" s="22" t="s">
        <v>1805</v>
      </c>
      <c r="JT105" s="22">
        <f>'NEW PURCHASE MATERIAL'!O105</f>
        <v>0</v>
      </c>
      <c r="JU105" s="31">
        <v>21</v>
      </c>
    </row>
    <row r="106" spans="1:281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M106" s="22">
        <v>2516</v>
      </c>
      <c r="T106" s="22">
        <v>2603</v>
      </c>
      <c r="BA106" s="22">
        <v>23000</v>
      </c>
      <c r="BD106" s="22">
        <v>2500</v>
      </c>
      <c r="BQ106" s="22">
        <v>250</v>
      </c>
      <c r="EH106" s="22">
        <v>2594</v>
      </c>
      <c r="EI106" s="22">
        <v>4559</v>
      </c>
      <c r="FW106" s="22">
        <v>18820</v>
      </c>
      <c r="GP106" s="22">
        <v>1680</v>
      </c>
      <c r="GS106" s="22">
        <v>12</v>
      </c>
      <c r="HC106" s="22">
        <v>4688</v>
      </c>
      <c r="IR106" s="22">
        <v>56</v>
      </c>
      <c r="JA106" s="22">
        <v>2615</v>
      </c>
      <c r="JC106" s="22">
        <v>5162</v>
      </c>
      <c r="JD106" s="22">
        <v>16</v>
      </c>
      <c r="JF106" s="22">
        <v>4821</v>
      </c>
      <c r="JG106" s="22">
        <v>13</v>
      </c>
      <c r="JH106" s="22">
        <v>4913</v>
      </c>
      <c r="JI106" s="22">
        <v>3036</v>
      </c>
      <c r="JJ106" s="22">
        <v>2818</v>
      </c>
      <c r="JK106" s="22">
        <v>5252</v>
      </c>
      <c r="JL106" s="22">
        <v>4</v>
      </c>
      <c r="JM106" s="22">
        <v>5010</v>
      </c>
      <c r="JN106" s="22">
        <v>5103</v>
      </c>
      <c r="JO106" s="22">
        <v>2481</v>
      </c>
      <c r="JP106" s="22">
        <v>2721</v>
      </c>
      <c r="JQ106" s="22">
        <v>2711</v>
      </c>
      <c r="JT106" s="22">
        <f>'NEW PURCHASE MATERIAL'!O106</f>
        <v>0</v>
      </c>
      <c r="JU106" s="31">
        <v>109954</v>
      </c>
    </row>
    <row r="107" spans="1:281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EF107" s="22">
        <v>26</v>
      </c>
      <c r="IR107" s="22" t="s">
        <v>1805</v>
      </c>
      <c r="JT107" s="22">
        <f>'NEW PURCHASE MATERIAL'!O107</f>
        <v>0</v>
      </c>
      <c r="JU107" s="31">
        <v>26</v>
      </c>
    </row>
    <row r="108" spans="1:281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IR108" s="22" t="s">
        <v>1805</v>
      </c>
      <c r="JT108" s="22">
        <f>'NEW PURCHASE MATERIAL'!O108</f>
        <v>0</v>
      </c>
      <c r="JU108" s="31">
        <v>0</v>
      </c>
    </row>
    <row r="109" spans="1:281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G109" s="22">
        <v>24</v>
      </c>
      <c r="H109" s="22">
        <v>106</v>
      </c>
      <c r="I109" s="22">
        <v>100</v>
      </c>
      <c r="J109" s="22">
        <v>72</v>
      </c>
      <c r="L109" s="22">
        <v>36</v>
      </c>
      <c r="M109" s="22">
        <v>14682</v>
      </c>
      <c r="N109" s="22">
        <v>100</v>
      </c>
      <c r="O109" s="22">
        <v>92</v>
      </c>
      <c r="Q109" s="22">
        <v>48</v>
      </c>
      <c r="R109" s="22">
        <v>128</v>
      </c>
      <c r="S109" s="22">
        <v>24</v>
      </c>
      <c r="T109" s="22">
        <v>7614</v>
      </c>
      <c r="U109" s="22">
        <v>24</v>
      </c>
      <c r="X109" s="22">
        <v>96</v>
      </c>
      <c r="Y109" s="22">
        <v>24</v>
      </c>
      <c r="Z109" s="22">
        <v>144</v>
      </c>
      <c r="AA109" s="22">
        <v>96</v>
      </c>
      <c r="AB109" s="22">
        <v>180</v>
      </c>
      <c r="AD109" s="22">
        <v>96</v>
      </c>
      <c r="AE109" s="22">
        <v>164</v>
      </c>
      <c r="AF109" s="22">
        <v>24</v>
      </c>
      <c r="AW109" s="22">
        <v>32</v>
      </c>
      <c r="BA109" s="22">
        <v>5828</v>
      </c>
      <c r="BD109" s="22">
        <v>64</v>
      </c>
      <c r="BF109" s="22">
        <v>32</v>
      </c>
      <c r="BG109" s="22">
        <v>32</v>
      </c>
      <c r="BH109" s="22">
        <v>5400</v>
      </c>
      <c r="BK109" s="22">
        <v>18832</v>
      </c>
      <c r="BL109" s="22">
        <v>24</v>
      </c>
      <c r="BM109" s="22">
        <v>11524</v>
      </c>
      <c r="BQ109" s="22">
        <v>500</v>
      </c>
      <c r="BS109" s="22">
        <v>48</v>
      </c>
      <c r="BT109" s="22">
        <v>48</v>
      </c>
      <c r="BU109" s="22">
        <v>48</v>
      </c>
      <c r="BV109" s="22">
        <v>48</v>
      </c>
      <c r="BW109" s="22">
        <v>32</v>
      </c>
      <c r="BX109" s="22">
        <v>48</v>
      </c>
      <c r="BY109" s="22">
        <v>48</v>
      </c>
      <c r="BZ109" s="22">
        <v>24</v>
      </c>
      <c r="CA109" s="22">
        <v>72</v>
      </c>
      <c r="CB109" s="22">
        <v>48</v>
      </c>
      <c r="CC109" s="22">
        <v>48</v>
      </c>
      <c r="CE109" s="22">
        <v>72</v>
      </c>
      <c r="CF109" s="22">
        <v>16</v>
      </c>
      <c r="CG109" s="22">
        <v>48</v>
      </c>
      <c r="CH109" s="22">
        <v>24</v>
      </c>
      <c r="CI109" s="22">
        <v>32</v>
      </c>
      <c r="CJ109" s="22">
        <v>160</v>
      </c>
      <c r="CK109" s="22">
        <v>104</v>
      </c>
      <c r="CL109" s="22">
        <v>132</v>
      </c>
      <c r="CM109" s="22">
        <v>80</v>
      </c>
      <c r="CN109" s="22">
        <v>36</v>
      </c>
      <c r="CO109" s="22">
        <v>112</v>
      </c>
      <c r="CP109" s="22">
        <v>40</v>
      </c>
      <c r="CQ109" s="22">
        <v>164</v>
      </c>
      <c r="CR109" s="22">
        <v>172</v>
      </c>
      <c r="CU109" s="22">
        <v>128</v>
      </c>
      <c r="DF109" s="22">
        <v>128</v>
      </c>
      <c r="DG109" s="22">
        <v>116</v>
      </c>
      <c r="DO109" s="22">
        <v>36</v>
      </c>
      <c r="DY109" s="22">
        <v>60</v>
      </c>
      <c r="EE109" s="22">
        <v>96</v>
      </c>
      <c r="EH109" s="22">
        <v>11431</v>
      </c>
      <c r="EI109" s="22">
        <v>6964</v>
      </c>
      <c r="EK109" s="22">
        <v>24</v>
      </c>
      <c r="EL109" s="22">
        <v>4</v>
      </c>
      <c r="EP109" s="22">
        <v>96</v>
      </c>
      <c r="EQ109" s="22">
        <v>108</v>
      </c>
      <c r="ES109" s="22">
        <v>48</v>
      </c>
      <c r="ET109" s="22">
        <v>104</v>
      </c>
      <c r="FF109" s="22">
        <v>80</v>
      </c>
      <c r="FG109" s="22">
        <v>84</v>
      </c>
      <c r="FM109" s="22">
        <v>80</v>
      </c>
      <c r="FO109" s="22">
        <v>8</v>
      </c>
      <c r="FQ109" s="22">
        <v>84</v>
      </c>
      <c r="FR109" s="22">
        <v>164</v>
      </c>
      <c r="FW109" s="22">
        <v>2070</v>
      </c>
      <c r="FX109" s="22">
        <v>16</v>
      </c>
      <c r="GF109" s="22">
        <v>2140</v>
      </c>
      <c r="GI109" s="22">
        <v>15144</v>
      </c>
      <c r="GJ109" s="22">
        <v>12405</v>
      </c>
      <c r="GL109" s="22">
        <v>3632</v>
      </c>
      <c r="GO109" s="22">
        <v>15500</v>
      </c>
      <c r="GP109" s="22">
        <v>364</v>
      </c>
      <c r="GQ109" s="22">
        <v>9723</v>
      </c>
      <c r="GS109" s="22">
        <v>3243</v>
      </c>
      <c r="GT109" s="22">
        <v>68</v>
      </c>
      <c r="GU109" s="22">
        <v>16</v>
      </c>
      <c r="GY109" s="22">
        <v>240</v>
      </c>
      <c r="GZ109" s="22">
        <v>116</v>
      </c>
      <c r="HA109" s="22">
        <v>124</v>
      </c>
      <c r="HB109" s="22">
        <v>2</v>
      </c>
      <c r="HC109" s="22">
        <v>7304</v>
      </c>
      <c r="HI109" s="22">
        <v>92</v>
      </c>
      <c r="HJ109" s="22">
        <v>108</v>
      </c>
      <c r="HK109" s="22">
        <v>30</v>
      </c>
      <c r="HM109" s="22">
        <v>112</v>
      </c>
      <c r="HN109" s="22">
        <v>80</v>
      </c>
      <c r="HQ109" s="22">
        <v>56</v>
      </c>
      <c r="HR109" s="22">
        <v>168</v>
      </c>
      <c r="HS109" s="22">
        <v>164</v>
      </c>
      <c r="HT109" s="22">
        <v>136</v>
      </c>
      <c r="HV109" s="22">
        <v>48</v>
      </c>
      <c r="HW109" s="22">
        <v>248</v>
      </c>
      <c r="HX109" s="22">
        <v>62</v>
      </c>
      <c r="HY109" s="22">
        <v>78</v>
      </c>
      <c r="HZ109" s="22">
        <v>124</v>
      </c>
      <c r="ID109" s="22">
        <v>241</v>
      </c>
      <c r="IE109" s="22">
        <v>56</v>
      </c>
      <c r="IF109" s="22">
        <v>88</v>
      </c>
      <c r="IG109" s="22">
        <v>88</v>
      </c>
      <c r="IH109" s="22">
        <v>240</v>
      </c>
      <c r="II109" s="22">
        <v>76</v>
      </c>
      <c r="IJ109" s="22">
        <v>21680</v>
      </c>
      <c r="IK109" s="22">
        <v>22496</v>
      </c>
      <c r="IL109" s="22">
        <v>216</v>
      </c>
      <c r="IN109" s="22">
        <v>24</v>
      </c>
      <c r="IO109" s="22">
        <v>120</v>
      </c>
      <c r="IP109" s="22">
        <v>192</v>
      </c>
      <c r="IQ109" s="22">
        <v>62</v>
      </c>
      <c r="IR109" s="22">
        <v>92</v>
      </c>
      <c r="IS109" s="22">
        <v>176</v>
      </c>
      <c r="IT109" s="22">
        <v>116</v>
      </c>
      <c r="IU109" s="22">
        <v>202</v>
      </c>
      <c r="IW109" s="22">
        <v>104</v>
      </c>
      <c r="IY109" s="22">
        <v>48</v>
      </c>
      <c r="IZ109" s="22">
        <v>30</v>
      </c>
      <c r="JA109" s="22">
        <v>18205</v>
      </c>
      <c r="JB109" s="22">
        <v>88</v>
      </c>
      <c r="JC109" s="22">
        <v>18669</v>
      </c>
      <c r="JD109" s="22">
        <v>12474</v>
      </c>
      <c r="JE109" s="22">
        <v>3324</v>
      </c>
      <c r="JF109" s="22">
        <v>9232</v>
      </c>
      <c r="JG109" s="22">
        <v>16582</v>
      </c>
      <c r="JH109" s="22">
        <v>14625</v>
      </c>
      <c r="JI109" s="22">
        <v>18122</v>
      </c>
      <c r="JJ109" s="22">
        <v>10652</v>
      </c>
      <c r="JK109" s="22">
        <v>11169</v>
      </c>
      <c r="JL109" s="22">
        <v>17560</v>
      </c>
      <c r="JM109" s="22">
        <v>5468</v>
      </c>
      <c r="JN109" s="22">
        <v>9660</v>
      </c>
      <c r="JO109" s="22">
        <v>16352</v>
      </c>
      <c r="JP109" s="22">
        <v>12834</v>
      </c>
      <c r="JQ109" s="22">
        <v>10200</v>
      </c>
      <c r="JT109" s="22">
        <f>'NEW PURCHASE MATERIAL'!O109</f>
        <v>0</v>
      </c>
      <c r="JU109" s="31">
        <v>412865</v>
      </c>
    </row>
    <row r="110" spans="1:281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GM110" s="22">
        <v>49</v>
      </c>
      <c r="IR110" s="22" t="s">
        <v>1805</v>
      </c>
      <c r="JT110" s="22">
        <f>'NEW PURCHASE MATERIAL'!O110</f>
        <v>0</v>
      </c>
      <c r="JU110" s="31">
        <v>49</v>
      </c>
    </row>
    <row r="111" spans="1:281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AO111" s="22">
        <v>59</v>
      </c>
      <c r="AP111" s="22">
        <v>56</v>
      </c>
      <c r="BM111" s="22">
        <v>5</v>
      </c>
      <c r="DO111" s="22">
        <v>8</v>
      </c>
      <c r="EL111" s="22">
        <v>253</v>
      </c>
      <c r="EO111" s="22">
        <v>6</v>
      </c>
      <c r="FF111" s="22">
        <v>35</v>
      </c>
      <c r="FG111" s="22">
        <v>123</v>
      </c>
      <c r="FO111" s="22">
        <v>228</v>
      </c>
      <c r="FQ111" s="22">
        <v>118</v>
      </c>
      <c r="FX111" s="22">
        <v>141</v>
      </c>
      <c r="GT111" s="22">
        <v>28</v>
      </c>
      <c r="HB111" s="22">
        <v>146</v>
      </c>
      <c r="HC111" s="22">
        <v>1848</v>
      </c>
      <c r="IR111" s="22">
        <v>24</v>
      </c>
      <c r="JT111" s="22">
        <f>'NEW PURCHASE MATERIAL'!O111</f>
        <v>5000</v>
      </c>
      <c r="JU111" s="31">
        <v>8078</v>
      </c>
    </row>
    <row r="112" spans="1:281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AO112" s="22">
        <v>59</v>
      </c>
      <c r="AP112" s="22">
        <v>56</v>
      </c>
      <c r="CD112" s="22">
        <v>100</v>
      </c>
      <c r="DO112" s="22">
        <v>8</v>
      </c>
      <c r="IR112" s="22" t="s">
        <v>1805</v>
      </c>
      <c r="JT112" s="22">
        <f>'NEW PURCHASE MATERIAL'!O112</f>
        <v>0</v>
      </c>
      <c r="JU112" s="31">
        <v>223</v>
      </c>
    </row>
    <row r="113" spans="1:282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AO113" s="22">
        <v>98</v>
      </c>
      <c r="ED113" s="22">
        <v>81</v>
      </c>
      <c r="EO113" s="22">
        <v>6</v>
      </c>
      <c r="ES113" s="22">
        <v>6</v>
      </c>
      <c r="FQ113" s="22">
        <v>92</v>
      </c>
      <c r="FX113" s="22">
        <v>96</v>
      </c>
      <c r="HA113" s="22">
        <v>38</v>
      </c>
      <c r="IR113" s="22" t="s">
        <v>1805</v>
      </c>
      <c r="JT113" s="22">
        <f>'NEW PURCHASE MATERIAL'!O113</f>
        <v>300</v>
      </c>
      <c r="JU113" s="31">
        <v>717</v>
      </c>
    </row>
    <row r="114" spans="1:282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ED114" s="22">
        <v>4</v>
      </c>
      <c r="EG114" s="22">
        <v>30</v>
      </c>
      <c r="EO114" s="22">
        <v>107</v>
      </c>
      <c r="FG114" s="22">
        <v>86</v>
      </c>
      <c r="FO114" s="22">
        <v>4</v>
      </c>
      <c r="FQ114" s="22">
        <v>60</v>
      </c>
      <c r="HA114" s="22">
        <v>22</v>
      </c>
      <c r="IR114" s="22" t="s">
        <v>1805</v>
      </c>
      <c r="JT114" s="22">
        <f>'NEW PURCHASE MATERIAL'!O114</f>
        <v>500</v>
      </c>
      <c r="JU114" s="31">
        <v>813</v>
      </c>
    </row>
    <row r="115" spans="1:282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BL115" s="22">
        <v>283</v>
      </c>
      <c r="EG115" s="22">
        <v>80</v>
      </c>
      <c r="EL115" s="22">
        <v>7</v>
      </c>
      <c r="FG115" s="22">
        <v>94</v>
      </c>
      <c r="FQ115" s="22">
        <v>44</v>
      </c>
      <c r="FX115" s="22">
        <v>39</v>
      </c>
      <c r="HA115" s="22">
        <f>21+8</f>
        <v>29</v>
      </c>
      <c r="HB115" s="22">
        <v>6</v>
      </c>
      <c r="IR115" s="22" t="s">
        <v>1805</v>
      </c>
      <c r="JT115" s="22">
        <f>'NEW PURCHASE MATERIAL'!O115</f>
        <v>0</v>
      </c>
      <c r="JU115" s="31">
        <v>582</v>
      </c>
    </row>
    <row r="116" spans="1:282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BM116" s="22">
        <v>99</v>
      </c>
      <c r="EL116" s="22">
        <v>41</v>
      </c>
      <c r="ES116" s="22">
        <v>18</v>
      </c>
      <c r="FG116" s="22">
        <v>105</v>
      </c>
      <c r="FQ116" s="22">
        <v>147</v>
      </c>
      <c r="FX116" s="22">
        <v>119</v>
      </c>
      <c r="HA116" s="22">
        <v>21</v>
      </c>
      <c r="HB116" s="22">
        <v>30</v>
      </c>
      <c r="IR116" s="22">
        <v>33</v>
      </c>
      <c r="JT116" s="22">
        <f>'NEW PURCHASE MATERIAL'!O116</f>
        <v>500</v>
      </c>
      <c r="JU116" s="31">
        <v>1113</v>
      </c>
    </row>
    <row r="117" spans="1:282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ED117" s="22">
        <v>15</v>
      </c>
      <c r="IR117" s="22" t="s">
        <v>1805</v>
      </c>
      <c r="JT117" s="22">
        <f>'NEW PURCHASE MATERIAL'!O117</f>
        <v>0</v>
      </c>
      <c r="JU117" s="31">
        <v>15</v>
      </c>
    </row>
    <row r="118" spans="1:282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DO118" s="22">
        <v>4</v>
      </c>
      <c r="EO118" s="22">
        <v>5</v>
      </c>
      <c r="ES118" s="22">
        <v>8</v>
      </c>
      <c r="FQ118" s="22">
        <v>41</v>
      </c>
      <c r="HA118" s="22">
        <v>9</v>
      </c>
      <c r="IR118" s="22" t="s">
        <v>1805</v>
      </c>
      <c r="JT118" s="22">
        <f>'NEW PURCHASE MATERIAL'!O118</f>
        <v>100</v>
      </c>
      <c r="JU118" s="31">
        <v>167</v>
      </c>
    </row>
    <row r="119" spans="1:282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AO119" s="22">
        <v>222</v>
      </c>
      <c r="AP119" s="22">
        <v>380</v>
      </c>
      <c r="BM119" s="22">
        <v>100</v>
      </c>
      <c r="DO119" s="22">
        <v>17</v>
      </c>
      <c r="ED119" s="22">
        <v>95</v>
      </c>
      <c r="EF119" s="22">
        <v>52</v>
      </c>
      <c r="EL119" s="22">
        <v>324</v>
      </c>
      <c r="EO119" s="22">
        <v>13</v>
      </c>
      <c r="ES119" s="22">
        <v>20</v>
      </c>
      <c r="FF119" s="22">
        <v>86</v>
      </c>
      <c r="FG119" s="22">
        <v>371</v>
      </c>
      <c r="FO119" s="22">
        <v>392</v>
      </c>
      <c r="FQ119" s="22">
        <v>129</v>
      </c>
      <c r="FX119" s="22">
        <v>325</v>
      </c>
      <c r="HA119" s="22">
        <v>160</v>
      </c>
      <c r="HB119" s="22">
        <v>166</v>
      </c>
      <c r="IR119" s="22" t="s">
        <v>1805</v>
      </c>
      <c r="JT119" s="22">
        <f>'NEW PURCHASE MATERIAL'!O119</f>
        <v>2500</v>
      </c>
      <c r="JU119" s="31">
        <v>5352</v>
      </c>
    </row>
    <row r="120" spans="1:282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GQ120" s="22">
        <v>144</v>
      </c>
      <c r="IR120" s="22" t="s">
        <v>1805</v>
      </c>
      <c r="JT120" s="22">
        <f>'NEW PURCHASE MATERIAL'!O120</f>
        <v>0</v>
      </c>
      <c r="JU120" s="31">
        <v>144</v>
      </c>
    </row>
    <row r="121" spans="1:282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IR121" s="22" t="s">
        <v>1805</v>
      </c>
      <c r="JT121" s="22">
        <f>'NEW PURCHASE MATERIAL'!O121</f>
        <v>0</v>
      </c>
      <c r="JU121" s="31">
        <v>0</v>
      </c>
    </row>
    <row r="122" spans="1:282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GP122" s="22">
        <v>197</v>
      </c>
      <c r="IR122" s="22" t="s">
        <v>1805</v>
      </c>
      <c r="JT122" s="22">
        <f>'NEW PURCHASE MATERIAL'!O122</f>
        <v>0</v>
      </c>
      <c r="JU122" s="31">
        <v>197</v>
      </c>
    </row>
    <row r="123" spans="1:282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AB123" s="22">
        <v>570</v>
      </c>
      <c r="AE123" s="22">
        <v>600</v>
      </c>
      <c r="CP123" s="22">
        <v>2</v>
      </c>
      <c r="CR123" s="22">
        <v>283</v>
      </c>
      <c r="EQ123" s="22">
        <v>4</v>
      </c>
      <c r="FG123" s="22">
        <v>8</v>
      </c>
      <c r="FQ123" s="22">
        <v>4</v>
      </c>
      <c r="FR123" s="22">
        <v>227</v>
      </c>
      <c r="GT123" s="22">
        <v>734</v>
      </c>
      <c r="HS123" s="22">
        <v>4</v>
      </c>
      <c r="HT123" s="22">
        <v>2</v>
      </c>
      <c r="HW123" s="22">
        <v>608</v>
      </c>
      <c r="ID123" s="22">
        <v>1097</v>
      </c>
      <c r="IH123" s="22">
        <v>1746</v>
      </c>
      <c r="IL123" s="22">
        <v>2</v>
      </c>
      <c r="IP123" s="22">
        <v>1147</v>
      </c>
      <c r="IR123" s="22">
        <v>8</v>
      </c>
      <c r="IS123" s="22">
        <v>6</v>
      </c>
      <c r="IT123" s="22">
        <v>566</v>
      </c>
      <c r="IU123" s="22">
        <v>1202</v>
      </c>
      <c r="IW123" s="22">
        <v>2</v>
      </c>
      <c r="JT123" s="22">
        <f>'NEW PURCHASE MATERIAL'!O123</f>
        <v>0</v>
      </c>
      <c r="JU123" s="31">
        <v>8822</v>
      </c>
    </row>
    <row r="124" spans="1:282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O124" s="22">
        <v>600</v>
      </c>
      <c r="R124" s="22">
        <v>1200</v>
      </c>
      <c r="Z124" s="22">
        <v>1132</v>
      </c>
      <c r="AB124" s="22">
        <v>1190</v>
      </c>
      <c r="AE124" s="22">
        <v>568</v>
      </c>
      <c r="BQ124" s="22">
        <v>10</v>
      </c>
      <c r="CA124" s="22">
        <v>302</v>
      </c>
      <c r="CE124" s="22">
        <v>302</v>
      </c>
      <c r="CK124" s="22">
        <v>600</v>
      </c>
      <c r="CM124" s="22">
        <v>300</v>
      </c>
      <c r="CQ124" s="22">
        <v>550</v>
      </c>
      <c r="CR124" s="22">
        <v>583</v>
      </c>
      <c r="EC124" s="22">
        <v>1730</v>
      </c>
      <c r="FM124" s="22">
        <v>4</v>
      </c>
      <c r="GO124" s="22">
        <v>1183</v>
      </c>
      <c r="GT124" s="22">
        <v>2205</v>
      </c>
      <c r="GY124" s="22">
        <v>593</v>
      </c>
      <c r="HR124" s="22">
        <v>460</v>
      </c>
      <c r="HS124" s="22">
        <v>898</v>
      </c>
      <c r="HT124" s="22">
        <v>1198</v>
      </c>
      <c r="HW124" s="22">
        <v>1707</v>
      </c>
      <c r="ID124" s="22">
        <v>1161</v>
      </c>
      <c r="IH124" s="22">
        <v>1137</v>
      </c>
      <c r="IL124" s="22">
        <v>1198</v>
      </c>
      <c r="IO124" s="22">
        <v>600</v>
      </c>
      <c r="IP124" s="22">
        <v>4</v>
      </c>
      <c r="IR124" s="22">
        <v>4</v>
      </c>
      <c r="IS124" s="22">
        <v>1566</v>
      </c>
      <c r="IT124" s="22">
        <v>566</v>
      </c>
      <c r="IU124" s="22">
        <v>1189</v>
      </c>
      <c r="IW124" s="22">
        <v>589</v>
      </c>
      <c r="JB124" s="22">
        <v>2</v>
      </c>
      <c r="JT124" s="22">
        <f>'NEW PURCHASE MATERIAL'!O124</f>
        <v>0</v>
      </c>
      <c r="JU124" s="31">
        <v>25331</v>
      </c>
    </row>
    <row r="125" spans="1:282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H125" s="22">
        <v>600</v>
      </c>
      <c r="J125" s="22">
        <v>600</v>
      </c>
      <c r="M125" s="22">
        <v>4</v>
      </c>
      <c r="R125" s="22">
        <v>600</v>
      </c>
      <c r="Z125" s="22">
        <v>1132</v>
      </c>
      <c r="AA125" s="22">
        <v>4</v>
      </c>
      <c r="AB125" s="22">
        <v>1196</v>
      </c>
      <c r="AE125" s="22">
        <v>598</v>
      </c>
      <c r="BQ125" s="22">
        <v>10</v>
      </c>
      <c r="CA125" s="22">
        <v>859</v>
      </c>
      <c r="CE125" s="22">
        <v>830</v>
      </c>
      <c r="CK125" s="22">
        <v>584</v>
      </c>
      <c r="CL125" s="22">
        <v>600</v>
      </c>
      <c r="CM125" s="22">
        <v>300</v>
      </c>
      <c r="CQ125" s="22">
        <v>583</v>
      </c>
      <c r="CR125" s="22">
        <v>866</v>
      </c>
      <c r="EC125" s="22">
        <v>600</v>
      </c>
      <c r="EE125" s="22">
        <v>2280</v>
      </c>
      <c r="EH125" s="22">
        <v>6</v>
      </c>
      <c r="FM125" s="22">
        <v>596</v>
      </c>
      <c r="FR125" s="22">
        <v>2</v>
      </c>
      <c r="FW125" s="22">
        <v>2</v>
      </c>
      <c r="GO125" s="22">
        <v>2898</v>
      </c>
      <c r="GT125" s="22">
        <v>31</v>
      </c>
      <c r="GY125" s="22">
        <v>2356</v>
      </c>
      <c r="HR125" s="22">
        <v>920</v>
      </c>
      <c r="HS125" s="22">
        <v>898</v>
      </c>
      <c r="HT125" s="22">
        <v>1202</v>
      </c>
      <c r="HW125" s="22">
        <v>2256</v>
      </c>
      <c r="ID125" s="22">
        <v>1162</v>
      </c>
      <c r="IH125" s="22">
        <v>867</v>
      </c>
      <c r="IL125" s="22">
        <v>1204</v>
      </c>
      <c r="IP125" s="22">
        <v>1198</v>
      </c>
      <c r="IR125" s="22" t="s">
        <v>1805</v>
      </c>
      <c r="IS125" s="22">
        <v>1631</v>
      </c>
      <c r="IU125" s="22">
        <v>1194</v>
      </c>
      <c r="IW125" s="22">
        <v>574</v>
      </c>
      <c r="JA125" s="22">
        <v>4</v>
      </c>
      <c r="JB125" s="22">
        <v>458</v>
      </c>
      <c r="JC125" s="22">
        <v>4</v>
      </c>
      <c r="JD125" s="22">
        <v>4</v>
      </c>
      <c r="JF125" s="22">
        <v>4</v>
      </c>
      <c r="JG125" s="22">
        <v>4</v>
      </c>
      <c r="JH125" s="22">
        <v>4</v>
      </c>
      <c r="JI125" s="22">
        <v>6</v>
      </c>
      <c r="JJ125" s="22">
        <v>4</v>
      </c>
      <c r="JK125" s="22">
        <v>4</v>
      </c>
      <c r="JM125" s="22">
        <v>4</v>
      </c>
      <c r="JO125" s="22">
        <v>11</v>
      </c>
      <c r="JP125" s="22">
        <v>4</v>
      </c>
      <c r="JT125" s="22">
        <f>'NEW PURCHASE MATERIAL'!O125</f>
        <v>0</v>
      </c>
      <c r="JU125" s="31">
        <v>31758</v>
      </c>
    </row>
    <row r="126" spans="1:282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G126" s="22">
        <v>20</v>
      </c>
      <c r="H126" s="22">
        <v>58</v>
      </c>
      <c r="I126" s="22">
        <v>44</v>
      </c>
      <c r="J126" s="22">
        <v>56</v>
      </c>
      <c r="L126" s="22">
        <v>12</v>
      </c>
      <c r="M126" s="22">
        <v>78</v>
      </c>
      <c r="N126" s="22">
        <v>648</v>
      </c>
      <c r="O126" s="22">
        <v>58</v>
      </c>
      <c r="Q126" s="22">
        <v>40</v>
      </c>
      <c r="R126" s="22">
        <v>71</v>
      </c>
      <c r="S126" s="22">
        <v>20</v>
      </c>
      <c r="T126" s="22">
        <v>43</v>
      </c>
      <c r="U126" s="22">
        <v>20</v>
      </c>
      <c r="X126" s="22">
        <v>38</v>
      </c>
      <c r="Y126" s="22">
        <v>20</v>
      </c>
      <c r="Z126" s="22">
        <v>98</v>
      </c>
      <c r="AA126" s="22">
        <v>1268</v>
      </c>
      <c r="AB126" s="22">
        <v>130</v>
      </c>
      <c r="AD126" s="22">
        <v>40</v>
      </c>
      <c r="AE126" s="22">
        <v>84</v>
      </c>
      <c r="AF126" s="22">
        <v>20</v>
      </c>
      <c r="AW126" s="22">
        <v>13</v>
      </c>
      <c r="BA126" s="22">
        <v>26</v>
      </c>
      <c r="BD126" s="22">
        <v>25</v>
      </c>
      <c r="BF126" s="22">
        <v>12</v>
      </c>
      <c r="BG126" s="22">
        <v>12</v>
      </c>
      <c r="BK126" s="22">
        <v>13</v>
      </c>
      <c r="BL126" s="22">
        <v>8</v>
      </c>
      <c r="BM126" s="22">
        <v>16</v>
      </c>
      <c r="BQ126" s="22">
        <v>20</v>
      </c>
      <c r="BS126" s="22">
        <v>40</v>
      </c>
      <c r="BT126" s="22">
        <v>40</v>
      </c>
      <c r="BU126" s="22">
        <v>40</v>
      </c>
      <c r="BV126" s="22">
        <v>40</v>
      </c>
      <c r="BW126" s="22">
        <v>12</v>
      </c>
      <c r="BX126" s="22">
        <v>40</v>
      </c>
      <c r="BY126" s="22">
        <v>40</v>
      </c>
      <c r="BZ126" s="22">
        <v>20</v>
      </c>
      <c r="CA126" s="22">
        <v>52</v>
      </c>
      <c r="CB126" s="22">
        <v>40</v>
      </c>
      <c r="CC126" s="22">
        <v>40</v>
      </c>
      <c r="CE126" s="22">
        <v>52</v>
      </c>
      <c r="CG126" s="22">
        <v>40</v>
      </c>
      <c r="CH126" s="22">
        <v>20</v>
      </c>
      <c r="CI126" s="22">
        <v>12</v>
      </c>
      <c r="CJ126" s="22">
        <v>60</v>
      </c>
      <c r="CK126" s="22">
        <v>64</v>
      </c>
      <c r="CL126" s="22">
        <v>82</v>
      </c>
      <c r="CM126" s="22">
        <v>50</v>
      </c>
      <c r="CN126" s="22">
        <v>30</v>
      </c>
      <c r="CO126" s="22">
        <v>70</v>
      </c>
      <c r="CQ126" s="22">
        <v>86</v>
      </c>
      <c r="CR126" s="22">
        <v>104</v>
      </c>
      <c r="CU126" s="22">
        <v>48</v>
      </c>
      <c r="DF126" s="22">
        <v>48</v>
      </c>
      <c r="DG126" s="22">
        <v>37</v>
      </c>
      <c r="DO126" s="22">
        <v>30</v>
      </c>
      <c r="DY126" s="22">
        <v>26</v>
      </c>
      <c r="EC126" s="22">
        <v>64</v>
      </c>
      <c r="EE126" s="22">
        <v>64</v>
      </c>
      <c r="EH126" s="22">
        <v>58</v>
      </c>
      <c r="EI126" s="22">
        <v>44</v>
      </c>
      <c r="EK126" s="22">
        <v>20</v>
      </c>
      <c r="EP126" s="22">
        <v>36</v>
      </c>
      <c r="EQ126" s="22">
        <v>42</v>
      </c>
      <c r="ER126" s="22">
        <v>154</v>
      </c>
      <c r="ET126" s="22">
        <v>44</v>
      </c>
      <c r="FF126" s="22">
        <v>38</v>
      </c>
      <c r="FG126" s="22">
        <v>44</v>
      </c>
      <c r="FM126" s="22">
        <v>48</v>
      </c>
      <c r="FQ126" s="22">
        <v>18</v>
      </c>
      <c r="FR126" s="22">
        <v>65</v>
      </c>
      <c r="FW126" s="22">
        <v>63</v>
      </c>
      <c r="GF126" s="22">
        <v>14</v>
      </c>
      <c r="GI126" s="22">
        <v>62</v>
      </c>
      <c r="GJ126" s="22">
        <v>60</v>
      </c>
      <c r="GL126" s="22">
        <v>12</v>
      </c>
      <c r="GO126" s="22">
        <v>158</v>
      </c>
      <c r="GP126" s="22">
        <v>36</v>
      </c>
      <c r="GQ126" s="22">
        <v>26</v>
      </c>
      <c r="GS126" s="22">
        <v>34</v>
      </c>
      <c r="GT126" s="22">
        <v>1812</v>
      </c>
      <c r="GU126" s="22">
        <v>177</v>
      </c>
      <c r="GY126" s="22">
        <v>138</v>
      </c>
      <c r="GZ126" s="22">
        <v>620</v>
      </c>
      <c r="HA126" s="22">
        <v>56</v>
      </c>
      <c r="HC126" s="22">
        <v>78</v>
      </c>
      <c r="HI126" s="22">
        <v>42</v>
      </c>
      <c r="HJ126" s="22">
        <v>42</v>
      </c>
      <c r="HK126" s="22">
        <v>22</v>
      </c>
      <c r="HM126" s="22">
        <v>42</v>
      </c>
      <c r="HN126" s="22">
        <v>30</v>
      </c>
      <c r="HQ126" s="22">
        <v>28</v>
      </c>
      <c r="HR126" s="22">
        <v>1576</v>
      </c>
      <c r="HS126" s="22">
        <v>88</v>
      </c>
      <c r="HT126" s="22">
        <v>493</v>
      </c>
      <c r="HV126" s="22">
        <v>36</v>
      </c>
      <c r="HW126" s="22">
        <v>1403</v>
      </c>
      <c r="HX126" s="22">
        <v>36</v>
      </c>
      <c r="HY126" s="22">
        <v>505</v>
      </c>
      <c r="HZ126" s="22">
        <v>52</v>
      </c>
      <c r="ID126" s="22">
        <v>132</v>
      </c>
      <c r="IE126" s="22">
        <v>32</v>
      </c>
      <c r="IF126" s="22">
        <v>46</v>
      </c>
      <c r="IG126" s="22">
        <v>46</v>
      </c>
      <c r="IH126" s="22">
        <f>544+132</f>
        <v>676</v>
      </c>
      <c r="II126" s="22">
        <v>34</v>
      </c>
      <c r="IJ126" s="22">
        <v>65</v>
      </c>
      <c r="IK126" s="22">
        <v>69</v>
      </c>
      <c r="IL126" s="22">
        <v>922</v>
      </c>
      <c r="IN126" s="22">
        <v>20</v>
      </c>
      <c r="IO126" s="22">
        <v>54</v>
      </c>
      <c r="IP126" s="22">
        <v>98</v>
      </c>
      <c r="IQ126" s="22">
        <v>34</v>
      </c>
      <c r="IR126" s="22">
        <v>73</v>
      </c>
      <c r="IS126" s="22">
        <v>104</v>
      </c>
      <c r="IT126" s="22">
        <v>68</v>
      </c>
      <c r="IU126" s="22">
        <v>734</v>
      </c>
      <c r="IW126" s="22">
        <v>66</v>
      </c>
      <c r="IY126" s="22">
        <v>40</v>
      </c>
      <c r="IZ126" s="22">
        <v>22</v>
      </c>
      <c r="JA126" s="22">
        <v>64</v>
      </c>
      <c r="JB126" s="22">
        <v>446</v>
      </c>
      <c r="JC126" s="22">
        <v>66</v>
      </c>
      <c r="JD126" s="22">
        <v>38</v>
      </c>
      <c r="JE126" s="22">
        <v>18</v>
      </c>
      <c r="JF126" s="22">
        <v>50</v>
      </c>
      <c r="JG126" s="22">
        <v>50</v>
      </c>
      <c r="JH126" s="22">
        <v>74</v>
      </c>
      <c r="JI126" s="22">
        <v>64</v>
      </c>
      <c r="JJ126" s="22">
        <v>56</v>
      </c>
      <c r="JK126" s="22">
        <v>62</v>
      </c>
      <c r="JL126" s="22">
        <v>62</v>
      </c>
      <c r="JM126" s="22">
        <v>62</v>
      </c>
      <c r="JN126" s="22">
        <v>62</v>
      </c>
      <c r="JO126" s="22">
        <v>74</v>
      </c>
      <c r="JP126" s="22">
        <v>74</v>
      </c>
      <c r="JT126" s="22">
        <f>'NEW PURCHASE MATERIAL'!O126</f>
        <v>0</v>
      </c>
      <c r="JU126" s="31">
        <v>17411</v>
      </c>
    </row>
    <row r="127" spans="1:282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G127" s="22">
        <v>579</v>
      </c>
      <c r="H127" s="22">
        <v>532</v>
      </c>
      <c r="I127" s="22">
        <v>1258</v>
      </c>
      <c r="J127" s="22">
        <v>596</v>
      </c>
      <c r="L127" s="22">
        <v>14</v>
      </c>
      <c r="M127" s="22">
        <v>71</v>
      </c>
      <c r="N127" s="22">
        <v>26</v>
      </c>
      <c r="O127" s="22">
        <v>1117</v>
      </c>
      <c r="R127" s="22">
        <v>14</v>
      </c>
      <c r="T127" s="22">
        <v>44</v>
      </c>
      <c r="X127" s="22">
        <v>759</v>
      </c>
      <c r="Z127" s="22">
        <v>6</v>
      </c>
      <c r="AA127" s="22">
        <v>596</v>
      </c>
      <c r="AB127" s="22">
        <v>894</v>
      </c>
      <c r="AD127" s="22">
        <v>32</v>
      </c>
      <c r="AE127" s="22">
        <v>777</v>
      </c>
      <c r="AW127" s="22">
        <v>13</v>
      </c>
      <c r="BA127" s="22">
        <v>49</v>
      </c>
      <c r="BD127" s="22">
        <v>25</v>
      </c>
      <c r="BF127" s="22">
        <v>12</v>
      </c>
      <c r="BG127" s="22">
        <v>13</v>
      </c>
      <c r="BK127" s="22">
        <v>13</v>
      </c>
      <c r="BL127" s="22">
        <v>12</v>
      </c>
      <c r="BM127" s="22">
        <v>4</v>
      </c>
      <c r="BQ127" s="22">
        <v>30</v>
      </c>
      <c r="BS127" s="22">
        <v>1192</v>
      </c>
      <c r="BT127" s="22">
        <v>1192</v>
      </c>
      <c r="BU127" s="22">
        <v>1192</v>
      </c>
      <c r="BV127" s="22">
        <v>1192</v>
      </c>
      <c r="BW127" s="22">
        <v>12</v>
      </c>
      <c r="BX127" s="22">
        <v>1192</v>
      </c>
      <c r="BY127" s="22">
        <v>596</v>
      </c>
      <c r="CB127" s="22">
        <v>596</v>
      </c>
      <c r="CC127" s="22">
        <v>596</v>
      </c>
      <c r="CF127" s="22">
        <v>6</v>
      </c>
      <c r="CI127" s="22">
        <v>12</v>
      </c>
      <c r="CJ127" s="22">
        <v>60</v>
      </c>
      <c r="CK127" s="22">
        <v>12</v>
      </c>
      <c r="CL127" s="22">
        <v>22</v>
      </c>
      <c r="CM127" s="22">
        <v>10</v>
      </c>
      <c r="CO127" s="22">
        <v>32</v>
      </c>
      <c r="CP127" s="22">
        <v>4</v>
      </c>
      <c r="CQ127" s="22">
        <v>2761</v>
      </c>
      <c r="CR127" s="22">
        <v>2316</v>
      </c>
      <c r="CU127" s="22">
        <v>48</v>
      </c>
      <c r="CW127" s="22">
        <v>500</v>
      </c>
      <c r="DF127" s="22">
        <v>48</v>
      </c>
      <c r="DG127" s="22">
        <v>37</v>
      </c>
      <c r="DO127" s="22">
        <v>500</v>
      </c>
      <c r="DY127" s="22">
        <v>752</v>
      </c>
      <c r="DZ127" s="22">
        <v>3000</v>
      </c>
      <c r="EB127" s="22">
        <v>2900</v>
      </c>
      <c r="EH127" s="22">
        <v>46</v>
      </c>
      <c r="EI127" s="22">
        <v>42</v>
      </c>
      <c r="EL127" s="22">
        <v>2</v>
      </c>
      <c r="EP127" s="22">
        <v>1300</v>
      </c>
      <c r="EQ127" s="22">
        <v>716</v>
      </c>
      <c r="ER127" s="22">
        <v>87</v>
      </c>
      <c r="ET127" s="22">
        <v>683</v>
      </c>
      <c r="FF127" s="22">
        <v>26</v>
      </c>
      <c r="FG127" s="22">
        <v>20</v>
      </c>
      <c r="FM127" s="22">
        <v>855</v>
      </c>
      <c r="FQ127" s="22">
        <v>18</v>
      </c>
      <c r="FR127" s="22">
        <v>296</v>
      </c>
      <c r="FW127" s="22">
        <v>60</v>
      </c>
      <c r="GF127" s="22">
        <v>8</v>
      </c>
      <c r="GI127" s="22">
        <v>24</v>
      </c>
      <c r="GJ127" s="22">
        <v>514</v>
      </c>
      <c r="GL127" s="22">
        <v>12</v>
      </c>
      <c r="GO127" s="22">
        <v>36</v>
      </c>
      <c r="GP127" s="22">
        <v>30</v>
      </c>
      <c r="GQ127" s="22">
        <v>26</v>
      </c>
      <c r="GS127" s="22">
        <v>18</v>
      </c>
      <c r="GT127" s="22">
        <v>17</v>
      </c>
      <c r="GU127" s="22">
        <v>182</v>
      </c>
      <c r="GY127" s="22">
        <v>2579</v>
      </c>
      <c r="GZ127" s="22">
        <v>30</v>
      </c>
      <c r="HA127" s="22">
        <v>38</v>
      </c>
      <c r="HC127" s="22">
        <v>80</v>
      </c>
      <c r="HI127" s="22">
        <v>28</v>
      </c>
      <c r="HJ127" s="22">
        <v>1019</v>
      </c>
      <c r="HM127" s="22">
        <v>1617</v>
      </c>
      <c r="HN127" s="22">
        <v>30</v>
      </c>
      <c r="HQ127" s="22">
        <v>16</v>
      </c>
      <c r="HR127" s="22">
        <v>1398</v>
      </c>
      <c r="HS127" s="22">
        <v>1430</v>
      </c>
      <c r="HT127" s="22">
        <v>4</v>
      </c>
      <c r="HW127" s="22">
        <v>24</v>
      </c>
      <c r="HX127" s="22">
        <v>10</v>
      </c>
      <c r="HY127" s="22">
        <v>27</v>
      </c>
      <c r="HZ127" s="22">
        <v>786</v>
      </c>
      <c r="ID127" s="22">
        <v>1460</v>
      </c>
      <c r="IE127" s="22">
        <v>12</v>
      </c>
      <c r="IF127" s="22">
        <v>618</v>
      </c>
      <c r="IG127" s="22">
        <v>759</v>
      </c>
      <c r="IH127" s="22">
        <v>36</v>
      </c>
      <c r="II127" s="22">
        <v>302</v>
      </c>
      <c r="IJ127" s="22">
        <v>50</v>
      </c>
      <c r="IK127" s="22">
        <v>42</v>
      </c>
      <c r="IL127" s="22">
        <v>835</v>
      </c>
      <c r="IO127" s="22">
        <v>34</v>
      </c>
      <c r="IP127" s="22">
        <v>1702</v>
      </c>
      <c r="IQ127" s="22">
        <v>12</v>
      </c>
      <c r="IR127" s="22">
        <v>43</v>
      </c>
      <c r="IS127" s="22">
        <v>614</v>
      </c>
      <c r="IT127" s="22">
        <v>12</v>
      </c>
      <c r="IW127" s="22">
        <v>10</v>
      </c>
      <c r="IY127" s="22">
        <v>596</v>
      </c>
      <c r="JA127" s="22">
        <v>59</v>
      </c>
      <c r="JB127" s="22">
        <v>731</v>
      </c>
      <c r="JC127" s="22">
        <v>59</v>
      </c>
      <c r="JD127" s="22">
        <v>35</v>
      </c>
      <c r="JE127" s="22">
        <v>2</v>
      </c>
      <c r="JF127" s="22">
        <v>47</v>
      </c>
      <c r="JG127" s="22">
        <v>47</v>
      </c>
      <c r="JH127" s="22">
        <v>71</v>
      </c>
      <c r="JI127" s="22">
        <v>61</v>
      </c>
      <c r="JJ127" s="22">
        <v>53</v>
      </c>
      <c r="JK127" s="22">
        <v>58</v>
      </c>
      <c r="JL127" s="22">
        <v>69</v>
      </c>
      <c r="JM127" s="22">
        <v>65</v>
      </c>
      <c r="JN127" s="22">
        <v>61</v>
      </c>
      <c r="JO127" s="22">
        <v>59</v>
      </c>
      <c r="JP127" s="22">
        <v>71</v>
      </c>
      <c r="JT127" s="22">
        <f>'NEW PURCHASE MATERIAL'!O127</f>
        <v>0</v>
      </c>
      <c r="JU127" s="31">
        <v>51085</v>
      </c>
      <c r="JV127" s="70">
        <v>16</v>
      </c>
    </row>
    <row r="128" spans="1:282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H128" s="22">
        <v>544</v>
      </c>
      <c r="I128" s="22">
        <v>1462</v>
      </c>
      <c r="M128" s="22">
        <v>5</v>
      </c>
      <c r="N128" s="22">
        <v>643</v>
      </c>
      <c r="Q128" s="22">
        <v>1192</v>
      </c>
      <c r="R128" s="22">
        <v>817</v>
      </c>
      <c r="X128" s="22">
        <v>1480</v>
      </c>
      <c r="AD128" s="22">
        <v>1474</v>
      </c>
      <c r="AE128" s="22">
        <v>1290</v>
      </c>
      <c r="BQ128" s="22">
        <v>30</v>
      </c>
      <c r="BW128" s="22">
        <v>721</v>
      </c>
      <c r="BY128" s="22">
        <v>596</v>
      </c>
      <c r="BZ128" s="22">
        <v>596</v>
      </c>
      <c r="CA128" s="22">
        <v>596</v>
      </c>
      <c r="CB128" s="22">
        <v>596</v>
      </c>
      <c r="CC128" s="22">
        <v>596</v>
      </c>
      <c r="CE128" s="22">
        <v>596</v>
      </c>
      <c r="CG128" s="22">
        <v>1192</v>
      </c>
      <c r="CH128" s="22">
        <v>596</v>
      </c>
      <c r="CI128" s="22">
        <v>682</v>
      </c>
      <c r="CK128" s="22">
        <v>744</v>
      </c>
      <c r="CL128" s="22">
        <v>2491</v>
      </c>
      <c r="CM128" s="22">
        <v>712</v>
      </c>
      <c r="CO128" s="22">
        <v>2434</v>
      </c>
      <c r="CP128" s="22">
        <v>2</v>
      </c>
      <c r="DO128" s="22">
        <v>1144</v>
      </c>
      <c r="DR128" s="22">
        <v>1500</v>
      </c>
      <c r="DS128" s="22">
        <v>1500</v>
      </c>
      <c r="DZ128" s="22">
        <v>500</v>
      </c>
      <c r="EB128" s="22">
        <v>800</v>
      </c>
      <c r="EH128" s="22">
        <v>9</v>
      </c>
      <c r="ER128" s="22">
        <v>78</v>
      </c>
      <c r="FQ128" s="22">
        <v>686</v>
      </c>
      <c r="FR128" s="22">
        <v>579</v>
      </c>
      <c r="FW128" s="22">
        <v>4</v>
      </c>
      <c r="GF128" s="22">
        <v>4</v>
      </c>
      <c r="GI128" s="22">
        <v>562</v>
      </c>
      <c r="GJ128" s="22">
        <v>8</v>
      </c>
      <c r="GQ128" s="22">
        <v>4</v>
      </c>
      <c r="GS128" s="22">
        <v>5</v>
      </c>
      <c r="GU128" s="22">
        <v>37</v>
      </c>
      <c r="GZ128" s="22">
        <v>1357</v>
      </c>
      <c r="HI128" s="22">
        <v>1504</v>
      </c>
      <c r="HJ128" s="22">
        <v>1404</v>
      </c>
      <c r="HK128" s="22">
        <v>2</v>
      </c>
      <c r="HM128" s="22">
        <v>1052</v>
      </c>
      <c r="HQ128" s="22">
        <v>778</v>
      </c>
      <c r="HR128" s="22">
        <v>232</v>
      </c>
      <c r="HS128" s="22">
        <v>842</v>
      </c>
      <c r="HW128" s="22">
        <v>625</v>
      </c>
      <c r="HX128" s="22">
        <v>818</v>
      </c>
      <c r="HZ128" s="22">
        <v>1819</v>
      </c>
      <c r="ID128" s="22">
        <v>743</v>
      </c>
      <c r="IE128" s="22">
        <v>771</v>
      </c>
      <c r="IH128" s="22">
        <v>1391</v>
      </c>
      <c r="IJ128" s="22">
        <v>10</v>
      </c>
      <c r="IK128" s="22">
        <v>18</v>
      </c>
      <c r="IL128" s="22">
        <v>1272</v>
      </c>
      <c r="IO128" s="22">
        <v>648</v>
      </c>
      <c r="IP128" s="22">
        <v>728</v>
      </c>
      <c r="IQ128" s="22">
        <v>649</v>
      </c>
      <c r="IR128" s="22" t="s">
        <v>1805</v>
      </c>
      <c r="IS128" s="22">
        <v>2</v>
      </c>
      <c r="IT128" s="22">
        <v>833</v>
      </c>
      <c r="IU128" s="22">
        <v>2</v>
      </c>
      <c r="IW128" s="22">
        <v>781</v>
      </c>
      <c r="IZ128" s="22">
        <v>2</v>
      </c>
      <c r="JA128" s="22">
        <v>6</v>
      </c>
      <c r="JC128" s="22">
        <v>5</v>
      </c>
      <c r="JD128" s="22">
        <v>6</v>
      </c>
      <c r="JF128" s="22">
        <v>6</v>
      </c>
      <c r="JG128" s="22">
        <v>7</v>
      </c>
      <c r="JH128" s="22">
        <v>5</v>
      </c>
      <c r="JI128" s="22">
        <v>9</v>
      </c>
      <c r="JJ128" s="22">
        <v>6</v>
      </c>
      <c r="JK128" s="22">
        <v>6</v>
      </c>
      <c r="JM128" s="22">
        <v>4</v>
      </c>
      <c r="JO128" s="22">
        <v>13</v>
      </c>
      <c r="JP128" s="22">
        <v>6</v>
      </c>
      <c r="JT128" s="22">
        <f>'NEW PURCHASE MATERIAL'!O128</f>
        <v>0</v>
      </c>
      <c r="JU128" s="31">
        <v>47869</v>
      </c>
      <c r="JV128" s="70">
        <v>9</v>
      </c>
    </row>
    <row r="129" spans="1:286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N129" s="22">
        <v>615</v>
      </c>
      <c r="O129" s="22">
        <v>298</v>
      </c>
      <c r="Z129" s="22">
        <v>596</v>
      </c>
      <c r="AB129" s="22">
        <v>298</v>
      </c>
      <c r="AD129" s="22">
        <v>342</v>
      </c>
      <c r="EF129" s="22">
        <v>45</v>
      </c>
      <c r="EG129" s="22">
        <v>10</v>
      </c>
      <c r="FQ129" s="22">
        <v>140</v>
      </c>
      <c r="FR129" s="22">
        <v>193</v>
      </c>
      <c r="GZ129" s="22">
        <v>753</v>
      </c>
      <c r="HN129" s="22">
        <v>761</v>
      </c>
      <c r="HY129" s="22">
        <v>760</v>
      </c>
      <c r="IG129" s="22">
        <v>728</v>
      </c>
      <c r="IR129" s="22" t="s">
        <v>1805</v>
      </c>
      <c r="JT129" s="22">
        <f>'NEW PURCHASE MATERIAL'!O129</f>
        <v>0</v>
      </c>
      <c r="JU129" s="31">
        <v>5539</v>
      </c>
      <c r="JV129" s="70">
        <v>6</v>
      </c>
    </row>
    <row r="130" spans="1:286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H130" s="22">
        <v>4</v>
      </c>
      <c r="J130" s="22">
        <v>579</v>
      </c>
      <c r="R130" s="22">
        <v>596</v>
      </c>
      <c r="AA130" s="22">
        <v>596</v>
      </c>
      <c r="AD130" s="22">
        <v>341</v>
      </c>
      <c r="BQ130" s="22">
        <v>30</v>
      </c>
      <c r="CP130" s="22">
        <v>1</v>
      </c>
      <c r="DY130" s="22">
        <v>728</v>
      </c>
      <c r="EG130" s="22">
        <v>20</v>
      </c>
      <c r="ET130" s="22">
        <v>5</v>
      </c>
      <c r="FR130" s="22">
        <v>457</v>
      </c>
      <c r="GP130" s="22">
        <v>13</v>
      </c>
      <c r="GU130" s="22">
        <v>1</v>
      </c>
      <c r="HA130" s="22">
        <v>930</v>
      </c>
      <c r="HN130" s="22">
        <v>1086</v>
      </c>
      <c r="IF130" s="22">
        <v>1324</v>
      </c>
      <c r="IO130" s="22">
        <v>1106</v>
      </c>
      <c r="IR130" s="22" t="s">
        <v>1805</v>
      </c>
      <c r="JT130" s="22">
        <f>'NEW PURCHASE MATERIAL'!O130</f>
        <v>0</v>
      </c>
      <c r="JU130" s="31">
        <v>7817</v>
      </c>
      <c r="JV130" s="70">
        <v>5</v>
      </c>
    </row>
    <row r="131" spans="1:286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H131" s="22">
        <v>11</v>
      </c>
      <c r="EF131" s="22">
        <v>40</v>
      </c>
      <c r="EP131" s="22">
        <v>43</v>
      </c>
      <c r="ET131" s="22">
        <v>93</v>
      </c>
      <c r="FR131" s="22">
        <v>222</v>
      </c>
      <c r="GU131" s="22">
        <v>1</v>
      </c>
      <c r="IR131" s="22" t="s">
        <v>1805</v>
      </c>
      <c r="JT131" s="22">
        <f>'NEW PURCHASE MATERIAL'!O131</f>
        <v>0</v>
      </c>
      <c r="JU131" s="31">
        <v>410</v>
      </c>
      <c r="JY131">
        <v>48</v>
      </c>
      <c r="JZ131">
        <v>42</v>
      </c>
    </row>
    <row r="132" spans="1:286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H132" s="22">
        <v>646</v>
      </c>
      <c r="N132" s="22">
        <v>351</v>
      </c>
      <c r="O132" s="22">
        <v>298</v>
      </c>
      <c r="Z132" s="22">
        <v>562</v>
      </c>
      <c r="AB132" s="22">
        <v>298</v>
      </c>
      <c r="BQ132" s="22">
        <v>15</v>
      </c>
      <c r="CP132" s="22">
        <v>14</v>
      </c>
      <c r="EG132" s="22">
        <v>4</v>
      </c>
      <c r="EP132" s="22">
        <v>407</v>
      </c>
      <c r="FR132" s="22">
        <v>458</v>
      </c>
      <c r="GP132" s="22">
        <v>40</v>
      </c>
      <c r="GU132" s="22">
        <v>3</v>
      </c>
      <c r="HI132" s="22">
        <v>563</v>
      </c>
      <c r="HV132" s="22">
        <v>1192</v>
      </c>
      <c r="HY132" s="22">
        <v>667</v>
      </c>
      <c r="IG132" s="22">
        <v>596</v>
      </c>
      <c r="II132" s="22">
        <v>1086</v>
      </c>
      <c r="IR132" s="22">
        <v>19</v>
      </c>
      <c r="IS132" s="22">
        <v>618</v>
      </c>
      <c r="JB132" s="22">
        <v>579</v>
      </c>
      <c r="JE132" s="22">
        <v>596</v>
      </c>
      <c r="JT132" s="22">
        <f>'NEW PURCHASE MATERIAL'!O132</f>
        <v>0</v>
      </c>
      <c r="JU132" s="31">
        <v>9012</v>
      </c>
    </row>
    <row r="133" spans="1:286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EF133" s="22">
        <v>13</v>
      </c>
      <c r="GU133" s="22">
        <v>14</v>
      </c>
      <c r="IR133" s="22" t="s">
        <v>1805</v>
      </c>
      <c r="JT133" s="22">
        <f>'NEW PURCHASE MATERIAL'!O133</f>
        <v>0</v>
      </c>
      <c r="JU133" s="31">
        <v>27</v>
      </c>
    </row>
    <row r="134" spans="1:286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EQ134" s="22">
        <v>14</v>
      </c>
      <c r="ET134" s="22">
        <v>6</v>
      </c>
      <c r="GU134" s="22">
        <v>13</v>
      </c>
      <c r="IR134" s="22" t="s">
        <v>1805</v>
      </c>
      <c r="JT134" s="22">
        <f>'NEW PURCHASE MATERIAL'!O134</f>
        <v>0</v>
      </c>
      <c r="JU134" s="31">
        <v>33</v>
      </c>
    </row>
    <row r="135" spans="1:286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L135" s="22">
        <v>608</v>
      </c>
      <c r="S135" s="22">
        <v>596</v>
      </c>
      <c r="U135" s="22">
        <v>596</v>
      </c>
      <c r="Y135" s="22">
        <v>596</v>
      </c>
      <c r="AF135" s="22">
        <v>596</v>
      </c>
      <c r="BI135" s="22">
        <v>1000</v>
      </c>
      <c r="BJ135" s="22">
        <v>1000</v>
      </c>
      <c r="BQ135" s="22">
        <v>60</v>
      </c>
      <c r="CK135" s="22">
        <v>596</v>
      </c>
      <c r="CM135" s="22">
        <v>596</v>
      </c>
      <c r="CN135" s="22">
        <v>894</v>
      </c>
      <c r="CP135" s="22">
        <v>8</v>
      </c>
      <c r="CS135" s="22">
        <v>1800</v>
      </c>
      <c r="CV135" s="22">
        <v>1800</v>
      </c>
      <c r="CW135" s="22">
        <v>500</v>
      </c>
      <c r="CX135" s="22">
        <v>1000</v>
      </c>
      <c r="CY135" s="22">
        <v>1000</v>
      </c>
      <c r="CZ135" s="22">
        <v>1800</v>
      </c>
      <c r="DA135" s="22">
        <v>1000</v>
      </c>
      <c r="DB135" s="22">
        <v>1000</v>
      </c>
      <c r="DC135" s="22">
        <v>1000</v>
      </c>
      <c r="DD135" s="22">
        <v>1000</v>
      </c>
      <c r="DE135" s="22">
        <v>1800</v>
      </c>
      <c r="DH135" s="22">
        <v>1000</v>
      </c>
      <c r="DI135" s="22">
        <v>1000</v>
      </c>
      <c r="DJ135" s="22">
        <v>1000</v>
      </c>
      <c r="DK135" s="22">
        <v>1000</v>
      </c>
      <c r="DL135" s="22">
        <v>1000</v>
      </c>
      <c r="DM135" s="22">
        <v>1050</v>
      </c>
      <c r="DO135" s="22">
        <v>500</v>
      </c>
      <c r="DP135" s="22">
        <v>1000</v>
      </c>
      <c r="DQ135" s="22">
        <v>1000</v>
      </c>
      <c r="DR135" s="22">
        <v>500</v>
      </c>
      <c r="DS135" s="22">
        <v>550</v>
      </c>
      <c r="DT135" s="22">
        <v>1000</v>
      </c>
      <c r="DU135" s="22">
        <v>1000</v>
      </c>
      <c r="DV135" s="22">
        <v>1000</v>
      </c>
      <c r="EK135" s="22">
        <v>596</v>
      </c>
      <c r="EQ135" s="22">
        <v>650</v>
      </c>
      <c r="ET135" s="22">
        <v>845</v>
      </c>
      <c r="FF135" s="22">
        <v>610</v>
      </c>
      <c r="FM135" s="22">
        <v>596</v>
      </c>
      <c r="FR135" s="22">
        <v>202</v>
      </c>
      <c r="GP135" s="22">
        <v>108</v>
      </c>
      <c r="GU135" s="22">
        <v>47</v>
      </c>
      <c r="HK135" s="22">
        <v>596</v>
      </c>
      <c r="HQ135" s="22">
        <v>598</v>
      </c>
      <c r="HT135" s="22">
        <v>596</v>
      </c>
      <c r="HX135" s="22">
        <v>596</v>
      </c>
      <c r="IE135" s="22">
        <v>596</v>
      </c>
      <c r="IN135" s="22">
        <v>596</v>
      </c>
      <c r="IQ135" s="22">
        <v>596</v>
      </c>
      <c r="IR135" s="22" t="s">
        <v>1805</v>
      </c>
      <c r="IT135" s="22">
        <v>579</v>
      </c>
      <c r="IU135" s="22">
        <v>526</v>
      </c>
      <c r="IW135" s="22">
        <v>596</v>
      </c>
      <c r="IY135" s="22">
        <v>596</v>
      </c>
      <c r="IZ135" s="22">
        <v>596</v>
      </c>
      <c r="JT135" s="22">
        <f>'NEW PURCHASE MATERIAL'!O135</f>
        <v>0</v>
      </c>
      <c r="JU135" s="31">
        <v>44167</v>
      </c>
    </row>
    <row r="136" spans="1:286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IR136" s="22" t="s">
        <v>1805</v>
      </c>
      <c r="JT136" s="22">
        <f>'NEW PURCHASE MATERIAL'!O136</f>
        <v>0</v>
      </c>
      <c r="JU136" s="31">
        <v>0</v>
      </c>
    </row>
    <row r="137" spans="1:286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IR137" s="22" t="s">
        <v>1805</v>
      </c>
      <c r="JT137" s="22">
        <f>'NEW PURCHASE MATERIAL'!O137</f>
        <v>0</v>
      </c>
      <c r="JU137" s="31">
        <v>0</v>
      </c>
    </row>
    <row r="138" spans="1:286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IR138" s="22" t="s">
        <v>1805</v>
      </c>
      <c r="JT138" s="22">
        <f>'NEW PURCHASE MATERIAL'!O138</f>
        <v>0</v>
      </c>
      <c r="JU138" s="31">
        <v>0</v>
      </c>
    </row>
    <row r="139" spans="1:286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IR139" s="22" t="s">
        <v>1805</v>
      </c>
      <c r="JT139" s="22">
        <f>'NEW PURCHASE MATERIAL'!O139</f>
        <v>0</v>
      </c>
      <c r="JU139" s="31">
        <v>0</v>
      </c>
    </row>
    <row r="140" spans="1:286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IR140" s="22" t="s">
        <v>1805</v>
      </c>
      <c r="JT140" s="22">
        <f>'NEW PURCHASE MATERIAL'!O140</f>
        <v>0</v>
      </c>
      <c r="JU140" s="31">
        <v>0</v>
      </c>
    </row>
    <row r="141" spans="1:286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EG141" s="22">
        <v>2</v>
      </c>
      <c r="IR141" s="22" t="s">
        <v>1805</v>
      </c>
      <c r="JT141" s="22">
        <f>'NEW PURCHASE MATERIAL'!O141</f>
        <v>0</v>
      </c>
      <c r="JU141" s="31">
        <v>2</v>
      </c>
    </row>
    <row r="142" spans="1:286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IR142" s="22" t="s">
        <v>1805</v>
      </c>
      <c r="JT142" s="22">
        <f>'NEW PURCHASE MATERIAL'!O142</f>
        <v>0</v>
      </c>
      <c r="JU142" s="31">
        <v>0</v>
      </c>
    </row>
    <row r="143" spans="1:286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M143" s="22">
        <v>4</v>
      </c>
      <c r="BR143" s="22">
        <v>50</v>
      </c>
      <c r="CU143" s="22">
        <v>10</v>
      </c>
      <c r="DF143" s="22">
        <v>2000</v>
      </c>
      <c r="EH143" s="22">
        <v>1800</v>
      </c>
      <c r="EI143" s="22">
        <v>1800</v>
      </c>
      <c r="FW143" s="22">
        <v>1940</v>
      </c>
      <c r="GF143" s="22">
        <v>17186</v>
      </c>
      <c r="GP143" s="22">
        <v>1500</v>
      </c>
      <c r="HC143" s="22">
        <v>3760</v>
      </c>
      <c r="IR143" s="22">
        <v>642</v>
      </c>
      <c r="JC143" s="22">
        <v>4</v>
      </c>
      <c r="JF143" s="22">
        <v>4</v>
      </c>
      <c r="JG143" s="22">
        <v>4</v>
      </c>
      <c r="JI143" s="22">
        <v>2</v>
      </c>
      <c r="JL143" s="22">
        <v>2</v>
      </c>
      <c r="JN143" s="22">
        <v>4</v>
      </c>
      <c r="JP143" s="22">
        <v>4</v>
      </c>
      <c r="JT143" s="22">
        <f>'NEW PURCHASE MATERIAL'!O143</f>
        <v>0</v>
      </c>
      <c r="JU143" s="31">
        <v>30716</v>
      </c>
    </row>
    <row r="144" spans="1:286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BM144" s="22">
        <v>6</v>
      </c>
      <c r="IR144" s="22" t="s">
        <v>1805</v>
      </c>
      <c r="JT144" s="22">
        <f>'NEW PURCHASE MATERIAL'!O144</f>
        <v>100</v>
      </c>
      <c r="JU144" s="31">
        <v>106</v>
      </c>
    </row>
    <row r="145" spans="1:281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BM145" s="22">
        <v>30</v>
      </c>
      <c r="EL145" s="22">
        <v>7</v>
      </c>
      <c r="FG145" s="22">
        <v>44</v>
      </c>
      <c r="FO145" s="22">
        <v>210</v>
      </c>
      <c r="FQ145" s="22">
        <v>113</v>
      </c>
      <c r="FX145" s="22">
        <v>380</v>
      </c>
      <c r="HB145" s="22">
        <v>238</v>
      </c>
      <c r="IR145" s="22">
        <v>28</v>
      </c>
      <c r="JT145" s="22">
        <f>'NEW PURCHASE MATERIAL'!O145</f>
        <v>0</v>
      </c>
      <c r="JU145" s="31">
        <v>1050</v>
      </c>
    </row>
    <row r="146" spans="1:281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BL146" s="22">
        <v>186</v>
      </c>
      <c r="BM146" s="22">
        <v>667</v>
      </c>
      <c r="ES146" s="22">
        <v>1</v>
      </c>
      <c r="FG146" s="22">
        <v>2</v>
      </c>
      <c r="FQ146" s="22">
        <v>32</v>
      </c>
      <c r="FX146" s="22">
        <v>161</v>
      </c>
      <c r="HA146" s="22">
        <v>4</v>
      </c>
      <c r="IR146" s="22">
        <v>29</v>
      </c>
      <c r="JT146" s="22">
        <f>'NEW PURCHASE MATERIAL'!O146</f>
        <v>0</v>
      </c>
      <c r="JU146" s="31">
        <v>1082</v>
      </c>
    </row>
    <row r="147" spans="1:281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BL147" s="22">
        <v>28</v>
      </c>
      <c r="IR147" s="22" t="s">
        <v>1805</v>
      </c>
      <c r="JT147" s="22">
        <f>'NEW PURCHASE MATERIAL'!O147</f>
        <v>500</v>
      </c>
      <c r="JU147" s="31">
        <v>528</v>
      </c>
    </row>
    <row r="148" spans="1:281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BL148" s="22">
        <v>242</v>
      </c>
      <c r="FG148" s="22">
        <v>8</v>
      </c>
      <c r="FQ148" s="22">
        <v>6</v>
      </c>
      <c r="HA148" s="22">
        <v>6</v>
      </c>
      <c r="IR148" s="22">
        <v>8</v>
      </c>
      <c r="JT148" s="22">
        <f>'NEW PURCHASE MATERIAL'!O148</f>
        <v>0</v>
      </c>
      <c r="JU148" s="31">
        <v>270</v>
      </c>
    </row>
    <row r="149" spans="1:281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BL149" s="22">
        <v>6</v>
      </c>
      <c r="FG149" s="22">
        <v>1</v>
      </c>
      <c r="IR149" s="22" t="s">
        <v>1805</v>
      </c>
      <c r="JT149" s="22">
        <f>'NEW PURCHASE MATERIAL'!O149</f>
        <v>0</v>
      </c>
      <c r="JU149" s="31">
        <v>7</v>
      </c>
    </row>
    <row r="150" spans="1:281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AP150" s="22">
        <v>196</v>
      </c>
      <c r="BL150" s="22">
        <v>72</v>
      </c>
      <c r="ED150" s="22">
        <v>181</v>
      </c>
      <c r="FG150" s="22">
        <v>25</v>
      </c>
      <c r="FQ150" s="22">
        <v>22</v>
      </c>
      <c r="HA150" s="22">
        <v>14</v>
      </c>
      <c r="IR150" s="22" t="s">
        <v>1805</v>
      </c>
      <c r="JT150" s="22">
        <f>'NEW PURCHASE MATERIAL'!O150</f>
        <v>700</v>
      </c>
      <c r="JU150" s="31">
        <v>1210</v>
      </c>
    </row>
    <row r="151" spans="1:281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BM151" s="22">
        <v>2</v>
      </c>
      <c r="FG151" s="22">
        <v>18</v>
      </c>
      <c r="FQ151" s="22">
        <v>1</v>
      </c>
      <c r="HA151" s="22">
        <v>1</v>
      </c>
      <c r="IR151" s="22" t="s">
        <v>1805</v>
      </c>
      <c r="JT151" s="22">
        <f>'NEW PURCHASE MATERIAL'!O151</f>
        <v>0</v>
      </c>
      <c r="JU151" s="31">
        <v>22</v>
      </c>
    </row>
    <row r="152" spans="1:281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BL152" s="22">
        <v>639</v>
      </c>
      <c r="EF152" s="22">
        <v>17</v>
      </c>
      <c r="ES152" s="22">
        <v>2</v>
      </c>
      <c r="FF152" s="22">
        <v>72</v>
      </c>
      <c r="FQ152" s="22">
        <v>96</v>
      </c>
      <c r="HA152" s="22">
        <v>7</v>
      </c>
      <c r="HB152" s="22">
        <v>268</v>
      </c>
      <c r="IR152" s="22" t="s">
        <v>1805</v>
      </c>
      <c r="JT152" s="22">
        <f>'NEW PURCHASE MATERIAL'!O152</f>
        <v>500</v>
      </c>
      <c r="JU152" s="31">
        <v>1601</v>
      </c>
    </row>
    <row r="153" spans="1:281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ED153" s="22">
        <v>294</v>
      </c>
      <c r="EF153" s="22">
        <v>50</v>
      </c>
      <c r="ES153" s="22">
        <v>7</v>
      </c>
      <c r="IR153" s="22" t="s">
        <v>1805</v>
      </c>
      <c r="JT153" s="22">
        <f>'NEW PURCHASE MATERIAL'!O153</f>
        <v>0</v>
      </c>
      <c r="JU153" s="31">
        <v>351</v>
      </c>
    </row>
    <row r="154" spans="1:281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IR154" s="22" t="s">
        <v>1805</v>
      </c>
      <c r="JT154" s="22">
        <f>'NEW PURCHASE MATERIAL'!O154</f>
        <v>0</v>
      </c>
      <c r="JU154" s="31">
        <v>0</v>
      </c>
    </row>
    <row r="155" spans="1:281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IR155" s="22" t="s">
        <v>1805</v>
      </c>
      <c r="JT155" s="22">
        <f>'NEW PURCHASE MATERIAL'!O155</f>
        <v>0</v>
      </c>
      <c r="JU155" s="31">
        <v>0</v>
      </c>
    </row>
    <row r="156" spans="1:281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IR156" s="22" t="s">
        <v>1805</v>
      </c>
      <c r="JT156" s="22">
        <f>'NEW PURCHASE MATERIAL'!O156</f>
        <v>0</v>
      </c>
      <c r="JU156" s="31">
        <v>0</v>
      </c>
    </row>
    <row r="157" spans="1:281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IR157" s="22" t="s">
        <v>1805</v>
      </c>
      <c r="JT157" s="22">
        <f>'NEW PURCHASE MATERIAL'!O157</f>
        <v>0</v>
      </c>
      <c r="JU157" s="31">
        <v>0</v>
      </c>
    </row>
    <row r="158" spans="1:281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EM158" s="22">
        <v>5</v>
      </c>
      <c r="ET158" s="22">
        <v>2</v>
      </c>
      <c r="FO158" s="22">
        <v>6</v>
      </c>
      <c r="FP158" s="22">
        <v>3</v>
      </c>
      <c r="FR158" s="22">
        <v>2</v>
      </c>
      <c r="FX158" s="22">
        <v>3</v>
      </c>
      <c r="GS158" s="22">
        <v>15</v>
      </c>
      <c r="HB158" s="22">
        <v>4</v>
      </c>
      <c r="HC158" s="22">
        <v>1</v>
      </c>
      <c r="IR158" s="22" t="s">
        <v>1805</v>
      </c>
      <c r="JT158" s="22">
        <f>'NEW PURCHASE MATERIAL'!O158</f>
        <v>0</v>
      </c>
      <c r="JU158" s="31">
        <v>41</v>
      </c>
    </row>
    <row r="159" spans="1:281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M159" s="22">
        <v>16</v>
      </c>
      <c r="EH159" s="22">
        <v>24</v>
      </c>
      <c r="EI159" s="22">
        <v>2</v>
      </c>
      <c r="EM159" s="22">
        <v>6</v>
      </c>
      <c r="ET159" s="22">
        <v>9</v>
      </c>
      <c r="FR159" s="22">
        <v>17</v>
      </c>
      <c r="FW159" s="22">
        <v>27</v>
      </c>
      <c r="GI159" s="22">
        <v>107</v>
      </c>
      <c r="GP159" s="22">
        <v>64</v>
      </c>
      <c r="GS159" s="22">
        <v>25</v>
      </c>
      <c r="HC159" s="22">
        <v>1</v>
      </c>
      <c r="HJ159" s="22">
        <v>307</v>
      </c>
      <c r="IR159" s="22" t="s">
        <v>1805</v>
      </c>
      <c r="JA159" s="22">
        <v>14</v>
      </c>
      <c r="JC159" s="22">
        <v>12</v>
      </c>
      <c r="JD159" s="22">
        <v>12</v>
      </c>
      <c r="JF159" s="22">
        <v>31</v>
      </c>
      <c r="JG159" s="22">
        <v>12</v>
      </c>
      <c r="JH159" s="22">
        <v>10</v>
      </c>
      <c r="JI159" s="22">
        <v>19</v>
      </c>
      <c r="JJ159" s="22">
        <v>31</v>
      </c>
      <c r="JK159" s="22">
        <v>15</v>
      </c>
      <c r="JM159" s="22">
        <v>32</v>
      </c>
      <c r="JN159" s="22">
        <v>45</v>
      </c>
      <c r="JO159" s="22">
        <v>53</v>
      </c>
      <c r="JP159" s="22">
        <v>13</v>
      </c>
      <c r="JT159" s="22">
        <f>'NEW PURCHASE MATERIAL'!O159</f>
        <v>0</v>
      </c>
      <c r="JU159" s="31">
        <v>904</v>
      </c>
    </row>
    <row r="160" spans="1:281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M160" s="22">
        <v>23</v>
      </c>
      <c r="EH160" s="22">
        <v>25</v>
      </c>
      <c r="FW160" s="22">
        <v>16</v>
      </c>
      <c r="GS160" s="22">
        <v>11</v>
      </c>
      <c r="HD160" s="22">
        <v>100</v>
      </c>
      <c r="IR160" s="22" t="s">
        <v>1805</v>
      </c>
      <c r="JA160" s="22">
        <v>25</v>
      </c>
      <c r="JC160" s="22">
        <v>26</v>
      </c>
      <c r="JD160" s="22">
        <v>26</v>
      </c>
      <c r="JF160" s="22">
        <v>26</v>
      </c>
      <c r="JG160" s="22">
        <v>26</v>
      </c>
      <c r="JH160" s="22">
        <v>20</v>
      </c>
      <c r="JI160" s="22">
        <v>34</v>
      </c>
      <c r="JJ160" s="22">
        <v>16</v>
      </c>
      <c r="JK160" s="22">
        <v>26</v>
      </c>
      <c r="JM160" s="22">
        <v>26</v>
      </c>
      <c r="JO160" s="22">
        <v>71</v>
      </c>
      <c r="JP160" s="22">
        <v>26</v>
      </c>
      <c r="JT160" s="22">
        <f>'NEW PURCHASE MATERIAL'!O160</f>
        <v>0</v>
      </c>
      <c r="JU160" s="31">
        <v>523</v>
      </c>
    </row>
    <row r="161" spans="1:281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IR161" s="22" t="s">
        <v>1805</v>
      </c>
      <c r="JT161" s="22">
        <f>'NEW PURCHASE MATERIAL'!O161</f>
        <v>0</v>
      </c>
      <c r="JU161" s="31">
        <v>0</v>
      </c>
    </row>
    <row r="162" spans="1:281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GW162" s="22">
        <v>400</v>
      </c>
      <c r="IR162" s="22" t="s">
        <v>1805</v>
      </c>
      <c r="JT162" s="22">
        <f>'NEW PURCHASE MATERIAL'!O162</f>
        <v>0</v>
      </c>
      <c r="JU162" s="31">
        <v>400</v>
      </c>
    </row>
    <row r="163" spans="1:281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CW163" s="22">
        <v>320</v>
      </c>
      <c r="GU163" s="22">
        <v>4</v>
      </c>
      <c r="HD163" s="22">
        <v>100</v>
      </c>
      <c r="IR163" s="22" t="s">
        <v>1805</v>
      </c>
      <c r="JT163" s="22">
        <f>'NEW PURCHASE MATERIAL'!O163</f>
        <v>0</v>
      </c>
      <c r="JU163" s="31">
        <v>424</v>
      </c>
    </row>
    <row r="164" spans="1:281" x14ac:dyDescent="0.25">
      <c r="A164" s="22">
        <v>160</v>
      </c>
      <c r="B164" s="22">
        <v>3000003029</v>
      </c>
      <c r="C164" t="s">
        <v>211</v>
      </c>
      <c r="D164" s="22" t="s">
        <v>12</v>
      </c>
      <c r="BA164" s="22">
        <v>24</v>
      </c>
      <c r="CF164" s="22">
        <v>6</v>
      </c>
      <c r="GQ164" s="22">
        <v>6</v>
      </c>
      <c r="GT164" s="22">
        <v>45</v>
      </c>
      <c r="HV164" s="22">
        <v>4</v>
      </c>
      <c r="HW164" s="22">
        <v>16</v>
      </c>
      <c r="IR164" s="22" t="s">
        <v>1805</v>
      </c>
      <c r="JT164" s="22">
        <f>'NEW PURCHASE MATERIAL'!O164</f>
        <v>0</v>
      </c>
      <c r="JU164" s="31">
        <v>101</v>
      </c>
    </row>
    <row r="165" spans="1:281" x14ac:dyDescent="0.25">
      <c r="A165" s="22">
        <v>161</v>
      </c>
      <c r="B165" s="22">
        <v>3000003029</v>
      </c>
      <c r="C165" t="s">
        <v>297</v>
      </c>
      <c r="D165" s="22" t="s">
        <v>12</v>
      </c>
      <c r="IR165" s="22" t="s">
        <v>1805</v>
      </c>
      <c r="JT165" s="22">
        <f>'NEW PURCHASE MATERIAL'!O165</f>
        <v>0</v>
      </c>
      <c r="JU165" s="31">
        <v>0</v>
      </c>
    </row>
    <row r="166" spans="1:281" x14ac:dyDescent="0.25">
      <c r="A166" s="22">
        <v>162</v>
      </c>
      <c r="B166" s="22">
        <v>1000006010</v>
      </c>
      <c r="C166" t="s">
        <v>298</v>
      </c>
      <c r="D166" s="22" t="s">
        <v>12</v>
      </c>
      <c r="IR166" s="22" t="s">
        <v>1805</v>
      </c>
      <c r="JT166" s="22">
        <f>'NEW PURCHASE MATERIAL'!O166</f>
        <v>0</v>
      </c>
      <c r="JU166" s="31">
        <v>0</v>
      </c>
    </row>
    <row r="167" spans="1:281" x14ac:dyDescent="0.25">
      <c r="A167" s="22">
        <v>163</v>
      </c>
      <c r="B167" s="22">
        <v>3000001220</v>
      </c>
      <c r="C167" t="s">
        <v>300</v>
      </c>
      <c r="D167" s="22" t="s">
        <v>12</v>
      </c>
      <c r="IR167" s="22" t="s">
        <v>1805</v>
      </c>
      <c r="JT167" s="22">
        <f>'NEW PURCHASE MATERIAL'!O167</f>
        <v>0</v>
      </c>
      <c r="JU167" s="31">
        <v>0</v>
      </c>
    </row>
    <row r="168" spans="1:281" x14ac:dyDescent="0.25">
      <c r="A168" s="22">
        <v>164</v>
      </c>
      <c r="B168" s="22">
        <v>3000001221</v>
      </c>
      <c r="C168" t="s">
        <v>302</v>
      </c>
      <c r="D168" s="22" t="s">
        <v>12</v>
      </c>
      <c r="EF168" s="22">
        <v>5</v>
      </c>
      <c r="IR168" s="22" t="s">
        <v>1805</v>
      </c>
      <c r="JT168" s="22">
        <f>'NEW PURCHASE MATERIAL'!O168</f>
        <v>0</v>
      </c>
      <c r="JU168" s="31">
        <v>5</v>
      </c>
    </row>
    <row r="169" spans="1:281" x14ac:dyDescent="0.25">
      <c r="A169" s="22">
        <v>165</v>
      </c>
      <c r="B169" s="22">
        <v>3000001223</v>
      </c>
      <c r="C169" t="s">
        <v>304</v>
      </c>
      <c r="D169" s="22" t="s">
        <v>12</v>
      </c>
      <c r="IR169" s="22" t="s">
        <v>1805</v>
      </c>
      <c r="JT169" s="22">
        <f>'NEW PURCHASE MATERIAL'!O169</f>
        <v>0</v>
      </c>
      <c r="JU169" s="31">
        <v>0</v>
      </c>
    </row>
    <row r="170" spans="1:281" x14ac:dyDescent="0.25">
      <c r="A170" s="22">
        <v>166</v>
      </c>
      <c r="B170" s="22">
        <v>3000001224</v>
      </c>
      <c r="C170" t="s">
        <v>306</v>
      </c>
      <c r="D170" s="22" t="s">
        <v>12</v>
      </c>
      <c r="IR170" s="22" t="s">
        <v>1805</v>
      </c>
      <c r="JT170" s="22">
        <f>'NEW PURCHASE MATERIAL'!O170</f>
        <v>0</v>
      </c>
      <c r="JU170" s="31">
        <v>0</v>
      </c>
    </row>
    <row r="171" spans="1:281" x14ac:dyDescent="0.25">
      <c r="A171" s="22">
        <v>167</v>
      </c>
      <c r="B171" s="22">
        <v>3000003827</v>
      </c>
      <c r="C171" t="s">
        <v>446</v>
      </c>
      <c r="D171" s="22" t="s">
        <v>12</v>
      </c>
      <c r="IR171" s="22" t="s">
        <v>1805</v>
      </c>
      <c r="JT171" s="22">
        <f>'NEW PURCHASE MATERIAL'!O171</f>
        <v>0</v>
      </c>
      <c r="JU171" s="31">
        <v>0</v>
      </c>
    </row>
    <row r="172" spans="1:281" x14ac:dyDescent="0.25">
      <c r="A172" s="22">
        <v>168</v>
      </c>
      <c r="B172" s="22">
        <v>3000001802</v>
      </c>
      <c r="C172" t="s">
        <v>448</v>
      </c>
      <c r="D172" s="22" t="s">
        <v>12</v>
      </c>
      <c r="IR172" s="22" t="s">
        <v>1805</v>
      </c>
      <c r="JT172" s="22">
        <f>'NEW PURCHASE MATERIAL'!O172</f>
        <v>0</v>
      </c>
      <c r="JU172" s="31">
        <v>0</v>
      </c>
    </row>
    <row r="173" spans="1:281" x14ac:dyDescent="0.25">
      <c r="A173" s="22">
        <v>169</v>
      </c>
      <c r="B173" s="22" t="s">
        <v>35</v>
      </c>
      <c r="C173" t="s">
        <v>449</v>
      </c>
      <c r="D173" s="22" t="s">
        <v>12</v>
      </c>
      <c r="IR173" s="22" t="s">
        <v>1805</v>
      </c>
      <c r="JT173" s="22">
        <f>'NEW PURCHASE MATERIAL'!O173</f>
        <v>0</v>
      </c>
      <c r="JU173" s="31">
        <v>0</v>
      </c>
    </row>
    <row r="174" spans="1:281" x14ac:dyDescent="0.25">
      <c r="A174" s="22">
        <v>170</v>
      </c>
      <c r="B174" s="22" t="s">
        <v>35</v>
      </c>
      <c r="C174" t="s">
        <v>450</v>
      </c>
      <c r="D174" s="22" t="s">
        <v>12</v>
      </c>
      <c r="GI174" s="22">
        <v>68</v>
      </c>
      <c r="IR174" s="22" t="s">
        <v>1805</v>
      </c>
      <c r="JT174" s="22">
        <f>'NEW PURCHASE MATERIAL'!O174</f>
        <v>0</v>
      </c>
      <c r="JU174" s="31">
        <v>68</v>
      </c>
    </row>
    <row r="175" spans="1:281" x14ac:dyDescent="0.25">
      <c r="A175" s="22">
        <v>171</v>
      </c>
      <c r="B175" s="22" t="s">
        <v>35</v>
      </c>
      <c r="C175" t="s">
        <v>510</v>
      </c>
      <c r="D175" s="22" t="s">
        <v>12</v>
      </c>
      <c r="IR175" s="22" t="s">
        <v>1805</v>
      </c>
      <c r="JT175" s="22">
        <f>'NEW PURCHASE MATERIAL'!O175</f>
        <v>0</v>
      </c>
      <c r="JU175" s="31">
        <v>0</v>
      </c>
    </row>
    <row r="176" spans="1:281" x14ac:dyDescent="0.25">
      <c r="A176" s="22">
        <v>172</v>
      </c>
      <c r="B176" s="22" t="s">
        <v>35</v>
      </c>
      <c r="C176" t="s">
        <v>516</v>
      </c>
      <c r="D176" s="22" t="s">
        <v>12</v>
      </c>
      <c r="BQ176" s="22">
        <v>30</v>
      </c>
      <c r="GS176" s="22">
        <v>80</v>
      </c>
      <c r="IR176" s="22" t="s">
        <v>1805</v>
      </c>
      <c r="JT176" s="22">
        <f>'NEW PURCHASE MATERIAL'!O176</f>
        <v>0</v>
      </c>
      <c r="JU176" s="31">
        <v>110</v>
      </c>
    </row>
    <row r="177" spans="1:281" x14ac:dyDescent="0.25">
      <c r="A177" s="22">
        <v>173</v>
      </c>
      <c r="B177" s="22" t="s">
        <v>35</v>
      </c>
      <c r="C177" t="s">
        <v>600</v>
      </c>
      <c r="D177" s="22" t="s">
        <v>12</v>
      </c>
      <c r="IR177" s="22" t="s">
        <v>1805</v>
      </c>
      <c r="JT177" s="22">
        <f>'NEW PURCHASE MATERIAL'!O177</f>
        <v>0</v>
      </c>
      <c r="JU177" s="31">
        <v>0</v>
      </c>
    </row>
    <row r="178" spans="1:281" x14ac:dyDescent="0.25">
      <c r="A178" s="22">
        <v>174</v>
      </c>
      <c r="B178" s="22" t="s">
        <v>35</v>
      </c>
      <c r="C178" t="s">
        <v>601</v>
      </c>
      <c r="D178" s="22" t="s">
        <v>12</v>
      </c>
      <c r="IR178" s="22" t="s">
        <v>1805</v>
      </c>
      <c r="JT178" s="22">
        <f>'NEW PURCHASE MATERIAL'!O178</f>
        <v>0</v>
      </c>
      <c r="JU178" s="31">
        <v>0</v>
      </c>
    </row>
    <row r="179" spans="1:281" x14ac:dyDescent="0.25">
      <c r="A179" s="22">
        <v>99</v>
      </c>
      <c r="B179" s="22" t="s">
        <v>35</v>
      </c>
      <c r="C179" t="s">
        <v>1383</v>
      </c>
      <c r="D179" s="22" t="s">
        <v>12</v>
      </c>
      <c r="FR179" s="22">
        <v>1</v>
      </c>
      <c r="IR179" s="22" t="s">
        <v>1805</v>
      </c>
      <c r="JT179" s="22">
        <f>'NEW PURCHASE MATERIAL'!O179</f>
        <v>0</v>
      </c>
      <c r="JU179" s="31">
        <v>1</v>
      </c>
    </row>
    <row r="180" spans="1:281" x14ac:dyDescent="0.25">
      <c r="A180" s="22">
        <v>99</v>
      </c>
      <c r="B180" s="22" t="s">
        <v>35</v>
      </c>
      <c r="C180" t="s">
        <v>1557</v>
      </c>
      <c r="D180" s="22" t="s">
        <v>12</v>
      </c>
      <c r="GR180" s="22">
        <v>95</v>
      </c>
      <c r="IR180" s="22" t="s">
        <v>1805</v>
      </c>
      <c r="JT180" s="22">
        <f>'NEW PURCHASE MATERIAL'!O180</f>
        <v>0</v>
      </c>
      <c r="JU180" s="31">
        <v>95</v>
      </c>
    </row>
    <row r="181" spans="1:281" x14ac:dyDescent="0.25">
      <c r="A181" s="22">
        <v>101</v>
      </c>
      <c r="B181" s="22">
        <v>3000000008</v>
      </c>
      <c r="C181" t="s">
        <v>1565</v>
      </c>
      <c r="D181" s="22" t="s">
        <v>12</v>
      </c>
      <c r="J181" s="22" t="s">
        <v>1524</v>
      </c>
      <c r="X181" s="22" t="s">
        <v>1524</v>
      </c>
      <c r="BQ181" s="22" t="s">
        <v>1524</v>
      </c>
      <c r="EJ181" s="22" t="s">
        <v>1524</v>
      </c>
      <c r="EN181" s="22" t="s">
        <v>1524</v>
      </c>
      <c r="FN181" s="22" t="s">
        <v>1524</v>
      </c>
      <c r="FP181" s="22" t="s">
        <v>1524</v>
      </c>
      <c r="FV181" s="22" t="s">
        <v>1524</v>
      </c>
      <c r="GS181" s="22">
        <v>444</v>
      </c>
      <c r="IR181" s="22" t="s">
        <v>1805</v>
      </c>
      <c r="JT181" s="22">
        <f>'NEW PURCHASE MATERIAL'!O181</f>
        <v>0</v>
      </c>
      <c r="JU181" s="31">
        <v>444</v>
      </c>
    </row>
    <row r="182" spans="1:281" x14ac:dyDescent="0.25">
      <c r="A182" s="22">
        <v>178</v>
      </c>
      <c r="B182" s="22" t="s">
        <v>35</v>
      </c>
      <c r="C182" t="s">
        <v>1662</v>
      </c>
      <c r="D182" s="22" t="s">
        <v>12</v>
      </c>
      <c r="GT182" s="22">
        <v>251</v>
      </c>
      <c r="IR182" s="22" t="s">
        <v>1805</v>
      </c>
      <c r="JT182" s="22">
        <f>'NEW PURCHASE MATERIAL'!O182</f>
        <v>0</v>
      </c>
      <c r="JU182" s="31">
        <v>251</v>
      </c>
    </row>
    <row r="183" spans="1:281" x14ac:dyDescent="0.25">
      <c r="A183" s="22">
        <v>80</v>
      </c>
      <c r="B183" s="22" t="s">
        <v>35</v>
      </c>
      <c r="C183" t="s">
        <v>1574</v>
      </c>
      <c r="D183" s="22" t="s">
        <v>12</v>
      </c>
      <c r="GT183" s="22">
        <v>196</v>
      </c>
      <c r="IR183" s="22" t="s">
        <v>1805</v>
      </c>
      <c r="JT183" s="22">
        <f>'NEW PURCHASE MATERIAL'!O183</f>
        <v>0</v>
      </c>
      <c r="JU183" s="31">
        <v>196</v>
      </c>
    </row>
    <row r="184" spans="1:281" x14ac:dyDescent="0.25">
      <c r="A184" s="22">
        <v>81</v>
      </c>
      <c r="B184" s="22">
        <v>1000014673</v>
      </c>
      <c r="C184" t="s">
        <v>1575</v>
      </c>
      <c r="D184" s="22" t="s">
        <v>12</v>
      </c>
      <c r="IR184" s="22" t="s">
        <v>1805</v>
      </c>
      <c r="JT184" s="22">
        <f>'NEW PURCHASE MATERIAL'!O184</f>
        <v>0</v>
      </c>
      <c r="JU184" s="31">
        <v>0</v>
      </c>
    </row>
    <row r="185" spans="1:281" x14ac:dyDescent="0.25">
      <c r="A185" s="22">
        <v>181</v>
      </c>
      <c r="B185" s="22">
        <v>4000021502</v>
      </c>
      <c r="C185" t="s">
        <v>1576</v>
      </c>
      <c r="D185" s="22" t="s">
        <v>12</v>
      </c>
      <c r="GT185" s="22">
        <v>216</v>
      </c>
      <c r="IR185" s="22" t="s">
        <v>1805</v>
      </c>
      <c r="JT185" s="22">
        <f>'NEW PURCHASE MATERIAL'!O185</f>
        <v>0</v>
      </c>
      <c r="JU185" s="31">
        <v>216</v>
      </c>
    </row>
    <row r="186" spans="1:281" x14ac:dyDescent="0.25">
      <c r="A186" s="22">
        <v>100</v>
      </c>
      <c r="B186" s="22">
        <v>3000002696</v>
      </c>
      <c r="C186" t="s">
        <v>1580</v>
      </c>
      <c r="D186" s="22" t="s">
        <v>12</v>
      </c>
      <c r="GU186" s="22">
        <v>11</v>
      </c>
      <c r="IR186" s="22" t="s">
        <v>1805</v>
      </c>
      <c r="JT186" s="22">
        <f>'NEW PURCHASE MATERIAL'!O186</f>
        <v>0</v>
      </c>
      <c r="JU186" s="31">
        <v>11</v>
      </c>
    </row>
    <row r="187" spans="1:281" x14ac:dyDescent="0.25">
      <c r="A187" s="22">
        <v>101</v>
      </c>
      <c r="B187" s="22">
        <v>3000000707</v>
      </c>
      <c r="C187" t="s">
        <v>1618</v>
      </c>
      <c r="D187" s="22" t="s">
        <v>12</v>
      </c>
      <c r="IK187" s="22">
        <v>2</v>
      </c>
      <c r="IR187" s="22" t="s">
        <v>1805</v>
      </c>
      <c r="JT187" s="22">
        <f>'NEW PURCHASE MATERIAL'!O187</f>
        <v>50</v>
      </c>
      <c r="JU187" s="31">
        <v>52</v>
      </c>
    </row>
    <row r="188" spans="1:281" x14ac:dyDescent="0.25">
      <c r="EF188" s="22" t="s">
        <v>1616</v>
      </c>
      <c r="ER188" s="22" t="s">
        <v>1616</v>
      </c>
      <c r="FG188" s="22" t="s">
        <v>1616</v>
      </c>
      <c r="HA188" s="22" t="s">
        <v>1616</v>
      </c>
    </row>
  </sheetData>
  <autoFilter ref="A3:JZ188"/>
  <mergeCells count="2">
    <mergeCell ref="A1:A2"/>
    <mergeCell ref="C1:C2"/>
  </mergeCells>
  <conditionalFormatting sqref="A1:XFD1048576">
    <cfRule type="expression" dxfId="351" priority="1" stopIfTrue="1">
      <formula>AND(ROW()&gt;=1,ROW()&lt;=1048576)</formula>
    </cfRule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K1048572"/>
  <sheetViews>
    <sheetView workbookViewId="0">
      <pane xSplit="5" ySplit="4" topLeftCell="CA5" activePane="bottomRight" state="frozen"/>
      <selection pane="topRight" activeCell="F1" sqref="F1"/>
      <selection pane="bottomLeft" activeCell="A5" sqref="A5"/>
      <selection pane="bottomRight" activeCell="CC1" sqref="CC1:CC1048576"/>
    </sheetView>
  </sheetViews>
  <sheetFormatPr defaultRowHeight="15" x14ac:dyDescent="0.25"/>
  <cols>
    <col min="1" max="1" width="8" style="22" customWidth="1"/>
    <col min="2" max="2" width="15.7109375" style="22" customWidth="1"/>
    <col min="3" max="3" width="52.7109375" customWidth="1"/>
    <col min="4" max="4" width="12.85546875" style="22" bestFit="1" customWidth="1"/>
    <col min="5" max="5" width="8.140625" customWidth="1"/>
    <col min="6" max="7" width="11.140625" style="22" customWidth="1"/>
    <col min="8" max="8" width="10.42578125" customWidth="1"/>
    <col min="9" max="9" width="10.42578125" style="22" customWidth="1"/>
    <col min="10" max="11" width="12.5703125" style="22" customWidth="1"/>
    <col min="12" max="12" width="11" customWidth="1"/>
    <col min="13" max="13" width="11.140625" style="22" customWidth="1"/>
    <col min="14" max="27" width="18.42578125" customWidth="1"/>
    <col min="28" max="28" width="11.140625" customWidth="1"/>
    <col min="29" max="29" width="11.85546875" style="22" customWidth="1"/>
    <col min="30" max="30" width="11.140625" style="22" customWidth="1"/>
    <col min="31" max="31" width="11.85546875" style="22" customWidth="1"/>
    <col min="32" max="41" width="9.5703125" style="22" customWidth="1"/>
    <col min="42" max="43" width="10.85546875" style="22" customWidth="1"/>
    <col min="44" max="44" width="11.85546875" style="22" customWidth="1"/>
    <col min="45" max="49" width="9.5703125" style="22" customWidth="1"/>
    <col min="50" max="65" width="9.85546875" style="22" customWidth="1"/>
    <col min="66" max="66" width="11.140625" style="22" customWidth="1"/>
    <col min="67" max="73" width="9.85546875" style="22" customWidth="1"/>
    <col min="74" max="74" width="11.85546875" style="22" customWidth="1"/>
    <col min="75" max="75" width="11.140625" style="22" customWidth="1"/>
    <col min="76" max="76" width="11.28515625" style="22" customWidth="1"/>
    <col min="77" max="77" width="9.85546875" style="22" customWidth="1"/>
    <col min="78" max="78" width="11.28515625" style="22" customWidth="1"/>
    <col min="79" max="79" width="10.7109375" style="22" customWidth="1"/>
    <col min="80" max="82" width="9.85546875" style="22" customWidth="1"/>
    <col min="83" max="84" width="11.140625" style="22" customWidth="1"/>
    <col min="85" max="92" width="10.42578125" customWidth="1"/>
    <col min="93" max="94" width="10.42578125" bestFit="1" customWidth="1"/>
    <col min="95" max="97" width="10.42578125" customWidth="1"/>
    <col min="98" max="103" width="10.42578125" bestFit="1" customWidth="1"/>
  </cols>
  <sheetData>
    <row r="1" spans="1:89" ht="28.5" customHeight="1" thickBot="1" x14ac:dyDescent="0.35">
      <c r="A1" s="149" t="s">
        <v>1</v>
      </c>
      <c r="B1" s="128" t="s">
        <v>174</v>
      </c>
      <c r="C1" s="149" t="s">
        <v>175</v>
      </c>
      <c r="D1" s="80">
        <f>SUBTOTAL(3,F1:XFD1)-1</f>
        <v>76</v>
      </c>
      <c r="E1" s="27" t="s">
        <v>188</v>
      </c>
      <c r="F1" s="26" t="s">
        <v>518</v>
      </c>
      <c r="G1" s="26" t="s">
        <v>518</v>
      </c>
      <c r="H1" s="26" t="s">
        <v>518</v>
      </c>
      <c r="I1" s="26" t="s">
        <v>518</v>
      </c>
      <c r="J1" s="26" t="s">
        <v>518</v>
      </c>
      <c r="K1" s="26" t="s">
        <v>518</v>
      </c>
      <c r="L1" s="26" t="s">
        <v>213</v>
      </c>
      <c r="M1" s="26" t="s">
        <v>207</v>
      </c>
      <c r="N1" s="80" t="s">
        <v>633</v>
      </c>
      <c r="O1" s="80" t="s">
        <v>633</v>
      </c>
      <c r="P1" s="80" t="s">
        <v>633</v>
      </c>
      <c r="Q1" s="80" t="s">
        <v>633</v>
      </c>
      <c r="R1" s="80" t="s">
        <v>633</v>
      </c>
      <c r="S1" s="80" t="s">
        <v>633</v>
      </c>
      <c r="T1" s="80" t="s">
        <v>633</v>
      </c>
      <c r="U1" s="80" t="s">
        <v>633</v>
      </c>
      <c r="V1" s="80" t="s">
        <v>633</v>
      </c>
      <c r="W1" s="80" t="s">
        <v>633</v>
      </c>
      <c r="X1" s="80" t="s">
        <v>633</v>
      </c>
      <c r="Y1" s="80" t="s">
        <v>633</v>
      </c>
      <c r="Z1" s="80" t="s">
        <v>633</v>
      </c>
      <c r="AA1" s="80" t="s">
        <v>633</v>
      </c>
      <c r="AB1" s="26" t="s">
        <v>213</v>
      </c>
      <c r="AC1" s="26" t="s">
        <v>310</v>
      </c>
      <c r="AD1" s="26" t="s">
        <v>518</v>
      </c>
      <c r="AE1" s="26" t="s">
        <v>310</v>
      </c>
      <c r="AF1" s="27" t="s">
        <v>438</v>
      </c>
      <c r="AG1" s="27" t="s">
        <v>438</v>
      </c>
      <c r="AH1" s="27" t="s">
        <v>438</v>
      </c>
      <c r="AI1" s="27" t="s">
        <v>438</v>
      </c>
      <c r="AJ1" s="27" t="s">
        <v>438</v>
      </c>
      <c r="AK1" s="27" t="s">
        <v>438</v>
      </c>
      <c r="AL1" s="27" t="s">
        <v>438</v>
      </c>
      <c r="AM1" s="27" t="s">
        <v>438</v>
      </c>
      <c r="AN1" s="27" t="s">
        <v>438</v>
      </c>
      <c r="AO1" s="27" t="s">
        <v>438</v>
      </c>
      <c r="AP1" s="26" t="s">
        <v>207</v>
      </c>
      <c r="AQ1" s="26" t="s">
        <v>207</v>
      </c>
      <c r="AR1" s="26" t="s">
        <v>310</v>
      </c>
      <c r="AS1" s="27" t="s">
        <v>438</v>
      </c>
      <c r="AT1" s="27" t="s">
        <v>438</v>
      </c>
      <c r="AU1" s="27" t="s">
        <v>438</v>
      </c>
      <c r="AV1" s="27" t="s">
        <v>438</v>
      </c>
      <c r="AW1" s="27" t="s">
        <v>438</v>
      </c>
      <c r="AX1" s="27" t="s">
        <v>438</v>
      </c>
      <c r="AY1" s="27" t="s">
        <v>438</v>
      </c>
      <c r="AZ1" s="27" t="s">
        <v>438</v>
      </c>
      <c r="BA1" s="27" t="s">
        <v>438</v>
      </c>
      <c r="BB1" s="27" t="s">
        <v>438</v>
      </c>
      <c r="BC1" s="27" t="s">
        <v>438</v>
      </c>
      <c r="BD1" s="27" t="s">
        <v>438</v>
      </c>
      <c r="BE1" s="27" t="s">
        <v>438</v>
      </c>
      <c r="BF1" s="27" t="s">
        <v>438</v>
      </c>
      <c r="BG1" s="27" t="s">
        <v>438</v>
      </c>
      <c r="BH1" s="27" t="s">
        <v>438</v>
      </c>
      <c r="BI1" s="27" t="s">
        <v>438</v>
      </c>
      <c r="BJ1" s="27" t="s">
        <v>438</v>
      </c>
      <c r="BK1" s="27" t="s">
        <v>438</v>
      </c>
      <c r="BL1" s="27" t="s">
        <v>438</v>
      </c>
      <c r="BM1" s="27" t="s">
        <v>438</v>
      </c>
      <c r="BN1" s="26" t="s">
        <v>213</v>
      </c>
      <c r="BO1" s="26" t="s">
        <v>184</v>
      </c>
      <c r="BP1" s="26" t="s">
        <v>207</v>
      </c>
      <c r="BQ1" s="27" t="s">
        <v>438</v>
      </c>
      <c r="BR1" s="27" t="s">
        <v>438</v>
      </c>
      <c r="BS1" s="27" t="s">
        <v>438</v>
      </c>
      <c r="BT1" s="27" t="s">
        <v>438</v>
      </c>
      <c r="BU1" s="27" t="s">
        <v>438</v>
      </c>
      <c r="BV1" s="26" t="s">
        <v>310</v>
      </c>
      <c r="BW1" s="26" t="s">
        <v>213</v>
      </c>
      <c r="BX1" s="26" t="s">
        <v>518</v>
      </c>
      <c r="BY1" s="26" t="s">
        <v>518</v>
      </c>
      <c r="BZ1" s="26" t="s">
        <v>518</v>
      </c>
      <c r="CA1" s="26" t="s">
        <v>1818</v>
      </c>
      <c r="CB1" s="26" t="s">
        <v>1818</v>
      </c>
      <c r="CC1" s="26" t="s">
        <v>1818</v>
      </c>
      <c r="CD1" s="26"/>
      <c r="CE1" s="27"/>
      <c r="CF1" s="25" t="s">
        <v>177</v>
      </c>
    </row>
    <row r="2" spans="1:89" ht="29.25" customHeight="1" thickBot="1" x14ac:dyDescent="0.35">
      <c r="A2" s="150"/>
      <c r="B2" s="129"/>
      <c r="C2" s="150"/>
      <c r="D2" s="4" t="s">
        <v>176</v>
      </c>
      <c r="E2" s="4" t="s">
        <v>186</v>
      </c>
      <c r="F2" s="25" t="s">
        <v>514</v>
      </c>
      <c r="G2" s="25" t="s">
        <v>515</v>
      </c>
      <c r="H2" s="25" t="s">
        <v>532</v>
      </c>
      <c r="I2" s="25" t="s">
        <v>533</v>
      </c>
      <c r="J2" s="25" t="s">
        <v>543</v>
      </c>
      <c r="K2" s="25" t="s">
        <v>544</v>
      </c>
      <c r="L2" s="25" t="s">
        <v>604</v>
      </c>
      <c r="M2" s="25" t="s">
        <v>640</v>
      </c>
      <c r="N2" s="25" t="s">
        <v>634</v>
      </c>
      <c r="O2" s="25" t="s">
        <v>635</v>
      </c>
      <c r="P2" s="25" t="s">
        <v>636</v>
      </c>
      <c r="Q2" s="25" t="s">
        <v>637</v>
      </c>
      <c r="R2" s="25" t="s">
        <v>638</v>
      </c>
      <c r="S2" s="25" t="s">
        <v>642</v>
      </c>
      <c r="T2" s="25" t="s">
        <v>644</v>
      </c>
      <c r="U2" s="25" t="s">
        <v>653</v>
      </c>
      <c r="V2" s="25" t="s">
        <v>663</v>
      </c>
      <c r="W2" s="25" t="s">
        <v>664</v>
      </c>
      <c r="X2" s="25" t="s">
        <v>673</v>
      </c>
      <c r="Y2" s="25" t="s">
        <v>675</v>
      </c>
      <c r="Z2" s="25" t="s">
        <v>677</v>
      </c>
      <c r="AA2" s="25" t="s">
        <v>679</v>
      </c>
      <c r="AB2" s="25" t="s">
        <v>1322</v>
      </c>
      <c r="AC2" s="104" t="s">
        <v>1362</v>
      </c>
      <c r="AD2" s="25" t="s">
        <v>1384</v>
      </c>
      <c r="AE2" s="104" t="s">
        <v>1427</v>
      </c>
      <c r="AF2" s="41" t="s">
        <v>1437</v>
      </c>
      <c r="AG2" s="41" t="s">
        <v>1438</v>
      </c>
      <c r="AH2" s="41" t="s">
        <v>1439</v>
      </c>
      <c r="AI2" s="41" t="s">
        <v>1440</v>
      </c>
      <c r="AJ2" s="41" t="s">
        <v>1441</v>
      </c>
      <c r="AK2" s="41" t="s">
        <v>1442</v>
      </c>
      <c r="AL2" s="41" t="s">
        <v>1443</v>
      </c>
      <c r="AM2" s="41" t="s">
        <v>1444</v>
      </c>
      <c r="AN2" s="41" t="s">
        <v>1445</v>
      </c>
      <c r="AO2" s="41" t="s">
        <v>1446</v>
      </c>
      <c r="AP2" s="25" t="s">
        <v>1458</v>
      </c>
      <c r="AQ2" s="25" t="s">
        <v>1468</v>
      </c>
      <c r="AR2" s="104" t="s">
        <v>1482</v>
      </c>
      <c r="AS2" s="41" t="s">
        <v>1491</v>
      </c>
      <c r="AT2" s="41" t="s">
        <v>1492</v>
      </c>
      <c r="AU2" s="41" t="s">
        <v>1493</v>
      </c>
      <c r="AV2" s="41" t="s">
        <v>1494</v>
      </c>
      <c r="AW2" s="41" t="s">
        <v>1495</v>
      </c>
      <c r="AX2" s="41" t="s">
        <v>1525</v>
      </c>
      <c r="AY2" s="41" t="s">
        <v>1528</v>
      </c>
      <c r="AZ2" s="41" t="s">
        <v>1529</v>
      </c>
      <c r="BA2" s="41" t="s">
        <v>1532</v>
      </c>
      <c r="BB2" s="41" t="s">
        <v>1534</v>
      </c>
      <c r="BC2" s="41" t="s">
        <v>1535</v>
      </c>
      <c r="BD2" s="41" t="s">
        <v>1583</v>
      </c>
      <c r="BE2" s="41" t="s">
        <v>1584</v>
      </c>
      <c r="BF2" s="41" t="s">
        <v>1585</v>
      </c>
      <c r="BG2" s="41" t="s">
        <v>1586</v>
      </c>
      <c r="BH2" s="41" t="s">
        <v>1587</v>
      </c>
      <c r="BI2" s="41" t="s">
        <v>1593</v>
      </c>
      <c r="BJ2" s="41" t="s">
        <v>1594</v>
      </c>
      <c r="BK2" s="41" t="s">
        <v>1595</v>
      </c>
      <c r="BL2" s="41" t="s">
        <v>1596</v>
      </c>
      <c r="BM2" s="41" t="s">
        <v>1597</v>
      </c>
      <c r="BN2" s="25" t="s">
        <v>1617</v>
      </c>
      <c r="BO2" s="25" t="s">
        <v>1621</v>
      </c>
      <c r="BP2" s="25" t="s">
        <v>1622</v>
      </c>
      <c r="BQ2" s="41" t="s">
        <v>1623</v>
      </c>
      <c r="BR2" s="41" t="s">
        <v>1624</v>
      </c>
      <c r="BS2" s="41" t="s">
        <v>1625</v>
      </c>
      <c r="BT2" s="41" t="s">
        <v>1626</v>
      </c>
      <c r="BU2" s="41" t="s">
        <v>1627</v>
      </c>
      <c r="BV2" s="104" t="s">
        <v>1652</v>
      </c>
      <c r="BW2" s="25" t="s">
        <v>1678</v>
      </c>
      <c r="BX2" s="25" t="s">
        <v>1682</v>
      </c>
      <c r="BY2" s="25" t="s">
        <v>1679</v>
      </c>
      <c r="BZ2" s="25" t="s">
        <v>1680</v>
      </c>
      <c r="CA2" s="25" t="s">
        <v>1819</v>
      </c>
      <c r="CB2" s="25" t="s">
        <v>1822</v>
      </c>
      <c r="CC2" s="25" t="s">
        <v>1882</v>
      </c>
      <c r="CD2" s="25"/>
      <c r="CE2" s="25"/>
      <c r="CF2" s="25"/>
    </row>
    <row r="3" spans="1:89" s="28" customFormat="1" ht="12" customHeight="1" x14ac:dyDescent="0.25">
      <c r="A3" s="26"/>
      <c r="B3" s="26"/>
      <c r="C3" s="27" t="s">
        <v>535</v>
      </c>
      <c r="D3" s="26"/>
      <c r="E3" s="38" t="s">
        <v>187</v>
      </c>
      <c r="F3" s="34">
        <v>45908</v>
      </c>
      <c r="G3" s="34">
        <v>45908</v>
      </c>
      <c r="H3" s="38">
        <v>45910</v>
      </c>
      <c r="I3" s="38">
        <v>45910</v>
      </c>
      <c r="J3" s="34">
        <v>45911</v>
      </c>
      <c r="K3" s="34">
        <v>45911</v>
      </c>
      <c r="L3" s="34">
        <v>45933</v>
      </c>
      <c r="M3" s="34">
        <v>45950</v>
      </c>
      <c r="N3" s="27">
        <v>45948</v>
      </c>
      <c r="O3" s="27">
        <v>45948</v>
      </c>
      <c r="P3" s="27">
        <v>45948</v>
      </c>
      <c r="Q3" s="27">
        <v>45948</v>
      </c>
      <c r="R3" s="27">
        <v>45948</v>
      </c>
      <c r="S3" s="27">
        <v>45951</v>
      </c>
      <c r="T3" s="27">
        <v>45952</v>
      </c>
      <c r="U3" s="27">
        <v>45952</v>
      </c>
      <c r="V3" s="27">
        <v>45952</v>
      </c>
      <c r="W3" s="27">
        <v>45952</v>
      </c>
      <c r="X3" s="27">
        <v>45955</v>
      </c>
      <c r="Y3" s="27">
        <v>45955</v>
      </c>
      <c r="Z3" s="27">
        <v>45955</v>
      </c>
      <c r="AA3" s="27">
        <v>45955</v>
      </c>
      <c r="AB3" s="34">
        <v>45971</v>
      </c>
      <c r="AC3" s="54">
        <v>45979</v>
      </c>
      <c r="AD3" s="54">
        <v>45981</v>
      </c>
      <c r="AE3" s="54">
        <v>45994</v>
      </c>
      <c r="AF3" s="27">
        <v>45993</v>
      </c>
      <c r="AG3" s="27">
        <v>45993</v>
      </c>
      <c r="AH3" s="27">
        <v>45993</v>
      </c>
      <c r="AI3" s="27">
        <v>45993</v>
      </c>
      <c r="AJ3" s="27">
        <v>45993</v>
      </c>
      <c r="AK3" s="27">
        <v>45994</v>
      </c>
      <c r="AL3" s="27">
        <v>45994</v>
      </c>
      <c r="AM3" s="27">
        <v>45994</v>
      </c>
      <c r="AN3" s="27">
        <v>45994</v>
      </c>
      <c r="AO3" s="27">
        <v>45994</v>
      </c>
      <c r="AP3" s="27">
        <v>46005</v>
      </c>
      <c r="AQ3" s="27">
        <v>46008</v>
      </c>
      <c r="AR3" s="54">
        <v>46013</v>
      </c>
      <c r="AS3" s="27">
        <v>46012</v>
      </c>
      <c r="AT3" s="27">
        <v>46012</v>
      </c>
      <c r="AU3" s="27">
        <v>46012</v>
      </c>
      <c r="AV3" s="27">
        <v>46014</v>
      </c>
      <c r="AW3" s="27">
        <v>46014</v>
      </c>
      <c r="AX3" s="27">
        <v>46019</v>
      </c>
      <c r="AY3" s="27">
        <v>46019</v>
      </c>
      <c r="AZ3" s="27">
        <v>46019</v>
      </c>
      <c r="BA3" s="27">
        <v>46019</v>
      </c>
      <c r="BB3" s="27">
        <v>46019</v>
      </c>
      <c r="BC3" s="27">
        <v>46019</v>
      </c>
      <c r="BD3" s="27">
        <v>46026</v>
      </c>
      <c r="BE3" s="27">
        <v>46026</v>
      </c>
      <c r="BF3" s="27">
        <v>46026</v>
      </c>
      <c r="BG3" s="27">
        <v>46026</v>
      </c>
      <c r="BH3" s="27">
        <v>46026</v>
      </c>
      <c r="BI3" s="27">
        <v>46029</v>
      </c>
      <c r="BJ3" s="27">
        <v>46029</v>
      </c>
      <c r="BK3" s="27">
        <v>46029</v>
      </c>
      <c r="BL3" s="27">
        <v>46029</v>
      </c>
      <c r="BM3" s="27">
        <v>46029</v>
      </c>
      <c r="BN3" s="34">
        <v>46032</v>
      </c>
      <c r="BO3" s="27">
        <v>46033</v>
      </c>
      <c r="BP3" s="27">
        <v>46033</v>
      </c>
      <c r="BQ3" s="27">
        <v>46033</v>
      </c>
      <c r="BR3" s="27">
        <v>46033</v>
      </c>
      <c r="BS3" s="27">
        <v>46033</v>
      </c>
      <c r="BT3" s="27">
        <v>46033</v>
      </c>
      <c r="BU3" s="27">
        <v>46033</v>
      </c>
      <c r="BV3" s="54">
        <v>46035</v>
      </c>
      <c r="BW3" s="34">
        <v>46040</v>
      </c>
      <c r="BX3" s="34">
        <v>46040</v>
      </c>
      <c r="BY3" s="27">
        <v>46041</v>
      </c>
      <c r="BZ3" s="34">
        <v>46042</v>
      </c>
      <c r="CA3" s="27">
        <v>46051</v>
      </c>
      <c r="CB3" s="27">
        <v>46052</v>
      </c>
      <c r="CC3" s="27">
        <v>46066</v>
      </c>
      <c r="CD3" s="27"/>
      <c r="CE3" s="54"/>
      <c r="CF3" s="54"/>
    </row>
    <row r="4" spans="1:89" ht="12" customHeight="1" x14ac:dyDescent="0.25">
      <c r="A4" s="23"/>
      <c r="B4" s="23"/>
      <c r="C4" s="24"/>
      <c r="D4" s="23"/>
      <c r="E4" s="23"/>
      <c r="F4" s="32"/>
      <c r="G4" s="32"/>
      <c r="H4" s="23"/>
      <c r="I4" s="32"/>
      <c r="J4" s="32"/>
      <c r="K4" s="32"/>
      <c r="L4" s="32" t="s">
        <v>1523</v>
      </c>
      <c r="M4" s="32" t="s">
        <v>666</v>
      </c>
      <c r="N4" s="69" t="s">
        <v>1405</v>
      </c>
      <c r="O4" s="69" t="s">
        <v>1405</v>
      </c>
      <c r="P4" s="69" t="s">
        <v>1405</v>
      </c>
      <c r="Q4" s="69" t="s">
        <v>1405</v>
      </c>
      <c r="R4" s="69" t="s">
        <v>1405</v>
      </c>
      <c r="S4" s="69" t="s">
        <v>1405</v>
      </c>
      <c r="T4" s="69" t="s">
        <v>1405</v>
      </c>
      <c r="U4" s="69" t="s">
        <v>1405</v>
      </c>
      <c r="V4" s="69" t="s">
        <v>1405</v>
      </c>
      <c r="W4" s="69" t="s">
        <v>1405</v>
      </c>
      <c r="X4" s="69" t="s">
        <v>1405</v>
      </c>
      <c r="Y4" s="69" t="s">
        <v>1405</v>
      </c>
      <c r="Z4" s="69" t="s">
        <v>1405</v>
      </c>
      <c r="AA4" s="69" t="s">
        <v>1405</v>
      </c>
      <c r="AB4" s="69" t="s">
        <v>1323</v>
      </c>
      <c r="AC4" s="32" t="s">
        <v>1363</v>
      </c>
      <c r="AD4" s="32" t="s">
        <v>1388</v>
      </c>
      <c r="AE4" s="32" t="s">
        <v>1428</v>
      </c>
      <c r="AF4" s="39" t="s">
        <v>1447</v>
      </c>
      <c r="AG4" s="39" t="s">
        <v>1448</v>
      </c>
      <c r="AH4" s="39" t="s">
        <v>1449</v>
      </c>
      <c r="AI4" s="39" t="s">
        <v>1450</v>
      </c>
      <c r="AJ4" s="39" t="s">
        <v>1451</v>
      </c>
      <c r="AK4" s="39" t="s">
        <v>1452</v>
      </c>
      <c r="AL4" s="39" t="s">
        <v>1453</v>
      </c>
      <c r="AM4" s="39" t="s">
        <v>1455</v>
      </c>
      <c r="AN4" s="39" t="s">
        <v>1454</v>
      </c>
      <c r="AO4" s="39" t="s">
        <v>1456</v>
      </c>
      <c r="AP4" s="111" t="s">
        <v>1510</v>
      </c>
      <c r="AQ4" s="111" t="s">
        <v>1511</v>
      </c>
      <c r="AR4" s="32" t="s">
        <v>1512</v>
      </c>
      <c r="AS4" s="39" t="s">
        <v>1500</v>
      </c>
      <c r="AT4" s="39" t="s">
        <v>1501</v>
      </c>
      <c r="AU4" s="39" t="s">
        <v>1502</v>
      </c>
      <c r="AV4" s="39" t="s">
        <v>1503</v>
      </c>
      <c r="AW4" s="39" t="s">
        <v>1504</v>
      </c>
      <c r="AX4" s="39" t="s">
        <v>1526</v>
      </c>
      <c r="AY4" s="39" t="s">
        <v>1527</v>
      </c>
      <c r="AZ4" s="39" t="s">
        <v>1530</v>
      </c>
      <c r="BA4" s="39" t="s">
        <v>1531</v>
      </c>
      <c r="BB4" s="39" t="s">
        <v>1533</v>
      </c>
      <c r="BC4" s="39" t="s">
        <v>1536</v>
      </c>
      <c r="BD4" s="39" t="s">
        <v>1588</v>
      </c>
      <c r="BE4" s="39" t="s">
        <v>1589</v>
      </c>
      <c r="BF4" s="39" t="s">
        <v>1590</v>
      </c>
      <c r="BG4" s="39" t="s">
        <v>1591</v>
      </c>
      <c r="BH4" s="39" t="s">
        <v>1592</v>
      </c>
      <c r="BI4" s="39" t="s">
        <v>1600</v>
      </c>
      <c r="BJ4" s="39" t="s">
        <v>1599</v>
      </c>
      <c r="BK4" s="39" t="s">
        <v>1601</v>
      </c>
      <c r="BL4" s="39" t="s">
        <v>1602</v>
      </c>
      <c r="BM4" s="39" t="s">
        <v>1603</v>
      </c>
      <c r="BN4" s="69" t="s">
        <v>1633</v>
      </c>
      <c r="BO4" s="39" t="s">
        <v>1636</v>
      </c>
      <c r="BP4" s="39" t="s">
        <v>1637</v>
      </c>
      <c r="BQ4" s="39" t="s">
        <v>1628</v>
      </c>
      <c r="BR4" s="39" t="s">
        <v>1629</v>
      </c>
      <c r="BS4" s="39" t="s">
        <v>1630</v>
      </c>
      <c r="BT4" s="39" t="s">
        <v>1631</v>
      </c>
      <c r="BU4" s="39" t="s">
        <v>1632</v>
      </c>
      <c r="BV4" s="32" t="s">
        <v>1655</v>
      </c>
      <c r="BW4" s="69"/>
      <c r="BX4" s="32"/>
      <c r="BY4" s="39"/>
      <c r="BZ4" s="32"/>
      <c r="CA4" s="32"/>
      <c r="CB4" s="32"/>
      <c r="CC4" s="32"/>
      <c r="CD4" s="32"/>
      <c r="CE4" s="32"/>
      <c r="CF4" s="32"/>
    </row>
    <row r="5" spans="1:89" x14ac:dyDescent="0.25">
      <c r="A5" s="5">
        <v>1</v>
      </c>
      <c r="B5" s="6">
        <v>5000000005</v>
      </c>
      <c r="C5" s="7" t="s">
        <v>11</v>
      </c>
      <c r="D5" s="8" t="s">
        <v>12</v>
      </c>
      <c r="E5" s="35"/>
      <c r="H5" s="35"/>
      <c r="L5" s="35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35"/>
      <c r="BN5" s="35"/>
      <c r="BW5" s="35"/>
      <c r="CF5" s="22">
        <v>0</v>
      </c>
    </row>
    <row r="6" spans="1:89" x14ac:dyDescent="0.25">
      <c r="A6" s="5">
        <v>2</v>
      </c>
      <c r="B6" s="10">
        <v>1000006673</v>
      </c>
      <c r="C6" s="11" t="s">
        <v>13</v>
      </c>
      <c r="D6" s="8" t="s">
        <v>12</v>
      </c>
      <c r="E6" s="35"/>
      <c r="H6" s="35"/>
      <c r="L6" s="3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35"/>
      <c r="BN6" s="35"/>
      <c r="BW6" s="35"/>
      <c r="BY6" s="22">
        <v>1</v>
      </c>
      <c r="CF6" s="22">
        <v>1</v>
      </c>
    </row>
    <row r="7" spans="1:89" x14ac:dyDescent="0.25">
      <c r="A7" s="5">
        <v>3</v>
      </c>
      <c r="B7" s="10">
        <v>1000006674</v>
      </c>
      <c r="C7" s="11" t="s">
        <v>14</v>
      </c>
      <c r="D7" s="8" t="s">
        <v>12</v>
      </c>
      <c r="E7" s="35"/>
      <c r="H7" s="35"/>
      <c r="L7" s="3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35"/>
      <c r="BN7" s="35"/>
      <c r="BW7" s="35"/>
      <c r="CF7" s="22">
        <v>0</v>
      </c>
    </row>
    <row r="8" spans="1:89" x14ac:dyDescent="0.25">
      <c r="A8" s="5">
        <v>4</v>
      </c>
      <c r="B8" s="6">
        <v>4000015242</v>
      </c>
      <c r="C8" s="7" t="s">
        <v>15</v>
      </c>
      <c r="D8" s="8" t="s">
        <v>12</v>
      </c>
      <c r="E8" s="35"/>
      <c r="H8" s="35"/>
      <c r="L8" s="3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35"/>
      <c r="BN8" s="35"/>
      <c r="BW8" s="35"/>
      <c r="BY8" s="22">
        <v>2</v>
      </c>
      <c r="CF8" s="22">
        <v>2</v>
      </c>
    </row>
    <row r="9" spans="1:89" x14ac:dyDescent="0.25">
      <c r="A9" s="5">
        <v>5</v>
      </c>
      <c r="B9" s="10">
        <v>4000015243</v>
      </c>
      <c r="C9" s="11" t="s">
        <v>16</v>
      </c>
      <c r="D9" s="8" t="s">
        <v>12</v>
      </c>
      <c r="E9" s="35"/>
      <c r="G9" s="22">
        <v>2</v>
      </c>
      <c r="H9" s="35"/>
      <c r="L9" s="3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>
        <v>50</v>
      </c>
      <c r="AB9" s="35">
        <v>10</v>
      </c>
      <c r="BN9" s="35">
        <v>10</v>
      </c>
      <c r="BW9" s="35"/>
      <c r="BY9" s="22">
        <v>2</v>
      </c>
      <c r="CF9" s="22">
        <v>74</v>
      </c>
    </row>
    <row r="10" spans="1:89" x14ac:dyDescent="0.25">
      <c r="A10" s="9">
        <v>6</v>
      </c>
      <c r="B10" s="9">
        <v>4000015244</v>
      </c>
      <c r="C10" s="12" t="s">
        <v>17</v>
      </c>
      <c r="D10" s="9" t="s">
        <v>12</v>
      </c>
      <c r="E10" s="36"/>
      <c r="H10" s="36"/>
      <c r="L10" s="36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36"/>
      <c r="BN10" s="36"/>
      <c r="BW10" s="36"/>
      <c r="CF10" s="22">
        <v>0</v>
      </c>
      <c r="CK10" s="67"/>
    </row>
    <row r="11" spans="1:89" x14ac:dyDescent="0.25">
      <c r="A11" s="9">
        <v>7</v>
      </c>
      <c r="B11" s="9">
        <v>4000015245</v>
      </c>
      <c r="C11" s="12" t="s">
        <v>18</v>
      </c>
      <c r="D11" s="9" t="s">
        <v>12</v>
      </c>
      <c r="E11" s="36"/>
      <c r="G11" s="22">
        <v>2</v>
      </c>
      <c r="H11" s="36"/>
      <c r="L11" s="36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36"/>
      <c r="BN11" s="36">
        <v>10</v>
      </c>
      <c r="BW11" s="36"/>
      <c r="CF11" s="22">
        <v>12</v>
      </c>
      <c r="CJ11" s="65"/>
    </row>
    <row r="12" spans="1:89" x14ac:dyDescent="0.25">
      <c r="A12" s="9">
        <v>8</v>
      </c>
      <c r="B12" s="9">
        <v>4000000224</v>
      </c>
      <c r="C12" s="12" t="s">
        <v>19</v>
      </c>
      <c r="D12" s="9" t="s">
        <v>12</v>
      </c>
      <c r="E12" s="36"/>
      <c r="H12" s="36"/>
      <c r="L12" s="36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36"/>
      <c r="BN12" s="36"/>
      <c r="BW12" s="36"/>
      <c r="CF12" s="22">
        <v>0</v>
      </c>
    </row>
    <row r="13" spans="1:89" x14ac:dyDescent="0.25">
      <c r="A13" s="9">
        <v>9</v>
      </c>
      <c r="B13" s="9">
        <v>3000002332</v>
      </c>
      <c r="C13" s="12" t="s">
        <v>20</v>
      </c>
      <c r="D13" s="9" t="s">
        <v>12</v>
      </c>
      <c r="E13" s="36"/>
      <c r="H13" s="36"/>
      <c r="L13" s="36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36"/>
      <c r="BN13" s="36"/>
      <c r="BW13" s="36"/>
      <c r="CF13" s="22">
        <v>0</v>
      </c>
    </row>
    <row r="14" spans="1:89" x14ac:dyDescent="0.25">
      <c r="A14" s="9">
        <v>10</v>
      </c>
      <c r="B14" s="9">
        <v>3000000010</v>
      </c>
      <c r="C14" s="12" t="s">
        <v>21</v>
      </c>
      <c r="D14" s="9" t="s">
        <v>12</v>
      </c>
      <c r="E14" s="36"/>
      <c r="H14" s="36"/>
      <c r="L14" s="36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36"/>
      <c r="BN14" s="36"/>
      <c r="BW14" s="36"/>
      <c r="CF14" s="22">
        <v>0</v>
      </c>
    </row>
    <row r="15" spans="1:89" ht="15.75" x14ac:dyDescent="0.25">
      <c r="A15" s="9">
        <v>11</v>
      </c>
      <c r="B15" s="9">
        <v>3000002338</v>
      </c>
      <c r="C15" s="12" t="s">
        <v>22</v>
      </c>
      <c r="D15" s="9" t="s">
        <v>12</v>
      </c>
      <c r="E15" s="36"/>
      <c r="H15" s="36"/>
      <c r="L15" s="36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36"/>
      <c r="BN15" s="36"/>
      <c r="BW15" s="36"/>
      <c r="CF15" s="22">
        <v>0</v>
      </c>
      <c r="CJ15" s="66"/>
    </row>
    <row r="16" spans="1:89" ht="15.75" x14ac:dyDescent="0.25">
      <c r="A16" s="9">
        <v>12</v>
      </c>
      <c r="B16" s="9">
        <v>3000002322</v>
      </c>
      <c r="C16" s="12" t="s">
        <v>23</v>
      </c>
      <c r="D16" s="9" t="s">
        <v>12</v>
      </c>
      <c r="E16" s="36"/>
      <c r="H16" s="36"/>
      <c r="L16" s="36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36"/>
      <c r="BN16" s="36"/>
      <c r="BW16" s="36"/>
      <c r="CF16" s="22">
        <v>0</v>
      </c>
      <c r="CJ16" s="66"/>
    </row>
    <row r="17" spans="1:84" x14ac:dyDescent="0.25">
      <c r="A17" s="9">
        <v>13</v>
      </c>
      <c r="B17" s="9">
        <v>3000002330</v>
      </c>
      <c r="C17" s="12" t="s">
        <v>24</v>
      </c>
      <c r="D17" s="9" t="s">
        <v>12</v>
      </c>
      <c r="E17" s="36"/>
      <c r="H17" s="36"/>
      <c r="L17" s="36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36"/>
      <c r="BN17" s="36"/>
      <c r="BW17" s="36"/>
      <c r="CF17" s="22">
        <v>0</v>
      </c>
    </row>
    <row r="18" spans="1:84" x14ac:dyDescent="0.25">
      <c r="A18" s="9">
        <v>14</v>
      </c>
      <c r="B18" s="9">
        <v>3000000012</v>
      </c>
      <c r="C18" s="12" t="s">
        <v>25</v>
      </c>
      <c r="D18" s="9" t="s">
        <v>12</v>
      </c>
      <c r="E18" s="36"/>
      <c r="H18" s="36"/>
      <c r="L18" s="36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36"/>
      <c r="BN18" s="36"/>
      <c r="BW18" s="36"/>
      <c r="CF18" s="22">
        <v>0</v>
      </c>
    </row>
    <row r="19" spans="1:84" x14ac:dyDescent="0.25">
      <c r="A19" s="9">
        <v>15</v>
      </c>
      <c r="B19" s="9">
        <v>3000000701</v>
      </c>
      <c r="C19" s="12" t="s">
        <v>26</v>
      </c>
      <c r="D19" s="9" t="s">
        <v>12</v>
      </c>
      <c r="E19" s="36"/>
      <c r="G19" s="22">
        <v>10</v>
      </c>
      <c r="H19" s="36">
        <v>30</v>
      </c>
      <c r="K19" s="22">
        <v>50</v>
      </c>
      <c r="L19" s="36"/>
      <c r="N19" s="22"/>
      <c r="O19" s="22"/>
      <c r="P19" s="22">
        <v>300</v>
      </c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36"/>
      <c r="AU19" s="22">
        <v>213</v>
      </c>
      <c r="BN19" s="36"/>
      <c r="BW19" s="36"/>
      <c r="BX19" s="22">
        <v>10</v>
      </c>
      <c r="CF19" s="22">
        <v>613</v>
      </c>
    </row>
    <row r="20" spans="1:84" x14ac:dyDescent="0.25">
      <c r="A20" s="9">
        <v>16</v>
      </c>
      <c r="B20" s="9">
        <v>1000006667</v>
      </c>
      <c r="C20" s="12" t="s">
        <v>27</v>
      </c>
      <c r="D20" s="9" t="s">
        <v>12</v>
      </c>
      <c r="E20" s="36"/>
      <c r="F20" s="22">
        <v>50</v>
      </c>
      <c r="H20" s="36"/>
      <c r="L20" s="36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36">
        <v>100</v>
      </c>
      <c r="AD20" s="22">
        <v>100</v>
      </c>
      <c r="AP20" s="22">
        <v>450</v>
      </c>
      <c r="AU20" s="22">
        <v>21</v>
      </c>
      <c r="BN20" s="36">
        <v>200</v>
      </c>
      <c r="BP20" s="22">
        <v>1500</v>
      </c>
      <c r="BW20" s="36"/>
      <c r="BY20" s="22">
        <v>75</v>
      </c>
      <c r="CF20" s="22">
        <v>2496</v>
      </c>
    </row>
    <row r="21" spans="1:84" x14ac:dyDescent="0.25">
      <c r="A21" s="9">
        <v>17</v>
      </c>
      <c r="B21" s="9">
        <v>3000000061</v>
      </c>
      <c r="C21" s="12" t="s">
        <v>28</v>
      </c>
      <c r="D21" s="9" t="s">
        <v>12</v>
      </c>
      <c r="E21" s="36"/>
      <c r="H21" s="36"/>
      <c r="I21" s="22">
        <v>4</v>
      </c>
      <c r="L21" s="36">
        <v>100</v>
      </c>
      <c r="N21" s="22">
        <v>6200</v>
      </c>
      <c r="O21" s="22">
        <v>8105</v>
      </c>
      <c r="P21" s="22">
        <v>4900</v>
      </c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36"/>
      <c r="AW21" s="22">
        <v>4000</v>
      </c>
      <c r="BN21" s="36"/>
      <c r="BW21" s="36"/>
      <c r="CA21" s="22">
        <v>300</v>
      </c>
      <c r="CF21" s="22">
        <v>23609</v>
      </c>
    </row>
    <row r="22" spans="1:84" x14ac:dyDescent="0.25">
      <c r="A22" s="9">
        <v>18</v>
      </c>
      <c r="B22" s="9">
        <v>3000000064</v>
      </c>
      <c r="C22" s="12" t="s">
        <v>29</v>
      </c>
      <c r="D22" s="9" t="s">
        <v>12</v>
      </c>
      <c r="E22" s="36"/>
      <c r="H22" s="36"/>
      <c r="L22" s="36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36"/>
      <c r="BN22" s="36"/>
      <c r="BW22" s="36"/>
      <c r="CF22" s="22">
        <v>0</v>
      </c>
    </row>
    <row r="23" spans="1:84" x14ac:dyDescent="0.25">
      <c r="A23" s="9">
        <v>19</v>
      </c>
      <c r="B23" s="9">
        <v>3000000062</v>
      </c>
      <c r="C23" s="12" t="s">
        <v>30</v>
      </c>
      <c r="D23" s="9" t="s">
        <v>12</v>
      </c>
      <c r="E23" s="36"/>
      <c r="H23" s="36"/>
      <c r="L23" s="36"/>
      <c r="N23" s="22"/>
      <c r="O23" s="22"/>
      <c r="P23" s="22"/>
      <c r="Q23" s="22"/>
      <c r="R23" s="22"/>
      <c r="S23" s="22"/>
      <c r="T23" s="22">
        <v>250</v>
      </c>
      <c r="U23" s="22"/>
      <c r="V23" s="22"/>
      <c r="W23" s="22"/>
      <c r="X23" s="22"/>
      <c r="Y23" s="22"/>
      <c r="Z23" s="22"/>
      <c r="AA23" s="22"/>
      <c r="AB23" s="36"/>
      <c r="AE23" s="22">
        <v>10</v>
      </c>
      <c r="BN23" s="36"/>
      <c r="BW23" s="36"/>
      <c r="CA23" s="22">
        <v>10</v>
      </c>
      <c r="CF23" s="22">
        <v>270</v>
      </c>
    </row>
    <row r="24" spans="1:84" x14ac:dyDescent="0.25">
      <c r="A24" s="9">
        <v>20</v>
      </c>
      <c r="B24" s="9">
        <v>3000000063</v>
      </c>
      <c r="C24" s="12" t="s">
        <v>31</v>
      </c>
      <c r="D24" s="9" t="s">
        <v>12</v>
      </c>
      <c r="E24" s="36"/>
      <c r="H24" s="36"/>
      <c r="L24" s="36"/>
      <c r="N24" s="22"/>
      <c r="O24" s="22"/>
      <c r="P24" s="22"/>
      <c r="Q24" s="22"/>
      <c r="R24" s="22"/>
      <c r="S24" s="22"/>
      <c r="T24" s="22">
        <v>100</v>
      </c>
      <c r="U24" s="22"/>
      <c r="V24" s="22"/>
      <c r="W24" s="22"/>
      <c r="X24" s="22"/>
      <c r="Y24" s="22"/>
      <c r="Z24" s="22"/>
      <c r="AA24" s="22"/>
      <c r="AB24" s="36"/>
      <c r="AD24" s="22">
        <v>6</v>
      </c>
      <c r="AE24" s="22">
        <v>10</v>
      </c>
      <c r="BN24" s="36"/>
      <c r="BW24" s="36"/>
      <c r="CF24" s="22">
        <v>116</v>
      </c>
    </row>
    <row r="25" spans="1:84" x14ac:dyDescent="0.25">
      <c r="A25" s="9">
        <v>21</v>
      </c>
      <c r="B25" s="9">
        <v>3000002688</v>
      </c>
      <c r="C25" s="12" t="s">
        <v>32</v>
      </c>
      <c r="D25" s="9" t="s">
        <v>12</v>
      </c>
      <c r="E25" s="36"/>
      <c r="H25" s="36"/>
      <c r="L25" s="36"/>
      <c r="N25" s="22"/>
      <c r="O25" s="22"/>
      <c r="P25" s="22"/>
      <c r="Q25" s="22"/>
      <c r="R25" s="22"/>
      <c r="S25" s="22">
        <v>360</v>
      </c>
      <c r="T25" s="22"/>
      <c r="U25" s="22">
        <v>360</v>
      </c>
      <c r="V25" s="22">
        <v>360</v>
      </c>
      <c r="W25" s="22">
        <v>360</v>
      </c>
      <c r="X25" s="22">
        <v>360</v>
      </c>
      <c r="Y25" s="22">
        <v>360</v>
      </c>
      <c r="Z25" s="22">
        <v>340</v>
      </c>
      <c r="AA25" s="22"/>
      <c r="AB25" s="36"/>
      <c r="AD25" s="22">
        <v>8</v>
      </c>
      <c r="AE25" s="22">
        <v>10</v>
      </c>
      <c r="AQ25" s="22">
        <v>50</v>
      </c>
      <c r="BN25" s="36"/>
      <c r="BW25" s="36"/>
      <c r="CF25" s="22">
        <v>2568</v>
      </c>
    </row>
    <row r="26" spans="1:84" x14ac:dyDescent="0.25">
      <c r="A26" s="9">
        <v>22</v>
      </c>
      <c r="B26" s="9">
        <v>3000002869</v>
      </c>
      <c r="C26" s="12" t="s">
        <v>33</v>
      </c>
      <c r="D26" s="9" t="s">
        <v>12</v>
      </c>
      <c r="E26" s="36"/>
      <c r="H26" s="36"/>
      <c r="L26" s="36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36"/>
      <c r="AC26" s="22">
        <v>8</v>
      </c>
      <c r="AE26" s="22">
        <v>10</v>
      </c>
      <c r="AH26" s="22">
        <v>180</v>
      </c>
      <c r="AI26" s="22">
        <v>180</v>
      </c>
      <c r="AJ26" s="22">
        <v>180</v>
      </c>
      <c r="AK26" s="22">
        <v>180</v>
      </c>
      <c r="AL26" s="22">
        <v>180</v>
      </c>
      <c r="AM26" s="22">
        <v>180</v>
      </c>
      <c r="AN26" s="22">
        <v>180</v>
      </c>
      <c r="AO26" s="22">
        <v>180</v>
      </c>
      <c r="BD26" s="22">
        <v>180</v>
      </c>
      <c r="BI26" s="22">
        <v>180</v>
      </c>
      <c r="BJ26" s="22">
        <v>180</v>
      </c>
      <c r="BK26" s="22">
        <v>180</v>
      </c>
      <c r="BL26" s="22">
        <v>180</v>
      </c>
      <c r="BM26" s="22">
        <v>180</v>
      </c>
      <c r="BN26" s="36"/>
      <c r="BQ26" s="22">
        <v>180</v>
      </c>
      <c r="BR26" s="22">
        <v>180</v>
      </c>
      <c r="BS26" s="22">
        <v>180</v>
      </c>
      <c r="BT26" s="22">
        <v>180</v>
      </c>
      <c r="BU26" s="22">
        <v>180</v>
      </c>
      <c r="BW26" s="36"/>
      <c r="CC26" s="22">
        <v>8</v>
      </c>
      <c r="CF26" s="22">
        <v>3446</v>
      </c>
    </row>
    <row r="27" spans="1:84" x14ac:dyDescent="0.25">
      <c r="A27" s="9">
        <v>23</v>
      </c>
      <c r="B27" s="9">
        <v>3000000068</v>
      </c>
      <c r="C27" s="12" t="s">
        <v>34</v>
      </c>
      <c r="D27" s="9" t="s">
        <v>12</v>
      </c>
      <c r="E27" s="36"/>
      <c r="G27" s="22">
        <v>100</v>
      </c>
      <c r="H27" s="36">
        <v>200</v>
      </c>
      <c r="J27" s="22">
        <v>200</v>
      </c>
      <c r="L27" s="36"/>
      <c r="M27" s="22">
        <v>2266</v>
      </c>
      <c r="N27" s="22">
        <v>6200</v>
      </c>
      <c r="O27" s="22">
        <v>9316</v>
      </c>
      <c r="P27" s="22">
        <v>6200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36">
        <v>544</v>
      </c>
      <c r="AD27" s="22">
        <v>324</v>
      </c>
      <c r="AU27" s="22">
        <v>3000</v>
      </c>
      <c r="AW27" s="22">
        <v>14013</v>
      </c>
      <c r="BN27" s="36"/>
      <c r="BW27" s="36"/>
      <c r="BX27" s="22">
        <v>24</v>
      </c>
      <c r="BY27" s="22">
        <v>250</v>
      </c>
      <c r="BZ27" s="22">
        <v>275</v>
      </c>
      <c r="CF27" s="22">
        <v>42912</v>
      </c>
    </row>
    <row r="28" spans="1:84" x14ac:dyDescent="0.25">
      <c r="A28" s="9">
        <v>24</v>
      </c>
      <c r="B28" s="9" t="s">
        <v>35</v>
      </c>
      <c r="C28" s="12" t="s">
        <v>602</v>
      </c>
      <c r="D28" s="9" t="s">
        <v>12</v>
      </c>
      <c r="E28" s="36"/>
      <c r="H28" s="36"/>
      <c r="L28" s="36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36"/>
      <c r="BN28" s="36"/>
      <c r="BW28" s="36"/>
      <c r="CF28" s="22">
        <v>0</v>
      </c>
    </row>
    <row r="29" spans="1:84" x14ac:dyDescent="0.25">
      <c r="A29" s="9">
        <v>25</v>
      </c>
      <c r="B29" s="9">
        <v>3000001221</v>
      </c>
      <c r="C29" s="12" t="s">
        <v>302</v>
      </c>
      <c r="D29" s="9" t="s">
        <v>12</v>
      </c>
      <c r="E29" s="36"/>
      <c r="H29" s="36"/>
      <c r="L29" s="36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36"/>
      <c r="BN29" s="36"/>
      <c r="BW29" s="36"/>
      <c r="CF29" s="22">
        <v>0</v>
      </c>
    </row>
    <row r="30" spans="1:84" x14ac:dyDescent="0.25">
      <c r="A30" s="9">
        <v>26</v>
      </c>
      <c r="B30" s="9">
        <v>3000001223</v>
      </c>
      <c r="C30" s="12" t="s">
        <v>304</v>
      </c>
      <c r="D30" s="9" t="s">
        <v>12</v>
      </c>
      <c r="E30" s="36"/>
      <c r="H30" s="36"/>
      <c r="L30" s="36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36"/>
      <c r="BN30" s="36"/>
      <c r="BW30" s="36"/>
      <c r="CF30" s="22">
        <v>0</v>
      </c>
    </row>
    <row r="31" spans="1:84" x14ac:dyDescent="0.25">
      <c r="A31" s="9">
        <v>27</v>
      </c>
      <c r="B31" s="9">
        <v>3000008524</v>
      </c>
      <c r="C31" s="12" t="s">
        <v>39</v>
      </c>
      <c r="D31" s="9" t="s">
        <v>12</v>
      </c>
      <c r="E31" s="36"/>
      <c r="H31" s="36"/>
      <c r="L31" s="36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36"/>
      <c r="BN31" s="36"/>
      <c r="BW31" s="36"/>
      <c r="CF31" s="22">
        <v>0</v>
      </c>
    </row>
    <row r="32" spans="1:84" x14ac:dyDescent="0.25">
      <c r="A32" s="9">
        <v>28</v>
      </c>
      <c r="B32" s="9">
        <v>3000000628</v>
      </c>
      <c r="C32" s="12" t="s">
        <v>40</v>
      </c>
      <c r="D32" s="9" t="s">
        <v>12</v>
      </c>
      <c r="E32" s="36"/>
      <c r="G32" s="22">
        <v>4</v>
      </c>
      <c r="H32" s="36"/>
      <c r="I32" s="22">
        <v>4</v>
      </c>
      <c r="L32" s="36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36"/>
      <c r="BN32" s="36"/>
      <c r="BW32" s="36"/>
      <c r="CF32" s="22">
        <v>8</v>
      </c>
    </row>
    <row r="33" spans="1:84" x14ac:dyDescent="0.25">
      <c r="A33" s="9">
        <v>29</v>
      </c>
      <c r="B33" s="9">
        <v>5000000013</v>
      </c>
      <c r="C33" s="12" t="s">
        <v>41</v>
      </c>
      <c r="D33" s="9" t="s">
        <v>12</v>
      </c>
      <c r="E33" s="36"/>
      <c r="H33" s="36"/>
      <c r="L33" s="36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36"/>
      <c r="BN33" s="36"/>
      <c r="BW33" s="36"/>
      <c r="CF33" s="22">
        <v>0</v>
      </c>
    </row>
    <row r="34" spans="1:84" x14ac:dyDescent="0.25">
      <c r="A34" s="9">
        <v>30</v>
      </c>
      <c r="B34" s="9">
        <v>5000000014</v>
      </c>
      <c r="C34" s="12" t="s">
        <v>42</v>
      </c>
      <c r="D34" s="9" t="s">
        <v>12</v>
      </c>
      <c r="E34" s="36"/>
      <c r="H34" s="36"/>
      <c r="L34" s="36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36"/>
      <c r="BN34" s="36"/>
      <c r="BW34" s="36"/>
      <c r="CF34" s="22">
        <v>0</v>
      </c>
    </row>
    <row r="35" spans="1:84" x14ac:dyDescent="0.25">
      <c r="A35" s="9">
        <v>31</v>
      </c>
      <c r="B35" s="9">
        <v>5000000011</v>
      </c>
      <c r="C35" s="12" t="s">
        <v>43</v>
      </c>
      <c r="D35" s="9" t="s">
        <v>12</v>
      </c>
      <c r="E35" s="36"/>
      <c r="H35" s="36"/>
      <c r="L35" s="36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36"/>
      <c r="BN35" s="36"/>
      <c r="BW35" s="36"/>
      <c r="CF35" s="22">
        <v>0</v>
      </c>
    </row>
    <row r="36" spans="1:84" x14ac:dyDescent="0.25">
      <c r="A36" s="9">
        <v>32</v>
      </c>
      <c r="B36" s="9">
        <v>5000000012</v>
      </c>
      <c r="C36" s="12" t="s">
        <v>44</v>
      </c>
      <c r="D36" s="9" t="s">
        <v>12</v>
      </c>
      <c r="E36" s="36"/>
      <c r="H36" s="36"/>
      <c r="L36" s="36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36"/>
      <c r="BN36" s="36"/>
      <c r="BW36" s="36"/>
      <c r="CF36" s="22">
        <v>0</v>
      </c>
    </row>
    <row r="37" spans="1:84" x14ac:dyDescent="0.25">
      <c r="A37" s="9">
        <v>33</v>
      </c>
      <c r="B37" s="9">
        <v>3000002635</v>
      </c>
      <c r="C37" s="12" t="s">
        <v>45</v>
      </c>
      <c r="D37" s="9" t="s">
        <v>12</v>
      </c>
      <c r="E37" s="36"/>
      <c r="H37" s="36"/>
      <c r="L37" s="36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36"/>
      <c r="BN37" s="36"/>
      <c r="BW37" s="36"/>
      <c r="CF37" s="22">
        <v>0</v>
      </c>
    </row>
    <row r="38" spans="1:84" x14ac:dyDescent="0.25">
      <c r="A38" s="9">
        <v>34</v>
      </c>
      <c r="B38" s="9">
        <v>3000000345</v>
      </c>
      <c r="C38" s="12" t="s">
        <v>46</v>
      </c>
      <c r="D38" s="9" t="s">
        <v>12</v>
      </c>
      <c r="E38" s="36"/>
      <c r="H38" s="36"/>
      <c r="L38" s="36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36"/>
      <c r="BN38" s="36"/>
      <c r="BV38" s="22">
        <v>120</v>
      </c>
      <c r="BW38" s="36"/>
      <c r="CF38" s="22">
        <v>120</v>
      </c>
    </row>
    <row r="39" spans="1:84" x14ac:dyDescent="0.25">
      <c r="A39" s="9">
        <v>35</v>
      </c>
      <c r="B39" s="9">
        <v>3000000346</v>
      </c>
      <c r="C39" s="12" t="s">
        <v>47</v>
      </c>
      <c r="D39" s="9" t="s">
        <v>12</v>
      </c>
      <c r="E39" s="36"/>
      <c r="H39" s="36"/>
      <c r="L39" s="36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36"/>
      <c r="BN39" s="36"/>
      <c r="BW39" s="36"/>
      <c r="CF39" s="22">
        <v>0</v>
      </c>
    </row>
    <row r="40" spans="1:84" x14ac:dyDescent="0.25">
      <c r="A40" s="9">
        <v>36</v>
      </c>
      <c r="B40" s="9">
        <v>3000000347</v>
      </c>
      <c r="C40" s="12" t="s">
        <v>48</v>
      </c>
      <c r="D40" s="9" t="s">
        <v>12</v>
      </c>
      <c r="E40" s="36"/>
      <c r="H40" s="36"/>
      <c r="L40" s="36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36"/>
      <c r="BN40" s="36"/>
      <c r="BW40" s="36"/>
      <c r="CF40" s="22">
        <v>0</v>
      </c>
    </row>
    <row r="41" spans="1:84" x14ac:dyDescent="0.25">
      <c r="A41" s="9">
        <v>37</v>
      </c>
      <c r="B41" s="9">
        <v>3000000348</v>
      </c>
      <c r="C41" s="12" t="s">
        <v>49</v>
      </c>
      <c r="D41" s="9" t="s">
        <v>12</v>
      </c>
      <c r="E41" s="36"/>
      <c r="H41" s="36"/>
      <c r="L41" s="36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36"/>
      <c r="BN41" s="36"/>
      <c r="BW41" s="36"/>
      <c r="CF41" s="22">
        <v>0</v>
      </c>
    </row>
    <row r="42" spans="1:84" x14ac:dyDescent="0.25">
      <c r="A42" s="9">
        <v>38</v>
      </c>
      <c r="B42" s="9">
        <v>3000000349</v>
      </c>
      <c r="C42" s="12" t="s">
        <v>50</v>
      </c>
      <c r="D42" s="9" t="s">
        <v>12</v>
      </c>
      <c r="E42" s="36"/>
      <c r="H42" s="36"/>
      <c r="L42" s="36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36"/>
      <c r="BN42" s="36"/>
      <c r="BW42" s="36"/>
      <c r="CF42" s="22">
        <v>0</v>
      </c>
    </row>
    <row r="43" spans="1:84" x14ac:dyDescent="0.25">
      <c r="A43" s="9">
        <v>39</v>
      </c>
      <c r="B43" s="9">
        <v>3000004464</v>
      </c>
      <c r="C43" s="12" t="s">
        <v>51</v>
      </c>
      <c r="D43" s="9" t="s">
        <v>12</v>
      </c>
      <c r="E43" s="36"/>
      <c r="H43" s="36"/>
      <c r="L43" s="36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36"/>
      <c r="BN43" s="36"/>
      <c r="BW43" s="36"/>
      <c r="CF43" s="22">
        <v>0</v>
      </c>
    </row>
    <row r="44" spans="1:84" x14ac:dyDescent="0.25">
      <c r="A44" s="9">
        <v>40</v>
      </c>
      <c r="B44" s="9">
        <v>3000000352</v>
      </c>
      <c r="C44" s="12" t="s">
        <v>52</v>
      </c>
      <c r="D44" s="9" t="s">
        <v>12</v>
      </c>
      <c r="E44" s="36"/>
      <c r="H44" s="36"/>
      <c r="L44" s="36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36"/>
      <c r="BN44" s="36"/>
      <c r="BW44" s="36"/>
      <c r="CF44" s="22">
        <v>0</v>
      </c>
    </row>
    <row r="45" spans="1:84" x14ac:dyDescent="0.25">
      <c r="A45" s="9">
        <v>41</v>
      </c>
      <c r="B45" s="9">
        <v>5000000007</v>
      </c>
      <c r="C45" s="12" t="s">
        <v>53</v>
      </c>
      <c r="D45" s="9" t="s">
        <v>12</v>
      </c>
      <c r="E45" s="36"/>
      <c r="H45" s="36"/>
      <c r="L45" s="36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36"/>
      <c r="BN45" s="36"/>
      <c r="BW45" s="36"/>
      <c r="CF45" s="22">
        <v>0</v>
      </c>
    </row>
    <row r="46" spans="1:84" x14ac:dyDescent="0.25">
      <c r="A46" s="9">
        <v>42</v>
      </c>
      <c r="B46" s="9">
        <v>5000000004</v>
      </c>
      <c r="C46" s="12" t="s">
        <v>54</v>
      </c>
      <c r="D46" s="9" t="s">
        <v>12</v>
      </c>
      <c r="E46" s="36"/>
      <c r="H46" s="36"/>
      <c r="L46" s="36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36"/>
      <c r="BN46" s="36"/>
      <c r="BW46" s="36"/>
      <c r="CF46" s="22">
        <v>0</v>
      </c>
    </row>
    <row r="47" spans="1:84" x14ac:dyDescent="0.25">
      <c r="A47" s="9">
        <v>43</v>
      </c>
      <c r="B47" s="9">
        <v>5000000006</v>
      </c>
      <c r="C47" s="12" t="s">
        <v>55</v>
      </c>
      <c r="D47" s="9" t="s">
        <v>12</v>
      </c>
      <c r="E47" s="36"/>
      <c r="H47" s="36"/>
      <c r="L47" s="36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36"/>
      <c r="BN47" s="36"/>
      <c r="BW47" s="36"/>
      <c r="CF47" s="22">
        <v>0</v>
      </c>
    </row>
    <row r="48" spans="1:84" x14ac:dyDescent="0.25">
      <c r="A48" s="9">
        <v>44</v>
      </c>
      <c r="B48" s="9" t="s">
        <v>35</v>
      </c>
      <c r="C48" s="12" t="s">
        <v>56</v>
      </c>
      <c r="D48" s="9" t="s">
        <v>12</v>
      </c>
      <c r="E48" s="36"/>
      <c r="H48" s="36"/>
      <c r="L48" s="36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36"/>
      <c r="BN48" s="36"/>
      <c r="BW48" s="36"/>
      <c r="CF48" s="22">
        <v>0</v>
      </c>
    </row>
    <row r="49" spans="1:84" x14ac:dyDescent="0.25">
      <c r="A49" s="9">
        <v>45</v>
      </c>
      <c r="B49" s="9">
        <v>3000000354</v>
      </c>
      <c r="C49" s="12" t="s">
        <v>57</v>
      </c>
      <c r="D49" s="9" t="s">
        <v>12</v>
      </c>
      <c r="E49" s="36"/>
      <c r="H49" s="36"/>
      <c r="L49" s="36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36"/>
      <c r="BN49" s="36"/>
      <c r="BW49" s="36"/>
      <c r="CF49" s="22">
        <v>0</v>
      </c>
    </row>
    <row r="50" spans="1:84" x14ac:dyDescent="0.25">
      <c r="A50" s="9">
        <v>46</v>
      </c>
      <c r="B50" s="9">
        <v>3000000355</v>
      </c>
      <c r="C50" s="12" t="s">
        <v>58</v>
      </c>
      <c r="D50" s="9" t="s">
        <v>12</v>
      </c>
      <c r="E50" s="36"/>
      <c r="H50" s="36"/>
      <c r="L50" s="36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36"/>
      <c r="BN50" s="36"/>
      <c r="BW50" s="36"/>
      <c r="CF50" s="22">
        <v>0</v>
      </c>
    </row>
    <row r="51" spans="1:84" x14ac:dyDescent="0.25">
      <c r="A51" s="9">
        <v>47</v>
      </c>
      <c r="B51" s="9">
        <v>3000000060</v>
      </c>
      <c r="C51" s="12" t="s">
        <v>295</v>
      </c>
      <c r="D51" s="9" t="s">
        <v>12</v>
      </c>
      <c r="E51" s="36"/>
      <c r="H51" s="36"/>
      <c r="L51" s="36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36"/>
      <c r="BN51" s="36"/>
      <c r="BW51" s="36"/>
      <c r="CF51" s="22">
        <v>0</v>
      </c>
    </row>
    <row r="52" spans="1:84" x14ac:dyDescent="0.25">
      <c r="A52" s="9">
        <v>48</v>
      </c>
      <c r="B52" s="9">
        <v>3000000356</v>
      </c>
      <c r="C52" s="12" t="s">
        <v>60</v>
      </c>
      <c r="D52" s="9" t="s">
        <v>12</v>
      </c>
      <c r="E52" s="36"/>
      <c r="H52" s="36"/>
      <c r="L52" s="36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36"/>
      <c r="BN52" s="36"/>
      <c r="BW52" s="36"/>
      <c r="CF52" s="22">
        <v>0</v>
      </c>
    </row>
    <row r="53" spans="1:84" x14ac:dyDescent="0.25">
      <c r="A53" s="9">
        <v>49</v>
      </c>
      <c r="B53" s="9">
        <v>3000000353</v>
      </c>
      <c r="C53" s="12" t="s">
        <v>61</v>
      </c>
      <c r="D53" s="9" t="s">
        <v>12</v>
      </c>
      <c r="E53" s="36"/>
      <c r="H53" s="36"/>
      <c r="L53" s="36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36"/>
      <c r="BN53" s="36"/>
      <c r="BW53" s="36"/>
      <c r="CF53" s="22">
        <v>0</v>
      </c>
    </row>
    <row r="54" spans="1:84" x14ac:dyDescent="0.25">
      <c r="A54" s="9">
        <v>50</v>
      </c>
      <c r="B54" s="9">
        <v>3000000437</v>
      </c>
      <c r="C54" s="12" t="s">
        <v>62</v>
      </c>
      <c r="D54" s="9" t="s">
        <v>12</v>
      </c>
      <c r="E54" s="36"/>
      <c r="F54" s="22">
        <v>50</v>
      </c>
      <c r="H54" s="36">
        <v>50</v>
      </c>
      <c r="J54" s="22">
        <v>50</v>
      </c>
      <c r="L54" s="36"/>
      <c r="N54" s="22">
        <v>4400</v>
      </c>
      <c r="O54" s="22">
        <v>1500</v>
      </c>
      <c r="P54" s="22">
        <v>3100</v>
      </c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36">
        <v>1150</v>
      </c>
      <c r="AD54" s="22">
        <v>100</v>
      </c>
      <c r="AU54" s="22">
        <v>3000</v>
      </c>
      <c r="AW54" s="22">
        <v>3647</v>
      </c>
      <c r="BN54" s="36"/>
      <c r="BW54" s="36"/>
      <c r="BY54" s="22">
        <v>150</v>
      </c>
      <c r="CF54" s="22">
        <v>17197</v>
      </c>
    </row>
    <row r="55" spans="1:84" x14ac:dyDescent="0.25">
      <c r="A55" s="9">
        <v>51</v>
      </c>
      <c r="B55" s="9">
        <v>1000005010</v>
      </c>
      <c r="C55" s="12" t="s">
        <v>63</v>
      </c>
      <c r="D55" s="9" t="s">
        <v>12</v>
      </c>
      <c r="E55" s="36"/>
      <c r="H55" s="36"/>
      <c r="L55" s="36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36"/>
      <c r="BN55" s="36"/>
      <c r="BW55" s="36"/>
      <c r="CF55" s="22">
        <v>0</v>
      </c>
    </row>
    <row r="56" spans="1:84" x14ac:dyDescent="0.25">
      <c r="A56" s="9">
        <v>52</v>
      </c>
      <c r="B56" s="9">
        <v>1000005004</v>
      </c>
      <c r="C56" s="12" t="s">
        <v>64</v>
      </c>
      <c r="D56" s="9" t="s">
        <v>12</v>
      </c>
      <c r="E56" s="36"/>
      <c r="H56" s="36"/>
      <c r="L56" s="36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36"/>
      <c r="BN56" s="36"/>
      <c r="BW56" s="36"/>
      <c r="CF56" s="22">
        <v>0</v>
      </c>
    </row>
    <row r="57" spans="1:84" x14ac:dyDescent="0.25">
      <c r="A57" s="9">
        <v>53</v>
      </c>
      <c r="B57" s="9">
        <v>1000005006</v>
      </c>
      <c r="C57" s="12" t="s">
        <v>65</v>
      </c>
      <c r="D57" s="9" t="s">
        <v>12</v>
      </c>
      <c r="E57" s="36"/>
      <c r="H57" s="36"/>
      <c r="L57" s="36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36"/>
      <c r="BN57" s="36"/>
      <c r="BW57" s="36"/>
      <c r="CF57" s="22">
        <v>0</v>
      </c>
    </row>
    <row r="58" spans="1:84" x14ac:dyDescent="0.25">
      <c r="A58" s="9">
        <v>54</v>
      </c>
      <c r="B58" s="9">
        <v>1000005005</v>
      </c>
      <c r="C58" s="12" t="s">
        <v>66</v>
      </c>
      <c r="D58" s="9" t="s">
        <v>12</v>
      </c>
      <c r="E58" s="36"/>
      <c r="H58" s="36"/>
      <c r="L58" s="36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36"/>
      <c r="BN58" s="36"/>
      <c r="BW58" s="36"/>
      <c r="CF58" s="22">
        <v>0</v>
      </c>
    </row>
    <row r="59" spans="1:84" x14ac:dyDescent="0.25">
      <c r="A59" s="9">
        <v>55</v>
      </c>
      <c r="B59" s="9">
        <v>1000006424</v>
      </c>
      <c r="C59" s="12" t="s">
        <v>67</v>
      </c>
      <c r="D59" s="9" t="s">
        <v>12</v>
      </c>
      <c r="E59" s="36"/>
      <c r="H59" s="36"/>
      <c r="L59" s="36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36"/>
      <c r="BN59" s="36"/>
      <c r="BW59" s="36"/>
      <c r="CF59" s="22">
        <v>0</v>
      </c>
    </row>
    <row r="60" spans="1:84" x14ac:dyDescent="0.25">
      <c r="A60" s="9">
        <v>56</v>
      </c>
      <c r="B60" s="9">
        <v>1000005009</v>
      </c>
      <c r="C60" s="12" t="s">
        <v>68</v>
      </c>
      <c r="D60" s="9" t="s">
        <v>12</v>
      </c>
      <c r="E60" s="36"/>
      <c r="H60" s="36"/>
      <c r="L60" s="36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36"/>
      <c r="BN60" s="36"/>
      <c r="BW60" s="36"/>
      <c r="CF60" s="22">
        <v>0</v>
      </c>
    </row>
    <row r="61" spans="1:84" x14ac:dyDescent="0.25">
      <c r="A61" s="9">
        <v>57</v>
      </c>
      <c r="B61" s="9">
        <v>1000005008</v>
      </c>
      <c r="C61" s="12" t="s">
        <v>69</v>
      </c>
      <c r="D61" s="9" t="s">
        <v>12</v>
      </c>
      <c r="E61" s="36"/>
      <c r="H61" s="36"/>
      <c r="L61" s="36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36"/>
      <c r="BN61" s="36"/>
      <c r="BW61" s="36"/>
      <c r="CF61" s="22">
        <v>0</v>
      </c>
    </row>
    <row r="62" spans="1:84" x14ac:dyDescent="0.25">
      <c r="A62" s="9">
        <v>58</v>
      </c>
      <c r="B62" s="9">
        <v>1000005007</v>
      </c>
      <c r="C62" s="12" t="s">
        <v>70</v>
      </c>
      <c r="D62" s="9" t="s">
        <v>12</v>
      </c>
      <c r="E62" s="36"/>
      <c r="H62" s="36"/>
      <c r="L62" s="36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36"/>
      <c r="BN62" s="36"/>
      <c r="BW62" s="36"/>
      <c r="CF62" s="22">
        <v>0</v>
      </c>
    </row>
    <row r="63" spans="1:84" x14ac:dyDescent="0.25">
      <c r="A63" s="9">
        <v>59</v>
      </c>
      <c r="B63" s="9">
        <v>1000005003</v>
      </c>
      <c r="C63" s="12" t="s">
        <v>71</v>
      </c>
      <c r="D63" s="9" t="s">
        <v>12</v>
      </c>
      <c r="E63" s="36"/>
      <c r="H63" s="36"/>
      <c r="L63" s="36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36"/>
      <c r="BN63" s="36"/>
      <c r="BW63" s="36"/>
      <c r="CF63" s="22">
        <v>0</v>
      </c>
    </row>
    <row r="64" spans="1:84" x14ac:dyDescent="0.25">
      <c r="A64" s="9">
        <v>60</v>
      </c>
      <c r="B64" s="9">
        <v>1000005001</v>
      </c>
      <c r="C64" s="12" t="s">
        <v>72</v>
      </c>
      <c r="D64" s="9" t="s">
        <v>12</v>
      </c>
      <c r="E64" s="36"/>
      <c r="H64" s="36"/>
      <c r="L64" s="36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36"/>
      <c r="BN64" s="36"/>
      <c r="BW64" s="36"/>
      <c r="CF64" s="22">
        <v>0</v>
      </c>
    </row>
    <row r="65" spans="1:84" x14ac:dyDescent="0.25">
      <c r="A65" s="9">
        <v>61</v>
      </c>
      <c r="B65" s="9">
        <v>1000005002</v>
      </c>
      <c r="C65" s="12" t="s">
        <v>73</v>
      </c>
      <c r="D65" s="9" t="s">
        <v>12</v>
      </c>
      <c r="E65" s="36"/>
      <c r="H65" s="36"/>
      <c r="L65" s="36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36"/>
      <c r="BN65" s="36"/>
      <c r="BW65" s="36"/>
      <c r="CF65" s="22">
        <v>0</v>
      </c>
    </row>
    <row r="66" spans="1:84" x14ac:dyDescent="0.25">
      <c r="A66" s="9">
        <v>62</v>
      </c>
      <c r="B66" s="9">
        <v>1000005000</v>
      </c>
      <c r="C66" s="12" t="s">
        <v>74</v>
      </c>
      <c r="D66" s="9" t="s">
        <v>12</v>
      </c>
      <c r="E66" s="36"/>
      <c r="H66" s="36"/>
      <c r="L66" s="36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36"/>
      <c r="BN66" s="36"/>
      <c r="BW66" s="36"/>
      <c r="CF66" s="22">
        <v>0</v>
      </c>
    </row>
    <row r="67" spans="1:84" x14ac:dyDescent="0.25">
      <c r="A67" s="9">
        <v>63</v>
      </c>
      <c r="B67" s="9">
        <v>3000002340</v>
      </c>
      <c r="C67" s="12" t="s">
        <v>75</v>
      </c>
      <c r="D67" s="9" t="s">
        <v>12</v>
      </c>
      <c r="E67" s="36"/>
      <c r="F67" s="22">
        <v>10</v>
      </c>
      <c r="H67" s="36">
        <v>15</v>
      </c>
      <c r="J67" s="22">
        <v>15</v>
      </c>
      <c r="L67" s="36"/>
      <c r="N67" s="22"/>
      <c r="O67" s="22"/>
      <c r="P67" s="22"/>
      <c r="Q67" s="22">
        <v>1500</v>
      </c>
      <c r="R67" s="22"/>
      <c r="S67" s="22"/>
      <c r="T67" s="22"/>
      <c r="U67" s="22"/>
      <c r="V67" s="22"/>
      <c r="W67" s="22"/>
      <c r="X67" s="22"/>
      <c r="Y67" s="22"/>
      <c r="Z67" s="22"/>
      <c r="AA67" s="22">
        <v>3042</v>
      </c>
      <c r="AB67" s="36"/>
      <c r="AD67" s="22">
        <v>20</v>
      </c>
      <c r="BI67" s="22">
        <v>1400</v>
      </c>
      <c r="BJ67" s="22">
        <v>1400</v>
      </c>
      <c r="BN67" s="36">
        <v>100</v>
      </c>
      <c r="BW67" s="36"/>
      <c r="BY67" s="22">
        <v>50</v>
      </c>
      <c r="CF67" s="22">
        <v>7552</v>
      </c>
    </row>
    <row r="68" spans="1:84" x14ac:dyDescent="0.25">
      <c r="A68" s="9">
        <v>64</v>
      </c>
      <c r="B68" s="9">
        <v>3000001211</v>
      </c>
      <c r="C68" s="12" t="s">
        <v>76</v>
      </c>
      <c r="D68" s="9" t="s">
        <v>12</v>
      </c>
      <c r="E68" s="36"/>
      <c r="H68" s="36"/>
      <c r="L68" s="36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36"/>
      <c r="AD68" s="22">
        <v>8</v>
      </c>
      <c r="BN68" s="36"/>
      <c r="BW68" s="36"/>
      <c r="BX68" s="22">
        <v>6</v>
      </c>
      <c r="CF68" s="22">
        <v>14</v>
      </c>
    </row>
    <row r="69" spans="1:84" x14ac:dyDescent="0.25">
      <c r="A69" s="9">
        <v>65</v>
      </c>
      <c r="B69" s="9">
        <v>3000001212</v>
      </c>
      <c r="C69" s="12" t="s">
        <v>77</v>
      </c>
      <c r="D69" s="9" t="s">
        <v>12</v>
      </c>
      <c r="E69" s="36"/>
      <c r="F69" s="22">
        <v>10</v>
      </c>
      <c r="H69" s="36"/>
      <c r="L69" s="36"/>
      <c r="M69" s="22">
        <v>57</v>
      </c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36">
        <v>45</v>
      </c>
      <c r="AD69" s="22">
        <v>23</v>
      </c>
      <c r="AU69" s="22">
        <v>656</v>
      </c>
      <c r="BN69" s="36">
        <v>100</v>
      </c>
      <c r="BW69" s="36"/>
      <c r="BX69" s="22">
        <v>13</v>
      </c>
      <c r="BY69" s="22">
        <v>25</v>
      </c>
      <c r="BZ69" s="22">
        <v>19</v>
      </c>
      <c r="CF69" s="22">
        <v>948</v>
      </c>
    </row>
    <row r="70" spans="1:84" x14ac:dyDescent="0.25">
      <c r="A70" s="9">
        <v>66</v>
      </c>
      <c r="B70" s="9">
        <v>3000002341</v>
      </c>
      <c r="C70" s="12" t="s">
        <v>78</v>
      </c>
      <c r="D70" s="9" t="s">
        <v>12</v>
      </c>
      <c r="E70" s="36"/>
      <c r="F70" s="22">
        <v>20</v>
      </c>
      <c r="H70" s="36">
        <v>25</v>
      </c>
      <c r="J70" s="22">
        <v>25</v>
      </c>
      <c r="L70" s="36"/>
      <c r="M70" s="22">
        <v>300</v>
      </c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36">
        <v>200</v>
      </c>
      <c r="AD70" s="22">
        <v>40</v>
      </c>
      <c r="AU70" s="22">
        <v>1050</v>
      </c>
      <c r="AV70" s="22">
        <v>53</v>
      </c>
      <c r="BK70" s="22">
        <v>700</v>
      </c>
      <c r="BL70" s="22">
        <v>700</v>
      </c>
      <c r="BM70" s="22">
        <v>700</v>
      </c>
      <c r="BN70" s="36"/>
      <c r="BR70" s="22">
        <v>700</v>
      </c>
      <c r="BS70" s="22">
        <v>700</v>
      </c>
      <c r="BW70" s="36"/>
      <c r="BY70" s="22">
        <v>50</v>
      </c>
      <c r="CF70" s="22">
        <v>5263</v>
      </c>
    </row>
    <row r="71" spans="1:84" x14ac:dyDescent="0.25">
      <c r="A71" s="9">
        <v>67</v>
      </c>
      <c r="B71" s="9">
        <v>3000001214</v>
      </c>
      <c r="C71" s="12" t="s">
        <v>79</v>
      </c>
      <c r="D71" s="9" t="s">
        <v>12</v>
      </c>
      <c r="E71" s="36"/>
      <c r="H71" s="36">
        <v>25</v>
      </c>
      <c r="J71" s="22">
        <v>25</v>
      </c>
      <c r="L71" s="36"/>
      <c r="N71" s="22"/>
      <c r="O71" s="22"/>
      <c r="P71" s="22"/>
      <c r="Q71" s="22">
        <v>900</v>
      </c>
      <c r="R71" s="22">
        <v>325</v>
      </c>
      <c r="S71" s="22"/>
      <c r="T71" s="22"/>
      <c r="U71" s="22"/>
      <c r="V71" s="22"/>
      <c r="W71" s="22"/>
      <c r="X71" s="22"/>
      <c r="Y71" s="22"/>
      <c r="Z71" s="22"/>
      <c r="AA71" s="22"/>
      <c r="AB71" s="36"/>
      <c r="AV71" s="22">
        <v>885</v>
      </c>
      <c r="BN71" s="36"/>
      <c r="BW71" s="36"/>
      <c r="CF71" s="22">
        <v>2160</v>
      </c>
    </row>
    <row r="72" spans="1:84" x14ac:dyDescent="0.25">
      <c r="A72" s="9">
        <v>68</v>
      </c>
      <c r="B72" s="9">
        <v>3000001215</v>
      </c>
      <c r="C72" s="12" t="s">
        <v>80</v>
      </c>
      <c r="D72" s="9" t="s">
        <v>12</v>
      </c>
      <c r="E72" s="36"/>
      <c r="F72" s="22">
        <v>75</v>
      </c>
      <c r="H72" s="36"/>
      <c r="J72" s="22">
        <v>75</v>
      </c>
      <c r="L72" s="36"/>
      <c r="M72" s="22">
        <v>300</v>
      </c>
      <c r="N72" s="22"/>
      <c r="O72" s="22"/>
      <c r="P72" s="22"/>
      <c r="Q72" s="22"/>
      <c r="R72" s="22">
        <v>900</v>
      </c>
      <c r="S72" s="22"/>
      <c r="T72" s="22"/>
      <c r="U72" s="22"/>
      <c r="V72" s="22"/>
      <c r="W72" s="22"/>
      <c r="X72" s="22"/>
      <c r="Y72" s="22"/>
      <c r="Z72" s="22"/>
      <c r="AA72" s="22"/>
      <c r="AB72" s="36">
        <v>200</v>
      </c>
      <c r="AD72" s="22">
        <v>50</v>
      </c>
      <c r="AQ72" s="22">
        <v>175</v>
      </c>
      <c r="BD72" s="22">
        <v>400</v>
      </c>
      <c r="BE72" s="22">
        <v>1400</v>
      </c>
      <c r="BF72" s="22">
        <v>1400</v>
      </c>
      <c r="BG72" s="22">
        <v>1400</v>
      </c>
      <c r="BH72" s="22">
        <v>1400</v>
      </c>
      <c r="BN72" s="36">
        <v>200</v>
      </c>
      <c r="BQ72" s="22">
        <v>400</v>
      </c>
      <c r="BT72" s="22">
        <v>400</v>
      </c>
      <c r="BU72" s="22">
        <v>400</v>
      </c>
      <c r="BW72" s="36"/>
      <c r="BY72" s="22">
        <v>100</v>
      </c>
      <c r="BZ72" s="22">
        <v>1</v>
      </c>
      <c r="CF72" s="22">
        <v>9276</v>
      </c>
    </row>
    <row r="73" spans="1:84" x14ac:dyDescent="0.25">
      <c r="A73" s="9">
        <v>69</v>
      </c>
      <c r="B73" s="9">
        <v>3000001216</v>
      </c>
      <c r="C73" s="12" t="s">
        <v>81</v>
      </c>
      <c r="D73" s="9" t="s">
        <v>12</v>
      </c>
      <c r="E73" s="36"/>
      <c r="H73" s="36"/>
      <c r="L73" s="36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36"/>
      <c r="BN73" s="36"/>
      <c r="BW73" s="36"/>
      <c r="CF73" s="22">
        <v>0</v>
      </c>
    </row>
    <row r="74" spans="1:84" x14ac:dyDescent="0.25">
      <c r="A74" s="9">
        <v>70</v>
      </c>
      <c r="B74" s="9">
        <v>3000001217</v>
      </c>
      <c r="C74" s="12" t="s">
        <v>82</v>
      </c>
      <c r="D74" s="9" t="s">
        <v>12</v>
      </c>
      <c r="E74" s="36"/>
      <c r="H74" s="36"/>
      <c r="L74" s="36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36"/>
      <c r="BN74" s="36"/>
      <c r="BW74" s="36"/>
      <c r="CF74" s="22">
        <v>0</v>
      </c>
    </row>
    <row r="75" spans="1:84" x14ac:dyDescent="0.25">
      <c r="A75" s="9">
        <v>71</v>
      </c>
      <c r="B75" s="9">
        <v>3000000009</v>
      </c>
      <c r="C75" s="12" t="s">
        <v>83</v>
      </c>
      <c r="D75" s="9" t="s">
        <v>12</v>
      </c>
      <c r="E75" s="36"/>
      <c r="H75" s="36"/>
      <c r="L75" s="36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36"/>
      <c r="BN75" s="36"/>
      <c r="BW75" s="36"/>
      <c r="CF75" s="22">
        <v>0</v>
      </c>
    </row>
    <row r="76" spans="1:84" x14ac:dyDescent="0.25">
      <c r="A76" s="9">
        <v>72</v>
      </c>
      <c r="B76" s="9">
        <v>3000000011</v>
      </c>
      <c r="C76" s="12" t="s">
        <v>84</v>
      </c>
      <c r="D76" s="9" t="s">
        <v>12</v>
      </c>
      <c r="E76" s="36"/>
      <c r="H76" s="36"/>
      <c r="L76" s="36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36"/>
      <c r="BN76" s="36"/>
      <c r="BW76" s="36"/>
      <c r="CF76" s="22">
        <v>0</v>
      </c>
    </row>
    <row r="77" spans="1:84" x14ac:dyDescent="0.25">
      <c r="A77" s="9">
        <v>73</v>
      </c>
      <c r="B77" s="9">
        <v>3000000707</v>
      </c>
      <c r="C77" s="12" t="s">
        <v>85</v>
      </c>
      <c r="D77" s="9" t="s">
        <v>12</v>
      </c>
      <c r="E77" s="36"/>
      <c r="H77" s="36"/>
      <c r="L77" s="36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36"/>
      <c r="BN77" s="36"/>
      <c r="BW77" s="36"/>
      <c r="CF77" s="22">
        <v>0</v>
      </c>
    </row>
    <row r="78" spans="1:84" x14ac:dyDescent="0.25">
      <c r="A78" s="9">
        <v>74</v>
      </c>
      <c r="B78" s="9">
        <v>3000000301</v>
      </c>
      <c r="C78" s="12" t="s">
        <v>86</v>
      </c>
      <c r="D78" s="9" t="s">
        <v>12</v>
      </c>
      <c r="E78" s="36"/>
      <c r="H78" s="36"/>
      <c r="L78" s="36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36"/>
      <c r="BN78" s="36"/>
      <c r="BW78" s="36"/>
      <c r="CF78" s="22">
        <v>0</v>
      </c>
    </row>
    <row r="79" spans="1:84" x14ac:dyDescent="0.25">
      <c r="A79" s="9">
        <v>75</v>
      </c>
      <c r="B79" s="9">
        <v>3000000302</v>
      </c>
      <c r="C79" s="12" t="s">
        <v>87</v>
      </c>
      <c r="D79" s="9" t="s">
        <v>12</v>
      </c>
      <c r="E79" s="36"/>
      <c r="H79" s="36"/>
      <c r="I79" s="22">
        <v>20</v>
      </c>
      <c r="K79" s="22">
        <v>20</v>
      </c>
      <c r="L79" s="36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36"/>
      <c r="AK79" s="22">
        <v>311</v>
      </c>
      <c r="BN79" s="36"/>
      <c r="BW79" s="36"/>
      <c r="CF79" s="22">
        <v>351</v>
      </c>
    </row>
    <row r="80" spans="1:84" x14ac:dyDescent="0.25">
      <c r="A80" s="9">
        <v>76</v>
      </c>
      <c r="B80" s="9">
        <v>3000000303</v>
      </c>
      <c r="C80" s="12" t="s">
        <v>88</v>
      </c>
      <c r="D80" s="9" t="s">
        <v>12</v>
      </c>
      <c r="E80" s="36"/>
      <c r="H80" s="36"/>
      <c r="L80" s="36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36"/>
      <c r="AJ80" s="22">
        <v>437</v>
      </c>
      <c r="BN80" s="36"/>
      <c r="BW80" s="36"/>
      <c r="CF80" s="22">
        <v>437</v>
      </c>
    </row>
    <row r="81" spans="1:84" x14ac:dyDescent="0.25">
      <c r="A81" s="9">
        <v>77</v>
      </c>
      <c r="B81" s="9">
        <v>3000000304</v>
      </c>
      <c r="C81" s="12" t="s">
        <v>89</v>
      </c>
      <c r="D81" s="9" t="s">
        <v>12</v>
      </c>
      <c r="E81" s="36"/>
      <c r="H81" s="36"/>
      <c r="L81" s="36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36"/>
      <c r="AO81" s="22">
        <v>76</v>
      </c>
      <c r="BN81" s="36"/>
      <c r="BW81" s="36"/>
      <c r="CF81" s="22">
        <v>76</v>
      </c>
    </row>
    <row r="82" spans="1:84" x14ac:dyDescent="0.25">
      <c r="A82" s="9">
        <v>78</v>
      </c>
      <c r="B82" s="9">
        <v>3000000305</v>
      </c>
      <c r="C82" s="12" t="s">
        <v>90</v>
      </c>
      <c r="D82" s="9" t="s">
        <v>12</v>
      </c>
      <c r="E82" s="36"/>
      <c r="H82" s="36"/>
      <c r="I82" s="22">
        <v>100</v>
      </c>
      <c r="K82" s="22">
        <v>150</v>
      </c>
      <c r="L82" s="36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36"/>
      <c r="AO82" s="22">
        <v>55</v>
      </c>
      <c r="BN82" s="36"/>
      <c r="BW82" s="36"/>
      <c r="CF82" s="22">
        <v>305</v>
      </c>
    </row>
    <row r="83" spans="1:84" x14ac:dyDescent="0.25">
      <c r="A83" s="9">
        <v>79</v>
      </c>
      <c r="B83" s="9">
        <v>3000000306</v>
      </c>
      <c r="C83" s="12" t="s">
        <v>91</v>
      </c>
      <c r="D83" s="9" t="s">
        <v>12</v>
      </c>
      <c r="E83" s="36"/>
      <c r="H83" s="36"/>
      <c r="L83" s="36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36"/>
      <c r="AN83" s="22">
        <v>377</v>
      </c>
      <c r="BN83" s="36"/>
      <c r="BW83" s="36"/>
      <c r="CF83" s="22">
        <v>377</v>
      </c>
    </row>
    <row r="84" spans="1:84" x14ac:dyDescent="0.25">
      <c r="A84" s="9">
        <v>80</v>
      </c>
      <c r="B84" s="9">
        <v>3000000307</v>
      </c>
      <c r="C84" s="12" t="s">
        <v>92</v>
      </c>
      <c r="D84" s="9" t="s">
        <v>12</v>
      </c>
      <c r="E84" s="36"/>
      <c r="H84" s="36"/>
      <c r="L84" s="36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36"/>
      <c r="BN84" s="36"/>
      <c r="BW84" s="36"/>
      <c r="CF84" s="22">
        <v>0</v>
      </c>
    </row>
    <row r="85" spans="1:84" x14ac:dyDescent="0.25">
      <c r="A85" s="9">
        <v>81</v>
      </c>
      <c r="B85" s="9">
        <v>3000000308</v>
      </c>
      <c r="C85" s="12" t="s">
        <v>93</v>
      </c>
      <c r="D85" s="9" t="s">
        <v>12</v>
      </c>
      <c r="E85" s="36"/>
      <c r="H85" s="36"/>
      <c r="I85" s="22">
        <v>100</v>
      </c>
      <c r="K85" s="22">
        <v>250</v>
      </c>
      <c r="L85" s="36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36"/>
      <c r="AL85" s="22">
        <v>370</v>
      </c>
      <c r="BN85" s="36"/>
      <c r="BW85" s="36"/>
      <c r="CF85" s="22">
        <v>720</v>
      </c>
    </row>
    <row r="86" spans="1:84" x14ac:dyDescent="0.25">
      <c r="A86" s="9">
        <v>82</v>
      </c>
      <c r="B86" s="9">
        <v>3000003396</v>
      </c>
      <c r="C86" s="12" t="s">
        <v>94</v>
      </c>
      <c r="D86" s="9" t="s">
        <v>12</v>
      </c>
      <c r="E86" s="36"/>
      <c r="H86" s="36"/>
      <c r="L86" s="36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36"/>
      <c r="BN86" s="36"/>
      <c r="BW86" s="36"/>
      <c r="CF86" s="22">
        <v>0</v>
      </c>
    </row>
    <row r="87" spans="1:84" x14ac:dyDescent="0.25">
      <c r="A87" s="9">
        <v>83</v>
      </c>
      <c r="B87" s="9">
        <v>3000000309</v>
      </c>
      <c r="C87" s="12" t="s">
        <v>95</v>
      </c>
      <c r="D87" s="9" t="s">
        <v>12</v>
      </c>
      <c r="E87" s="36"/>
      <c r="H87" s="36"/>
      <c r="L87" s="36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36"/>
      <c r="AJ87" s="22">
        <v>500</v>
      </c>
      <c r="AK87" s="22">
        <v>500</v>
      </c>
      <c r="AM87" s="22">
        <v>691</v>
      </c>
      <c r="AN87" s="22">
        <v>500</v>
      </c>
      <c r="BN87" s="36"/>
      <c r="BW87" s="36"/>
      <c r="CF87" s="22">
        <v>2191</v>
      </c>
    </row>
    <row r="88" spans="1:84" x14ac:dyDescent="0.25">
      <c r="A88" s="9">
        <v>84</v>
      </c>
      <c r="B88" s="9">
        <v>3000000310</v>
      </c>
      <c r="C88" s="12" t="s">
        <v>96</v>
      </c>
      <c r="D88" s="9" t="s">
        <v>12</v>
      </c>
      <c r="E88" s="36"/>
      <c r="H88" s="36"/>
      <c r="L88" s="36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36"/>
      <c r="BN88" s="36"/>
      <c r="BW88" s="36"/>
      <c r="CF88" s="22">
        <v>0</v>
      </c>
    </row>
    <row r="89" spans="1:84" x14ac:dyDescent="0.25">
      <c r="A89" s="9">
        <v>85</v>
      </c>
      <c r="B89" s="9">
        <v>3000008517</v>
      </c>
      <c r="C89" s="12" t="s">
        <v>97</v>
      </c>
      <c r="D89" s="9" t="s">
        <v>12</v>
      </c>
      <c r="E89" s="36"/>
      <c r="H89" s="36"/>
      <c r="L89" s="36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36"/>
      <c r="BN89" s="36"/>
      <c r="BW89" s="36"/>
      <c r="CF89" s="22">
        <v>0</v>
      </c>
    </row>
    <row r="90" spans="1:84" x14ac:dyDescent="0.25">
      <c r="A90" s="9">
        <v>86</v>
      </c>
      <c r="B90" s="9">
        <v>3000008518</v>
      </c>
      <c r="C90" s="12" t="s">
        <v>98</v>
      </c>
      <c r="D90" s="9" t="s">
        <v>12</v>
      </c>
      <c r="E90" s="36"/>
      <c r="H90" s="36"/>
      <c r="L90" s="36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36"/>
      <c r="BN90" s="36"/>
      <c r="BW90" s="36"/>
      <c r="CF90" s="22">
        <v>0</v>
      </c>
    </row>
    <row r="91" spans="1:84" x14ac:dyDescent="0.25">
      <c r="A91" s="9">
        <v>87</v>
      </c>
      <c r="B91" s="9">
        <v>3000004960</v>
      </c>
      <c r="C91" s="12" t="s">
        <v>99</v>
      </c>
      <c r="D91" s="9" t="s">
        <v>12</v>
      </c>
      <c r="E91" s="36"/>
      <c r="H91" s="36"/>
      <c r="L91" s="36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36"/>
      <c r="BN91" s="36"/>
      <c r="BW91" s="36"/>
      <c r="CF91" s="22">
        <v>0</v>
      </c>
    </row>
    <row r="92" spans="1:84" x14ac:dyDescent="0.25">
      <c r="A92" s="9">
        <v>88</v>
      </c>
      <c r="B92" s="9">
        <v>3000008519</v>
      </c>
      <c r="C92" s="12" t="s">
        <v>100</v>
      </c>
      <c r="D92" s="9" t="s">
        <v>12</v>
      </c>
      <c r="E92" s="36"/>
      <c r="H92" s="36"/>
      <c r="L92" s="36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36"/>
      <c r="BN92" s="36"/>
      <c r="BW92" s="36"/>
      <c r="CF92" s="22">
        <v>0</v>
      </c>
    </row>
    <row r="93" spans="1:84" x14ac:dyDescent="0.25">
      <c r="A93" s="9">
        <v>89</v>
      </c>
      <c r="B93" s="9">
        <v>3000008514</v>
      </c>
      <c r="C93" s="12" t="s">
        <v>101</v>
      </c>
      <c r="D93" s="9" t="s">
        <v>12</v>
      </c>
      <c r="E93" s="36"/>
      <c r="H93" s="36"/>
      <c r="L93" s="36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36"/>
      <c r="BN93" s="36"/>
      <c r="BW93" s="36"/>
      <c r="CF93" s="22">
        <v>0</v>
      </c>
    </row>
    <row r="94" spans="1:84" x14ac:dyDescent="0.25">
      <c r="A94" s="9">
        <v>90</v>
      </c>
      <c r="B94" s="9">
        <v>3000008515</v>
      </c>
      <c r="C94" s="12" t="s">
        <v>102</v>
      </c>
      <c r="D94" s="9" t="s">
        <v>12</v>
      </c>
      <c r="E94" s="36"/>
      <c r="H94" s="36"/>
      <c r="L94" s="36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36"/>
      <c r="BN94" s="36"/>
      <c r="BW94" s="36"/>
      <c r="CF94" s="22">
        <v>0</v>
      </c>
    </row>
    <row r="95" spans="1:84" x14ac:dyDescent="0.25">
      <c r="A95" s="9">
        <v>91</v>
      </c>
      <c r="B95" s="9">
        <v>3000008521</v>
      </c>
      <c r="C95" s="12" t="s">
        <v>103</v>
      </c>
      <c r="D95" s="9" t="s">
        <v>12</v>
      </c>
      <c r="E95" s="36"/>
      <c r="H95" s="36"/>
      <c r="L95" s="36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36"/>
      <c r="BN95" s="36"/>
      <c r="BW95" s="36"/>
      <c r="CF95" s="22">
        <v>0</v>
      </c>
    </row>
    <row r="96" spans="1:84" x14ac:dyDescent="0.25">
      <c r="A96" s="9">
        <v>92</v>
      </c>
      <c r="B96" s="9">
        <v>5000000019</v>
      </c>
      <c r="C96" s="12" t="s">
        <v>104</v>
      </c>
      <c r="D96" s="9" t="s">
        <v>12</v>
      </c>
      <c r="E96" s="36"/>
      <c r="H96" s="36"/>
      <c r="L96" s="36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36"/>
      <c r="BN96" s="36"/>
      <c r="BW96" s="36"/>
      <c r="CF96" s="22">
        <v>0</v>
      </c>
    </row>
    <row r="97" spans="1:84" x14ac:dyDescent="0.25">
      <c r="A97" s="9">
        <v>93</v>
      </c>
      <c r="B97" s="9">
        <v>5000000018</v>
      </c>
      <c r="C97" s="12" t="s">
        <v>105</v>
      </c>
      <c r="D97" s="9" t="s">
        <v>12</v>
      </c>
      <c r="E97" s="36"/>
      <c r="H97" s="36"/>
      <c r="L97" s="36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36"/>
      <c r="BN97" s="36"/>
      <c r="BW97" s="36"/>
      <c r="CF97" s="22">
        <v>0</v>
      </c>
    </row>
    <row r="98" spans="1:84" x14ac:dyDescent="0.25">
      <c r="A98" s="9">
        <v>94</v>
      </c>
      <c r="B98" s="9">
        <v>3000004956</v>
      </c>
      <c r="C98" s="12" t="s">
        <v>106</v>
      </c>
      <c r="D98" s="9" t="s">
        <v>12</v>
      </c>
      <c r="E98" s="36"/>
      <c r="H98" s="36"/>
      <c r="L98" s="36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36"/>
      <c r="BN98" s="36"/>
      <c r="BW98" s="36"/>
      <c r="CF98" s="22">
        <v>0</v>
      </c>
    </row>
    <row r="99" spans="1:84" x14ac:dyDescent="0.25">
      <c r="A99" s="9">
        <v>95</v>
      </c>
      <c r="B99" s="9">
        <v>3000004954</v>
      </c>
      <c r="C99" s="12" t="s">
        <v>107</v>
      </c>
      <c r="D99" s="9" t="s">
        <v>12</v>
      </c>
      <c r="E99" s="36"/>
      <c r="H99" s="36"/>
      <c r="L99" s="36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36"/>
      <c r="BN99" s="36"/>
      <c r="BW99" s="36"/>
      <c r="CF99" s="22">
        <v>0</v>
      </c>
    </row>
    <row r="100" spans="1:84" x14ac:dyDescent="0.25">
      <c r="A100" s="9">
        <v>96</v>
      </c>
      <c r="B100" s="9">
        <v>3000005013</v>
      </c>
      <c r="C100" s="12" t="s">
        <v>108</v>
      </c>
      <c r="D100" s="9" t="s">
        <v>12</v>
      </c>
      <c r="E100" s="36"/>
      <c r="H100" s="36"/>
      <c r="L100" s="36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36"/>
      <c r="BN100" s="36"/>
      <c r="BW100" s="36"/>
      <c r="CF100" s="22">
        <v>0</v>
      </c>
    </row>
    <row r="101" spans="1:84" x14ac:dyDescent="0.25">
      <c r="A101" s="9">
        <v>97</v>
      </c>
      <c r="B101" s="9">
        <v>3000004953</v>
      </c>
      <c r="C101" s="12" t="s">
        <v>109</v>
      </c>
      <c r="D101" s="9" t="s">
        <v>12</v>
      </c>
      <c r="E101" s="36"/>
      <c r="H101" s="36"/>
      <c r="L101" s="36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36"/>
      <c r="BN101" s="36"/>
      <c r="BW101" s="36"/>
      <c r="CF101" s="22">
        <v>0</v>
      </c>
    </row>
    <row r="102" spans="1:84" x14ac:dyDescent="0.25">
      <c r="A102" s="9">
        <v>98</v>
      </c>
      <c r="B102" s="9">
        <v>5000000017</v>
      </c>
      <c r="C102" s="12" t="s">
        <v>110</v>
      </c>
      <c r="D102" s="9" t="s">
        <v>12</v>
      </c>
      <c r="E102" s="36"/>
      <c r="H102" s="36"/>
      <c r="L102" s="36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36"/>
      <c r="BN102" s="36"/>
      <c r="BW102" s="36"/>
      <c r="CF102" s="22">
        <v>0</v>
      </c>
    </row>
    <row r="103" spans="1:84" x14ac:dyDescent="0.25">
      <c r="A103" s="9">
        <v>99</v>
      </c>
      <c r="B103" s="9">
        <v>3000008526</v>
      </c>
      <c r="C103" s="12" t="s">
        <v>111</v>
      </c>
      <c r="D103" s="9" t="s">
        <v>12</v>
      </c>
      <c r="E103" s="36"/>
      <c r="H103" s="36"/>
      <c r="L103" s="36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36"/>
      <c r="BN103" s="36"/>
      <c r="BW103" s="36"/>
      <c r="CF103" s="22">
        <v>0</v>
      </c>
    </row>
    <row r="104" spans="1:84" x14ac:dyDescent="0.25">
      <c r="A104" s="9">
        <v>100</v>
      </c>
      <c r="B104" s="9">
        <v>3000008516</v>
      </c>
      <c r="C104" s="12" t="s">
        <v>112</v>
      </c>
      <c r="D104" s="9" t="s">
        <v>12</v>
      </c>
      <c r="E104" s="36"/>
      <c r="H104" s="36"/>
      <c r="L104" s="36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36"/>
      <c r="BN104" s="36"/>
      <c r="BW104" s="36"/>
      <c r="CF104" s="22">
        <v>0</v>
      </c>
    </row>
    <row r="105" spans="1:84" x14ac:dyDescent="0.25">
      <c r="A105" s="9">
        <v>101</v>
      </c>
      <c r="B105" s="9">
        <v>3000002333</v>
      </c>
      <c r="C105" s="12" t="s">
        <v>113</v>
      </c>
      <c r="D105" s="9" t="s">
        <v>12</v>
      </c>
      <c r="E105" s="36"/>
      <c r="H105" s="36"/>
      <c r="L105" s="36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36"/>
      <c r="BN105" s="36"/>
      <c r="BW105" s="36"/>
      <c r="CF105" s="22">
        <v>0</v>
      </c>
    </row>
    <row r="106" spans="1:84" x14ac:dyDescent="0.25">
      <c r="A106" s="9">
        <v>102</v>
      </c>
      <c r="B106" s="9">
        <v>3000000840</v>
      </c>
      <c r="C106" s="12" t="s">
        <v>114</v>
      </c>
      <c r="D106" s="9" t="s">
        <v>12</v>
      </c>
      <c r="E106" s="36"/>
      <c r="F106" s="22">
        <v>250</v>
      </c>
      <c r="H106" s="36">
        <v>300</v>
      </c>
      <c r="J106" s="22">
        <v>300</v>
      </c>
      <c r="L106" s="36"/>
      <c r="M106" s="22">
        <v>2052</v>
      </c>
      <c r="N106" s="22">
        <v>8600</v>
      </c>
      <c r="O106" s="22">
        <v>6700</v>
      </c>
      <c r="P106" s="22">
        <v>3100</v>
      </c>
      <c r="Q106" s="22"/>
      <c r="R106" s="22"/>
      <c r="S106" s="22"/>
      <c r="T106" s="22">
        <v>6600</v>
      </c>
      <c r="U106" s="22"/>
      <c r="V106" s="22"/>
      <c r="W106" s="22"/>
      <c r="X106" s="22"/>
      <c r="Y106" s="22"/>
      <c r="Z106" s="22"/>
      <c r="AA106" s="22"/>
      <c r="AB106" s="36">
        <v>1000</v>
      </c>
      <c r="AD106" s="22">
        <v>300</v>
      </c>
      <c r="AV106" s="22">
        <v>14000</v>
      </c>
      <c r="BN106" s="36"/>
      <c r="BW106" s="36"/>
      <c r="BY106" s="22">
        <v>800</v>
      </c>
      <c r="BZ106" s="22">
        <v>500</v>
      </c>
      <c r="CA106" s="22">
        <v>800</v>
      </c>
      <c r="CF106" s="22">
        <v>45302</v>
      </c>
    </row>
    <row r="107" spans="1:84" x14ac:dyDescent="0.25">
      <c r="A107" s="9">
        <v>103</v>
      </c>
      <c r="B107" s="9">
        <v>3000001222</v>
      </c>
      <c r="C107" s="12" t="s">
        <v>115</v>
      </c>
      <c r="D107" s="9" t="s">
        <v>12</v>
      </c>
      <c r="E107" s="36"/>
      <c r="H107" s="36"/>
      <c r="L107" s="36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36"/>
      <c r="BN107" s="36"/>
      <c r="BW107" s="36"/>
      <c r="CF107" s="22">
        <v>0</v>
      </c>
    </row>
    <row r="108" spans="1:84" x14ac:dyDescent="0.25">
      <c r="A108" s="9">
        <v>104</v>
      </c>
      <c r="B108" s="9">
        <v>5000000008</v>
      </c>
      <c r="C108" s="12" t="s">
        <v>116</v>
      </c>
      <c r="D108" s="9" t="s">
        <v>12</v>
      </c>
      <c r="E108" s="36"/>
      <c r="H108" s="36"/>
      <c r="L108" s="36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36"/>
      <c r="BN108" s="36"/>
      <c r="BW108" s="36"/>
      <c r="CF108" s="22">
        <v>0</v>
      </c>
    </row>
    <row r="109" spans="1:84" x14ac:dyDescent="0.25">
      <c r="A109" s="9">
        <v>105</v>
      </c>
      <c r="B109" s="9">
        <v>3000000849</v>
      </c>
      <c r="C109" s="12" t="s">
        <v>117</v>
      </c>
      <c r="D109" s="9" t="s">
        <v>12</v>
      </c>
      <c r="E109" s="36"/>
      <c r="F109" s="22">
        <v>500</v>
      </c>
      <c r="H109" s="36">
        <v>500</v>
      </c>
      <c r="J109" s="22">
        <v>112</v>
      </c>
      <c r="L109" s="36"/>
      <c r="M109" s="22">
        <v>1846</v>
      </c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36">
        <v>1871</v>
      </c>
      <c r="AD109" s="22">
        <v>500</v>
      </c>
      <c r="AQ109" s="22">
        <v>60</v>
      </c>
      <c r="AR109" s="22">
        <v>84</v>
      </c>
      <c r="BN109" s="36">
        <v>60</v>
      </c>
      <c r="BW109" s="36"/>
      <c r="BX109" s="22">
        <v>1852</v>
      </c>
      <c r="BZ109" s="22">
        <v>1828</v>
      </c>
      <c r="CA109" s="22">
        <v>24</v>
      </c>
      <c r="CB109" s="22">
        <v>12</v>
      </c>
      <c r="CC109" s="22">
        <v>108</v>
      </c>
      <c r="CF109" s="22">
        <v>9357</v>
      </c>
    </row>
    <row r="110" spans="1:84" x14ac:dyDescent="0.25">
      <c r="A110" s="9">
        <v>106</v>
      </c>
      <c r="B110" s="9">
        <v>1000006668</v>
      </c>
      <c r="C110" s="12" t="s">
        <v>118</v>
      </c>
      <c r="D110" s="9" t="s">
        <v>12</v>
      </c>
      <c r="E110" s="36"/>
      <c r="H110" s="36"/>
      <c r="L110" s="36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36"/>
      <c r="BN110" s="36"/>
      <c r="BW110" s="36"/>
      <c r="CF110" s="22">
        <v>0</v>
      </c>
    </row>
    <row r="111" spans="1:84" x14ac:dyDescent="0.25">
      <c r="A111" s="9">
        <v>107</v>
      </c>
      <c r="B111" s="9">
        <v>3000001196</v>
      </c>
      <c r="C111" s="12" t="s">
        <v>119</v>
      </c>
      <c r="D111" s="9" t="s">
        <v>12</v>
      </c>
      <c r="E111" s="36"/>
      <c r="H111" s="36"/>
      <c r="I111" s="22">
        <v>100</v>
      </c>
      <c r="L111" s="36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36"/>
      <c r="BN111" s="36"/>
      <c r="BW111" s="36"/>
      <c r="CF111" s="22">
        <v>100</v>
      </c>
    </row>
    <row r="112" spans="1:84" x14ac:dyDescent="0.25">
      <c r="A112" s="9">
        <v>108</v>
      </c>
      <c r="B112" s="9" t="s">
        <v>120</v>
      </c>
      <c r="C112" s="12" t="s">
        <v>121</v>
      </c>
      <c r="D112" s="9" t="s">
        <v>12</v>
      </c>
      <c r="E112" s="36"/>
      <c r="H112" s="36"/>
      <c r="I112" s="22">
        <v>100</v>
      </c>
      <c r="L112" s="36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36"/>
      <c r="BN112" s="36"/>
      <c r="BW112" s="36"/>
      <c r="CF112" s="22">
        <v>100</v>
      </c>
    </row>
    <row r="113" spans="1:84" x14ac:dyDescent="0.25">
      <c r="A113" s="9">
        <v>109</v>
      </c>
      <c r="B113" s="9">
        <v>3000000316</v>
      </c>
      <c r="C113" s="12" t="s">
        <v>122</v>
      </c>
      <c r="D113" s="9" t="s">
        <v>12</v>
      </c>
      <c r="E113" s="36"/>
      <c r="H113" s="36"/>
      <c r="L113" s="36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36"/>
      <c r="BN113" s="36"/>
      <c r="BW113" s="36"/>
      <c r="CF113" s="22">
        <v>0</v>
      </c>
    </row>
    <row r="114" spans="1:84" x14ac:dyDescent="0.25">
      <c r="A114" s="9">
        <v>110</v>
      </c>
      <c r="B114" s="9">
        <v>3000000312</v>
      </c>
      <c r="C114" s="12" t="s">
        <v>123</v>
      </c>
      <c r="D114" s="9" t="s">
        <v>12</v>
      </c>
      <c r="E114" s="36"/>
      <c r="H114" s="36"/>
      <c r="I114" s="22">
        <v>15</v>
      </c>
      <c r="K114" s="22">
        <v>15</v>
      </c>
      <c r="L114" s="36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36"/>
      <c r="AO114" s="22">
        <v>141</v>
      </c>
      <c r="BN114" s="36"/>
      <c r="BW114" s="36"/>
      <c r="CF114" s="22">
        <v>171</v>
      </c>
    </row>
    <row r="115" spans="1:84" x14ac:dyDescent="0.25">
      <c r="A115" s="9">
        <v>111</v>
      </c>
      <c r="B115" s="9">
        <v>3000000313</v>
      </c>
      <c r="C115" s="12" t="s">
        <v>124</v>
      </c>
      <c r="D115" s="9" t="s">
        <v>12</v>
      </c>
      <c r="E115" s="36"/>
      <c r="H115" s="36"/>
      <c r="L115" s="36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36"/>
      <c r="BN115" s="36"/>
      <c r="BW115" s="36"/>
      <c r="CF115" s="22">
        <v>0</v>
      </c>
    </row>
    <row r="116" spans="1:84" x14ac:dyDescent="0.25">
      <c r="A116" s="9">
        <v>112</v>
      </c>
      <c r="B116" s="9">
        <v>3000000314</v>
      </c>
      <c r="C116" s="12" t="s">
        <v>125</v>
      </c>
      <c r="D116" s="9" t="s">
        <v>12</v>
      </c>
      <c r="E116" s="36"/>
      <c r="H116" s="36"/>
      <c r="I116" s="22">
        <v>5</v>
      </c>
      <c r="K116" s="22">
        <v>50</v>
      </c>
      <c r="L116" s="36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36"/>
      <c r="AM116" s="22">
        <v>109</v>
      </c>
      <c r="BN116" s="36"/>
      <c r="BW116" s="36"/>
      <c r="CF116" s="22">
        <v>164</v>
      </c>
    </row>
    <row r="117" spans="1:84" x14ac:dyDescent="0.25">
      <c r="A117" s="9">
        <v>113</v>
      </c>
      <c r="B117" s="9">
        <v>3000000315</v>
      </c>
      <c r="C117" s="12" t="s">
        <v>126</v>
      </c>
      <c r="D117" s="9" t="s">
        <v>12</v>
      </c>
      <c r="E117" s="36"/>
      <c r="H117" s="36"/>
      <c r="L117" s="36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36"/>
      <c r="AO117" s="22">
        <v>15</v>
      </c>
      <c r="BN117" s="36"/>
      <c r="BW117" s="36"/>
      <c r="CF117" s="22">
        <v>15</v>
      </c>
    </row>
    <row r="118" spans="1:84" x14ac:dyDescent="0.25">
      <c r="A118" s="9">
        <v>114</v>
      </c>
      <c r="B118" s="9">
        <v>3000000317</v>
      </c>
      <c r="C118" s="12" t="s">
        <v>127</v>
      </c>
      <c r="D118" s="9" t="s">
        <v>12</v>
      </c>
      <c r="E118" s="36"/>
      <c r="H118" s="36"/>
      <c r="L118" s="36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36"/>
      <c r="BN118" s="36"/>
      <c r="BW118" s="36"/>
      <c r="CF118" s="22">
        <v>0</v>
      </c>
    </row>
    <row r="119" spans="1:84" x14ac:dyDescent="0.25">
      <c r="A119" s="9">
        <v>115</v>
      </c>
      <c r="B119" s="9">
        <v>3000000318</v>
      </c>
      <c r="C119" s="12" t="s">
        <v>128</v>
      </c>
      <c r="D119" s="9" t="s">
        <v>12</v>
      </c>
      <c r="E119" s="36"/>
      <c r="H119" s="36"/>
      <c r="I119" s="22">
        <v>48</v>
      </c>
      <c r="K119" s="22">
        <v>200</v>
      </c>
      <c r="L119" s="36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36"/>
      <c r="AH119" s="22">
        <v>450</v>
      </c>
      <c r="AI119" s="22">
        <v>381</v>
      </c>
      <c r="BN119" s="36"/>
      <c r="BW119" s="36"/>
      <c r="CF119" s="22">
        <v>1079</v>
      </c>
    </row>
    <row r="120" spans="1:84" x14ac:dyDescent="0.25">
      <c r="A120" s="9">
        <v>116</v>
      </c>
      <c r="B120" s="9">
        <v>5000000010</v>
      </c>
      <c r="C120" s="12" t="s">
        <v>129</v>
      </c>
      <c r="D120" s="9" t="s">
        <v>12</v>
      </c>
      <c r="E120" s="36"/>
      <c r="H120" s="36"/>
      <c r="L120" s="36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36"/>
      <c r="BN120" s="36"/>
      <c r="BW120" s="36"/>
      <c r="CF120" s="22">
        <v>0</v>
      </c>
    </row>
    <row r="121" spans="1:84" x14ac:dyDescent="0.25">
      <c r="A121" s="9">
        <v>117</v>
      </c>
      <c r="B121" s="9">
        <v>5000000016</v>
      </c>
      <c r="C121" s="12" t="s">
        <v>130</v>
      </c>
      <c r="D121" s="9" t="s">
        <v>12</v>
      </c>
      <c r="E121" s="36"/>
      <c r="H121" s="36"/>
      <c r="L121" s="36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36"/>
      <c r="BN121" s="36"/>
      <c r="BW121" s="36"/>
      <c r="CF121" s="22">
        <v>0</v>
      </c>
    </row>
    <row r="122" spans="1:84" x14ac:dyDescent="0.25">
      <c r="A122" s="9">
        <v>118</v>
      </c>
      <c r="B122" s="9">
        <v>5000000015</v>
      </c>
      <c r="C122" s="12" t="s">
        <v>131</v>
      </c>
      <c r="D122" s="9" t="s">
        <v>12</v>
      </c>
      <c r="E122" s="36"/>
      <c r="H122" s="36"/>
      <c r="L122" s="36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36"/>
      <c r="BN122" s="36"/>
      <c r="BW122" s="36"/>
      <c r="CF122" s="22">
        <v>0</v>
      </c>
    </row>
    <row r="123" spans="1:84" x14ac:dyDescent="0.25">
      <c r="A123" s="9">
        <v>119</v>
      </c>
      <c r="B123" s="9">
        <v>3000002701</v>
      </c>
      <c r="C123" s="12" t="s">
        <v>132</v>
      </c>
      <c r="D123" s="9" t="s">
        <v>12</v>
      </c>
      <c r="E123" s="36"/>
      <c r="H123" s="36"/>
      <c r="L123" s="36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36">
        <v>300</v>
      </c>
      <c r="AQ123" s="22">
        <v>300</v>
      </c>
      <c r="BN123" s="36"/>
      <c r="BW123" s="36"/>
      <c r="BZ123" s="22">
        <v>25</v>
      </c>
      <c r="CF123" s="22">
        <v>625</v>
      </c>
    </row>
    <row r="124" spans="1:84" x14ac:dyDescent="0.25">
      <c r="A124" s="9">
        <v>120</v>
      </c>
      <c r="B124" s="9">
        <v>3000002771</v>
      </c>
      <c r="C124" s="12" t="s">
        <v>133</v>
      </c>
      <c r="D124" s="9" t="s">
        <v>12</v>
      </c>
      <c r="E124" s="36"/>
      <c r="F124" s="22">
        <v>10</v>
      </c>
      <c r="H124" s="36">
        <v>10</v>
      </c>
      <c r="J124" s="22">
        <v>20</v>
      </c>
      <c r="L124" s="36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36"/>
      <c r="AD124" s="22">
        <v>25</v>
      </c>
      <c r="BN124" s="36"/>
      <c r="BW124" s="36"/>
      <c r="BX124" s="22">
        <v>50</v>
      </c>
      <c r="CF124" s="22">
        <v>115</v>
      </c>
    </row>
    <row r="125" spans="1:84" x14ac:dyDescent="0.25">
      <c r="A125" s="9">
        <v>121</v>
      </c>
      <c r="B125" s="9">
        <v>3000002777</v>
      </c>
      <c r="C125" s="12" t="s">
        <v>134</v>
      </c>
      <c r="D125" s="9" t="s">
        <v>12</v>
      </c>
      <c r="E125" s="36"/>
      <c r="F125" s="22">
        <v>10</v>
      </c>
      <c r="H125" s="36">
        <v>10</v>
      </c>
      <c r="J125" s="22">
        <v>20</v>
      </c>
      <c r="L125" s="36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36">
        <v>300</v>
      </c>
      <c r="AD125" s="22">
        <v>25</v>
      </c>
      <c r="AQ125" s="22">
        <v>600</v>
      </c>
      <c r="BN125" s="36"/>
      <c r="BW125" s="36"/>
      <c r="BX125" s="22">
        <v>50</v>
      </c>
      <c r="BZ125" s="22">
        <v>25</v>
      </c>
      <c r="CF125" s="22">
        <v>1040</v>
      </c>
    </row>
    <row r="126" spans="1:84" x14ac:dyDescent="0.25">
      <c r="A126" s="9">
        <v>122</v>
      </c>
      <c r="B126" s="9">
        <v>3000002700</v>
      </c>
      <c r="C126" s="12" t="s">
        <v>135</v>
      </c>
      <c r="D126" s="9" t="s">
        <v>12</v>
      </c>
      <c r="E126" s="36"/>
      <c r="F126" s="22">
        <v>20</v>
      </c>
      <c r="H126" s="36">
        <v>10</v>
      </c>
      <c r="J126" s="22">
        <v>40</v>
      </c>
      <c r="L126" s="36"/>
      <c r="M126" s="22">
        <v>355</v>
      </c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36">
        <v>362</v>
      </c>
      <c r="AD126" s="22">
        <v>70</v>
      </c>
      <c r="AQ126" s="22">
        <v>42</v>
      </c>
      <c r="AR126" s="22">
        <v>70</v>
      </c>
      <c r="BN126" s="36">
        <v>48</v>
      </c>
      <c r="BW126" s="36"/>
      <c r="BX126" s="22">
        <v>182</v>
      </c>
      <c r="BZ126" s="22">
        <v>100</v>
      </c>
      <c r="CA126" s="22">
        <v>18</v>
      </c>
      <c r="CB126" s="22">
        <v>10</v>
      </c>
      <c r="CC126" s="22">
        <v>384</v>
      </c>
      <c r="CF126" s="22">
        <v>1711</v>
      </c>
    </row>
    <row r="127" spans="1:84" x14ac:dyDescent="0.25">
      <c r="A127" s="9">
        <v>123</v>
      </c>
      <c r="B127" s="9">
        <v>3000002699</v>
      </c>
      <c r="C127" s="12" t="s">
        <v>136</v>
      </c>
      <c r="D127" s="9" t="s">
        <v>12</v>
      </c>
      <c r="E127" s="36"/>
      <c r="F127" s="22">
        <v>30</v>
      </c>
      <c r="H127" s="36">
        <v>10</v>
      </c>
      <c r="J127" s="22">
        <v>30</v>
      </c>
      <c r="L127" s="36"/>
      <c r="M127" s="22">
        <v>318</v>
      </c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36">
        <v>317</v>
      </c>
      <c r="AD127" s="22">
        <v>56</v>
      </c>
      <c r="AQ127" s="22">
        <v>2</v>
      </c>
      <c r="AR127" s="22">
        <v>2086</v>
      </c>
      <c r="BN127" s="36">
        <v>598</v>
      </c>
      <c r="BW127" s="36"/>
      <c r="BX127" s="22">
        <v>108</v>
      </c>
      <c r="BZ127" s="22">
        <v>206</v>
      </c>
      <c r="CA127" s="22">
        <v>300</v>
      </c>
      <c r="CB127" s="22">
        <v>50</v>
      </c>
      <c r="CC127" s="22">
        <v>898</v>
      </c>
      <c r="CF127" s="22">
        <v>5009</v>
      </c>
    </row>
    <row r="128" spans="1:84" x14ac:dyDescent="0.25">
      <c r="A128" s="9">
        <v>124</v>
      </c>
      <c r="B128" s="9">
        <v>3000002698</v>
      </c>
      <c r="C128" s="12" t="s">
        <v>137</v>
      </c>
      <c r="D128" s="9" t="s">
        <v>12</v>
      </c>
      <c r="E128" s="36"/>
      <c r="F128" s="22">
        <v>30</v>
      </c>
      <c r="H128" s="36">
        <v>20</v>
      </c>
      <c r="J128" s="22">
        <v>30</v>
      </c>
      <c r="L128" s="36"/>
      <c r="M128" s="22">
        <v>298</v>
      </c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36">
        <v>298</v>
      </c>
      <c r="AD128" s="22">
        <v>50</v>
      </c>
      <c r="BN128" s="36"/>
      <c r="BW128" s="36"/>
      <c r="BX128" s="22">
        <v>100</v>
      </c>
      <c r="BY128" s="22">
        <v>200</v>
      </c>
      <c r="BZ128" s="22">
        <v>298</v>
      </c>
      <c r="CB128" s="22">
        <v>350</v>
      </c>
      <c r="CC128" s="22">
        <v>894</v>
      </c>
      <c r="CF128" s="22">
        <v>2568</v>
      </c>
    </row>
    <row r="129" spans="1:84" x14ac:dyDescent="0.25">
      <c r="A129" s="9">
        <v>125</v>
      </c>
      <c r="B129" s="9">
        <v>1000006677</v>
      </c>
      <c r="C129" s="12" t="s">
        <v>138</v>
      </c>
      <c r="D129" s="9" t="s">
        <v>12</v>
      </c>
      <c r="E129" s="36"/>
      <c r="H129" s="36">
        <v>30</v>
      </c>
      <c r="J129" s="22">
        <v>40</v>
      </c>
      <c r="L129" s="36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36"/>
      <c r="AD129" s="22">
        <v>50</v>
      </c>
      <c r="BN129" s="36">
        <v>298</v>
      </c>
      <c r="BW129" s="36"/>
      <c r="BX129" s="22">
        <v>50</v>
      </c>
      <c r="CF129" s="22">
        <v>468</v>
      </c>
    </row>
    <row r="130" spans="1:84" x14ac:dyDescent="0.25">
      <c r="A130" s="9">
        <v>126</v>
      </c>
      <c r="B130" s="9">
        <v>3000002697</v>
      </c>
      <c r="C130" s="12" t="s">
        <v>139</v>
      </c>
      <c r="D130" s="9" t="s">
        <v>12</v>
      </c>
      <c r="E130" s="36"/>
      <c r="F130" s="22">
        <v>30</v>
      </c>
      <c r="H130" s="36">
        <v>30</v>
      </c>
      <c r="J130" s="22">
        <v>40</v>
      </c>
      <c r="L130" s="36"/>
      <c r="M130" s="22">
        <v>298</v>
      </c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36"/>
      <c r="AD130" s="22">
        <v>100</v>
      </c>
      <c r="AQ130" s="22">
        <v>298</v>
      </c>
      <c r="BN130" s="36">
        <v>298</v>
      </c>
      <c r="BW130" s="36"/>
      <c r="BX130" s="22">
        <v>150</v>
      </c>
      <c r="BZ130" s="22">
        <v>200</v>
      </c>
      <c r="CC130" s="22">
        <v>298</v>
      </c>
      <c r="CF130" s="22">
        <v>1742</v>
      </c>
    </row>
    <row r="131" spans="1:84" x14ac:dyDescent="0.25">
      <c r="A131" s="9">
        <v>127</v>
      </c>
      <c r="B131" s="9">
        <v>1000006676</v>
      </c>
      <c r="C131" s="12" t="s">
        <v>140</v>
      </c>
      <c r="D131" s="9" t="s">
        <v>12</v>
      </c>
      <c r="E131" s="36"/>
      <c r="H131" s="36"/>
      <c r="L131" s="36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36"/>
      <c r="BN131" s="36"/>
      <c r="BW131" s="36"/>
      <c r="CF131" s="22">
        <v>0</v>
      </c>
    </row>
    <row r="132" spans="1:84" x14ac:dyDescent="0.25">
      <c r="A132" s="9">
        <v>128</v>
      </c>
      <c r="B132" s="9">
        <v>3000002696</v>
      </c>
      <c r="C132" s="12" t="s">
        <v>141</v>
      </c>
      <c r="D132" s="9" t="s">
        <v>12</v>
      </c>
      <c r="E132" s="36"/>
      <c r="F132" s="22">
        <v>15</v>
      </c>
      <c r="H132" s="36">
        <v>20</v>
      </c>
      <c r="J132" s="22">
        <v>40</v>
      </c>
      <c r="L132" s="36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36"/>
      <c r="AD132" s="22">
        <v>50</v>
      </c>
      <c r="AQ132" s="22">
        <v>298</v>
      </c>
      <c r="BN132" s="36">
        <v>298</v>
      </c>
      <c r="BW132" s="36"/>
      <c r="BX132" s="22">
        <v>150</v>
      </c>
      <c r="CA132" s="22">
        <v>300</v>
      </c>
      <c r="CC132" s="22">
        <v>298</v>
      </c>
      <c r="CF132" s="22">
        <v>1469</v>
      </c>
    </row>
    <row r="133" spans="1:84" x14ac:dyDescent="0.25">
      <c r="A133" s="9">
        <v>129</v>
      </c>
      <c r="B133" s="9">
        <v>3000002693</v>
      </c>
      <c r="C133" s="12" t="s">
        <v>142</v>
      </c>
      <c r="D133" s="9" t="s">
        <v>12</v>
      </c>
      <c r="E133" s="36"/>
      <c r="H133" s="36"/>
      <c r="L133" s="36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36"/>
      <c r="BN133" s="36"/>
      <c r="BW133" s="36"/>
      <c r="CF133" s="22">
        <v>0</v>
      </c>
    </row>
    <row r="134" spans="1:84" x14ac:dyDescent="0.25">
      <c r="A134" s="9">
        <v>130</v>
      </c>
      <c r="B134" s="9" t="s">
        <v>143</v>
      </c>
      <c r="C134" s="12" t="s">
        <v>144</v>
      </c>
      <c r="D134" s="9" t="s">
        <v>12</v>
      </c>
      <c r="E134" s="36"/>
      <c r="H134" s="36"/>
      <c r="L134" s="36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36"/>
      <c r="BN134" s="36"/>
      <c r="BW134" s="36"/>
      <c r="CF134" s="22">
        <v>0</v>
      </c>
    </row>
    <row r="135" spans="1:84" x14ac:dyDescent="0.25">
      <c r="A135" s="9">
        <v>131</v>
      </c>
      <c r="B135" s="9">
        <v>3000002692</v>
      </c>
      <c r="C135" s="12" t="s">
        <v>145</v>
      </c>
      <c r="D135" s="9" t="s">
        <v>12</v>
      </c>
      <c r="E135" s="36"/>
      <c r="F135" s="22">
        <v>60</v>
      </c>
      <c r="H135" s="36">
        <v>20</v>
      </c>
      <c r="J135" s="22">
        <v>50</v>
      </c>
      <c r="L135" s="36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36"/>
      <c r="AD135" s="22">
        <v>80</v>
      </c>
      <c r="AF135" s="22">
        <v>1000</v>
      </c>
      <c r="AG135" s="22">
        <v>1000</v>
      </c>
      <c r="AQ135" s="22">
        <v>300</v>
      </c>
      <c r="AS135" s="22">
        <v>1000</v>
      </c>
      <c r="AT135" s="22">
        <v>1000</v>
      </c>
      <c r="AX135" s="22">
        <v>1000</v>
      </c>
      <c r="AY135" s="22">
        <v>1000</v>
      </c>
      <c r="AZ135" s="22">
        <v>1000</v>
      </c>
      <c r="BA135" s="22">
        <v>1000</v>
      </c>
      <c r="BB135" s="22">
        <v>1000</v>
      </c>
      <c r="BC135" s="22">
        <v>976</v>
      </c>
      <c r="BN135" s="36"/>
      <c r="BW135" s="36"/>
      <c r="CF135" s="22">
        <v>10486</v>
      </c>
    </row>
    <row r="136" spans="1:84" x14ac:dyDescent="0.25">
      <c r="A136" s="9">
        <v>132</v>
      </c>
      <c r="B136" s="9">
        <v>3000002334</v>
      </c>
      <c r="C136" s="12" t="s">
        <v>146</v>
      </c>
      <c r="D136" s="9" t="s">
        <v>12</v>
      </c>
      <c r="E136" s="36"/>
      <c r="H136" s="36"/>
      <c r="L136" s="36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36"/>
      <c r="BN136" s="36"/>
      <c r="BW136" s="36"/>
      <c r="CF136" s="22">
        <v>0</v>
      </c>
    </row>
    <row r="137" spans="1:84" x14ac:dyDescent="0.25">
      <c r="A137" s="9">
        <v>133</v>
      </c>
      <c r="B137" s="9">
        <v>3000003828</v>
      </c>
      <c r="C137" s="12" t="s">
        <v>147</v>
      </c>
      <c r="D137" s="9" t="s">
        <v>12</v>
      </c>
      <c r="E137" s="36"/>
      <c r="H137" s="36"/>
      <c r="L137" s="36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36"/>
      <c r="BN137" s="36"/>
      <c r="BW137" s="36"/>
      <c r="CF137" s="22">
        <v>0</v>
      </c>
    </row>
    <row r="138" spans="1:84" x14ac:dyDescent="0.25">
      <c r="A138" s="9">
        <v>134</v>
      </c>
      <c r="B138" s="9">
        <v>3000000358</v>
      </c>
      <c r="C138" s="12" t="s">
        <v>148</v>
      </c>
      <c r="D138" s="9" t="s">
        <v>12</v>
      </c>
      <c r="E138" s="36"/>
      <c r="H138" s="36"/>
      <c r="L138" s="36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36"/>
      <c r="BN138" s="36"/>
      <c r="BW138" s="36"/>
      <c r="CF138" s="22">
        <v>0</v>
      </c>
    </row>
    <row r="139" spans="1:84" x14ac:dyDescent="0.25">
      <c r="A139" s="9">
        <v>135</v>
      </c>
      <c r="B139" s="9">
        <v>3000000359</v>
      </c>
      <c r="C139" s="12" t="s">
        <v>149</v>
      </c>
      <c r="D139" s="9" t="s">
        <v>12</v>
      </c>
      <c r="E139" s="36"/>
      <c r="H139" s="36"/>
      <c r="L139" s="36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36"/>
      <c r="BN139" s="36"/>
      <c r="BW139" s="36"/>
      <c r="CF139" s="22">
        <v>0</v>
      </c>
    </row>
    <row r="140" spans="1:84" x14ac:dyDescent="0.25">
      <c r="A140" s="9">
        <v>136</v>
      </c>
      <c r="B140" s="9">
        <v>3000000361</v>
      </c>
      <c r="C140" s="12" t="s">
        <v>150</v>
      </c>
      <c r="D140" s="9" t="s">
        <v>12</v>
      </c>
      <c r="E140" s="36"/>
      <c r="H140" s="36"/>
      <c r="L140" s="36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36"/>
      <c r="BN140" s="36"/>
      <c r="BW140" s="36"/>
      <c r="CF140" s="22">
        <v>0</v>
      </c>
    </row>
    <row r="141" spans="1:84" x14ac:dyDescent="0.25">
      <c r="A141" s="9">
        <v>137</v>
      </c>
      <c r="B141" s="9">
        <v>3000000363</v>
      </c>
      <c r="C141" s="12" t="s">
        <v>151</v>
      </c>
      <c r="D141" s="9" t="s">
        <v>12</v>
      </c>
      <c r="E141" s="36"/>
      <c r="H141" s="36"/>
      <c r="L141" s="36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36"/>
      <c r="BN141" s="36"/>
      <c r="BW141" s="36"/>
      <c r="CF141" s="22">
        <v>0</v>
      </c>
    </row>
    <row r="142" spans="1:84" x14ac:dyDescent="0.25">
      <c r="A142" s="9">
        <v>138</v>
      </c>
      <c r="B142" s="9">
        <v>3000000364</v>
      </c>
      <c r="C142" s="12" t="s">
        <v>152</v>
      </c>
      <c r="D142" s="9" t="s">
        <v>12</v>
      </c>
      <c r="E142" s="36"/>
      <c r="H142" s="36"/>
      <c r="L142" s="36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36"/>
      <c r="BN142" s="36"/>
      <c r="BW142" s="36"/>
      <c r="CF142" s="22">
        <v>0</v>
      </c>
    </row>
    <row r="143" spans="1:84" x14ac:dyDescent="0.25">
      <c r="A143" s="9">
        <v>139</v>
      </c>
      <c r="B143" s="9">
        <v>3000001229</v>
      </c>
      <c r="C143" s="12" t="s">
        <v>153</v>
      </c>
      <c r="D143" s="9" t="s">
        <v>12</v>
      </c>
      <c r="E143" s="36"/>
      <c r="G143" s="22">
        <v>50</v>
      </c>
      <c r="H143" s="36"/>
      <c r="L143" s="36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36"/>
      <c r="AD143" s="22">
        <v>150</v>
      </c>
      <c r="AW143" s="22">
        <v>3700</v>
      </c>
      <c r="BN143" s="36">
        <v>1000</v>
      </c>
      <c r="BW143" s="36"/>
      <c r="BY143" s="22">
        <v>500</v>
      </c>
      <c r="BZ143" s="22">
        <v>300</v>
      </c>
      <c r="CF143" s="22">
        <v>5700</v>
      </c>
    </row>
    <row r="144" spans="1:84" x14ac:dyDescent="0.25">
      <c r="A144" s="9">
        <v>140</v>
      </c>
      <c r="B144" s="9">
        <v>3000001060</v>
      </c>
      <c r="C144" s="12" t="s">
        <v>154</v>
      </c>
      <c r="D144" s="9" t="s">
        <v>12</v>
      </c>
      <c r="E144" s="36"/>
      <c r="H144" s="36"/>
      <c r="I144" s="22">
        <v>10</v>
      </c>
      <c r="K144" s="22">
        <v>10</v>
      </c>
      <c r="L144" s="36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36"/>
      <c r="AL144" s="22">
        <v>6</v>
      </c>
      <c r="BN144" s="36"/>
      <c r="BW144" s="36"/>
      <c r="CF144" s="22">
        <v>26</v>
      </c>
    </row>
    <row r="145" spans="1:84" x14ac:dyDescent="0.25">
      <c r="A145" s="9">
        <v>141</v>
      </c>
      <c r="B145" s="9">
        <v>3000001061</v>
      </c>
      <c r="C145" s="12" t="s">
        <v>155</v>
      </c>
      <c r="D145" s="9" t="s">
        <v>12</v>
      </c>
      <c r="E145" s="36"/>
      <c r="H145" s="36"/>
      <c r="L145" s="36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36"/>
      <c r="AL145" s="22">
        <v>30</v>
      </c>
      <c r="BN145" s="36"/>
      <c r="BW145" s="36"/>
      <c r="CF145" s="22">
        <v>30</v>
      </c>
    </row>
    <row r="146" spans="1:84" x14ac:dyDescent="0.25">
      <c r="A146" s="9">
        <v>142</v>
      </c>
      <c r="B146" s="9">
        <v>3000001062</v>
      </c>
      <c r="C146" s="12" t="s">
        <v>156</v>
      </c>
      <c r="D146" s="9" t="s">
        <v>12</v>
      </c>
      <c r="E146" s="36"/>
      <c r="H146" s="36"/>
      <c r="L146" s="36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36"/>
      <c r="BN146" s="36"/>
      <c r="BW146" s="36"/>
      <c r="CF146" s="22">
        <v>0</v>
      </c>
    </row>
    <row r="147" spans="1:84" x14ac:dyDescent="0.25">
      <c r="A147" s="9">
        <v>143</v>
      </c>
      <c r="B147" s="9">
        <v>1000006776</v>
      </c>
      <c r="C147" s="12" t="s">
        <v>157</v>
      </c>
      <c r="D147" s="9" t="s">
        <v>12</v>
      </c>
      <c r="E147" s="36"/>
      <c r="H147" s="36"/>
      <c r="I147" s="22">
        <v>20</v>
      </c>
      <c r="K147" s="22">
        <v>10</v>
      </c>
      <c r="L147" s="36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36"/>
      <c r="AO147" s="22">
        <v>28</v>
      </c>
      <c r="BN147" s="36"/>
      <c r="BW147" s="36"/>
      <c r="CF147" s="22">
        <v>58</v>
      </c>
    </row>
    <row r="148" spans="1:84" x14ac:dyDescent="0.25">
      <c r="A148" s="9">
        <v>144</v>
      </c>
      <c r="B148" s="9">
        <v>3000002634</v>
      </c>
      <c r="C148" s="12" t="s">
        <v>158</v>
      </c>
      <c r="D148" s="9" t="s">
        <v>12</v>
      </c>
      <c r="E148" s="36"/>
      <c r="H148" s="36"/>
      <c r="L148" s="36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36"/>
      <c r="BN148" s="36"/>
      <c r="BW148" s="36"/>
      <c r="CF148" s="22">
        <v>0</v>
      </c>
    </row>
    <row r="149" spans="1:84" x14ac:dyDescent="0.25">
      <c r="A149" s="9">
        <v>145</v>
      </c>
      <c r="B149" s="9">
        <v>3000002636</v>
      </c>
      <c r="C149" s="12" t="s">
        <v>159</v>
      </c>
      <c r="D149" s="9" t="s">
        <v>12</v>
      </c>
      <c r="E149" s="36"/>
      <c r="H149" s="36"/>
      <c r="L149" s="36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36"/>
      <c r="BN149" s="36"/>
      <c r="BW149" s="36"/>
      <c r="CF149" s="22">
        <v>0</v>
      </c>
    </row>
    <row r="150" spans="1:84" x14ac:dyDescent="0.25">
      <c r="A150" s="9">
        <v>146</v>
      </c>
      <c r="B150" s="9">
        <v>3000001063</v>
      </c>
      <c r="C150" s="12" t="s">
        <v>160</v>
      </c>
      <c r="D150" s="9" t="s">
        <v>12</v>
      </c>
      <c r="E150" s="36"/>
      <c r="H150" s="36"/>
      <c r="I150" s="22">
        <v>30</v>
      </c>
      <c r="K150" s="22">
        <v>50</v>
      </c>
      <c r="L150" s="36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36"/>
      <c r="AL150" s="22">
        <v>226</v>
      </c>
      <c r="BN150" s="36"/>
      <c r="BW150" s="36"/>
      <c r="CF150" s="22">
        <v>306</v>
      </c>
    </row>
    <row r="151" spans="1:84" x14ac:dyDescent="0.25">
      <c r="A151" s="9">
        <v>147</v>
      </c>
      <c r="B151" s="9">
        <v>3000003972</v>
      </c>
      <c r="C151" s="12" t="s">
        <v>161</v>
      </c>
      <c r="D151" s="9" t="s">
        <v>12</v>
      </c>
      <c r="E151" s="36"/>
      <c r="H151" s="36"/>
      <c r="L151" s="36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36"/>
      <c r="BN151" s="36"/>
      <c r="BW151" s="36"/>
      <c r="CF151" s="22">
        <v>0</v>
      </c>
    </row>
    <row r="152" spans="1:84" x14ac:dyDescent="0.25">
      <c r="A152" s="9">
        <v>148</v>
      </c>
      <c r="B152" s="9">
        <v>3000001064</v>
      </c>
      <c r="C152" s="12" t="s">
        <v>162</v>
      </c>
      <c r="D152" s="9" t="s">
        <v>12</v>
      </c>
      <c r="E152" s="36"/>
      <c r="H152" s="36"/>
      <c r="L152" s="36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36"/>
      <c r="AO152" s="22">
        <v>162</v>
      </c>
      <c r="BN152" s="36"/>
      <c r="BW152" s="36"/>
      <c r="CF152" s="22">
        <v>162</v>
      </c>
    </row>
    <row r="153" spans="1:84" x14ac:dyDescent="0.25">
      <c r="A153" s="9">
        <v>149</v>
      </c>
      <c r="B153" s="9">
        <v>3000001065</v>
      </c>
      <c r="C153" s="12" t="s">
        <v>163</v>
      </c>
      <c r="D153" s="9" t="s">
        <v>12</v>
      </c>
      <c r="E153" s="36"/>
      <c r="H153" s="36"/>
      <c r="L153" s="36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36"/>
      <c r="BN153" s="36"/>
      <c r="BW153" s="36"/>
      <c r="CF153" s="22">
        <v>0</v>
      </c>
    </row>
    <row r="154" spans="1:84" x14ac:dyDescent="0.25">
      <c r="A154" s="9">
        <v>150</v>
      </c>
      <c r="B154" s="9">
        <v>5000000009</v>
      </c>
      <c r="C154" s="12" t="s">
        <v>164</v>
      </c>
      <c r="D154" s="9" t="s">
        <v>12</v>
      </c>
      <c r="E154" s="36"/>
      <c r="H154" s="36"/>
      <c r="L154" s="36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36"/>
      <c r="BN154" s="36"/>
      <c r="BW154" s="36"/>
      <c r="CF154" s="22">
        <v>0</v>
      </c>
    </row>
    <row r="155" spans="1:84" x14ac:dyDescent="0.25">
      <c r="A155" s="9">
        <v>151</v>
      </c>
      <c r="B155" s="9">
        <v>5000000003</v>
      </c>
      <c r="C155" s="12" t="s">
        <v>165</v>
      </c>
      <c r="D155" s="9" t="s">
        <v>12</v>
      </c>
      <c r="E155" s="36"/>
      <c r="H155" s="36"/>
      <c r="L155" s="36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36"/>
      <c r="BN155" s="36"/>
      <c r="BW155" s="36"/>
      <c r="CF155" s="22">
        <v>0</v>
      </c>
    </row>
    <row r="156" spans="1:84" x14ac:dyDescent="0.25">
      <c r="A156" s="9">
        <v>152</v>
      </c>
      <c r="B156" s="9">
        <v>5000000002</v>
      </c>
      <c r="C156" s="12" t="s">
        <v>166</v>
      </c>
      <c r="D156" s="9" t="s">
        <v>12</v>
      </c>
      <c r="E156" s="36"/>
      <c r="H156" s="36"/>
      <c r="L156" s="36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36"/>
      <c r="BN156" s="36"/>
      <c r="BW156" s="36"/>
      <c r="CF156" s="22">
        <v>0</v>
      </c>
    </row>
    <row r="157" spans="1:84" x14ac:dyDescent="0.25">
      <c r="A157" s="9">
        <v>153</v>
      </c>
      <c r="B157" s="9">
        <v>5000000001</v>
      </c>
      <c r="C157" s="12" t="s">
        <v>167</v>
      </c>
      <c r="D157" s="9" t="s">
        <v>12</v>
      </c>
      <c r="E157" s="36"/>
      <c r="H157" s="36"/>
      <c r="L157" s="36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36"/>
      <c r="BN157" s="36"/>
      <c r="BW157" s="36"/>
      <c r="CF157" s="22">
        <v>0</v>
      </c>
    </row>
    <row r="158" spans="1:84" x14ac:dyDescent="0.25">
      <c r="A158" s="9">
        <v>154</v>
      </c>
      <c r="B158" s="9">
        <v>1000006666</v>
      </c>
      <c r="C158" s="12" t="s">
        <v>168</v>
      </c>
      <c r="D158" s="9" t="s">
        <v>12</v>
      </c>
      <c r="E158" s="36"/>
      <c r="H158" s="36"/>
      <c r="L158" s="36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36"/>
      <c r="BN158" s="36"/>
      <c r="BW158" s="36"/>
      <c r="CF158" s="22">
        <v>0</v>
      </c>
    </row>
    <row r="159" spans="1:84" x14ac:dyDescent="0.25">
      <c r="A159" s="9">
        <v>155</v>
      </c>
      <c r="B159" s="9">
        <v>4000015675</v>
      </c>
      <c r="C159" s="12" t="s">
        <v>169</v>
      </c>
      <c r="D159" s="9" t="s">
        <v>12</v>
      </c>
      <c r="E159" s="36"/>
      <c r="H159" s="36"/>
      <c r="L159" s="36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36"/>
      <c r="BN159" s="36"/>
      <c r="BV159" s="22">
        <v>206</v>
      </c>
      <c r="BW159" s="36"/>
      <c r="BY159" s="22">
        <v>20</v>
      </c>
      <c r="CC159" s="22">
        <v>200</v>
      </c>
      <c r="CF159" s="22">
        <v>426</v>
      </c>
    </row>
    <row r="160" spans="1:84" x14ac:dyDescent="0.25">
      <c r="A160" s="9">
        <v>156</v>
      </c>
      <c r="B160" s="9">
        <v>4000017082</v>
      </c>
      <c r="C160" s="12" t="s">
        <v>170</v>
      </c>
      <c r="D160" s="9" t="s">
        <v>12</v>
      </c>
      <c r="E160" s="36"/>
      <c r="H160" s="36"/>
      <c r="L160" s="36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36"/>
      <c r="BN160" s="36"/>
      <c r="BW160" s="36"/>
      <c r="CF160" s="22">
        <v>0</v>
      </c>
    </row>
    <row r="161" spans="1:84" x14ac:dyDescent="0.25">
      <c r="A161" s="9">
        <v>157</v>
      </c>
      <c r="B161" s="9">
        <v>4000017083</v>
      </c>
      <c r="C161" s="12" t="s">
        <v>171</v>
      </c>
      <c r="D161" s="9" t="s">
        <v>12</v>
      </c>
      <c r="E161" s="36"/>
      <c r="H161" s="36"/>
      <c r="L161" s="36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36"/>
      <c r="BN161" s="36"/>
      <c r="BW161" s="36"/>
      <c r="CF161" s="22">
        <v>0</v>
      </c>
    </row>
    <row r="162" spans="1:84" x14ac:dyDescent="0.25">
      <c r="A162" s="9">
        <v>158</v>
      </c>
      <c r="B162" s="9">
        <v>4000015873</v>
      </c>
      <c r="C162" s="12" t="s">
        <v>172</v>
      </c>
      <c r="D162" s="9" t="s">
        <v>12</v>
      </c>
      <c r="E162" s="36"/>
      <c r="H162" s="36"/>
      <c r="L162" s="36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36"/>
      <c r="BN162" s="36"/>
      <c r="BO162" s="22">
        <v>200</v>
      </c>
      <c r="BW162" s="36"/>
      <c r="CF162" s="22">
        <v>200</v>
      </c>
    </row>
    <row r="163" spans="1:84" x14ac:dyDescent="0.25">
      <c r="A163" s="9">
        <v>159</v>
      </c>
      <c r="B163" s="9">
        <v>4000017084</v>
      </c>
      <c r="C163" s="12" t="s">
        <v>173</v>
      </c>
      <c r="D163" s="9" t="s">
        <v>12</v>
      </c>
      <c r="E163" s="36"/>
      <c r="H163" s="36"/>
      <c r="L163" s="36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36"/>
      <c r="AD163" s="22">
        <v>30</v>
      </c>
      <c r="BN163" s="36"/>
      <c r="BO163" s="22">
        <v>150</v>
      </c>
      <c r="BW163" s="36"/>
      <c r="CF163" s="22">
        <v>180</v>
      </c>
    </row>
    <row r="164" spans="1:84" x14ac:dyDescent="0.25">
      <c r="A164" s="22">
        <v>160</v>
      </c>
      <c r="B164" s="22">
        <v>3000003029</v>
      </c>
      <c r="C164" t="s">
        <v>211</v>
      </c>
      <c r="D164" s="22" t="s">
        <v>12</v>
      </c>
      <c r="CF164" s="22">
        <v>0</v>
      </c>
    </row>
    <row r="165" spans="1:84" x14ac:dyDescent="0.25">
      <c r="A165" s="22">
        <v>161</v>
      </c>
      <c r="B165" s="22">
        <v>3000003029</v>
      </c>
      <c r="C165" t="s">
        <v>297</v>
      </c>
      <c r="D165" s="22" t="s">
        <v>12</v>
      </c>
      <c r="CF165" s="22">
        <v>0</v>
      </c>
    </row>
    <row r="166" spans="1:84" x14ac:dyDescent="0.25">
      <c r="A166" s="22">
        <v>162</v>
      </c>
      <c r="B166" s="22">
        <v>1000006010</v>
      </c>
      <c r="C166" t="s">
        <v>298</v>
      </c>
      <c r="D166" s="22" t="s">
        <v>12</v>
      </c>
      <c r="CF166" s="22">
        <v>0</v>
      </c>
    </row>
    <row r="167" spans="1:84" x14ac:dyDescent="0.25">
      <c r="A167" s="22">
        <v>163</v>
      </c>
      <c r="B167" s="22">
        <v>3000001220</v>
      </c>
      <c r="C167" t="s">
        <v>300</v>
      </c>
      <c r="D167" s="22" t="s">
        <v>12</v>
      </c>
      <c r="CF167" s="22">
        <v>0</v>
      </c>
    </row>
    <row r="168" spans="1:84" x14ac:dyDescent="0.25">
      <c r="A168" s="22">
        <v>164</v>
      </c>
      <c r="B168" s="22">
        <v>3000001221</v>
      </c>
      <c r="C168" t="s">
        <v>302</v>
      </c>
      <c r="D168" s="22" t="s">
        <v>12</v>
      </c>
      <c r="CF168" s="22">
        <v>0</v>
      </c>
    </row>
    <row r="169" spans="1:84" x14ac:dyDescent="0.25">
      <c r="A169" s="22">
        <v>165</v>
      </c>
      <c r="B169" s="22">
        <v>3000001223</v>
      </c>
      <c r="C169" t="s">
        <v>304</v>
      </c>
      <c r="D169" s="22" t="s">
        <v>12</v>
      </c>
      <c r="CF169" s="22">
        <v>0</v>
      </c>
    </row>
    <row r="170" spans="1:84" x14ac:dyDescent="0.25">
      <c r="A170" s="22">
        <v>166</v>
      </c>
      <c r="B170" s="22">
        <v>3000001224</v>
      </c>
      <c r="C170" t="s">
        <v>306</v>
      </c>
      <c r="D170" s="22" t="s">
        <v>12</v>
      </c>
      <c r="CF170" s="22">
        <v>0</v>
      </c>
    </row>
    <row r="171" spans="1:84" x14ac:dyDescent="0.25">
      <c r="A171" s="22">
        <v>167</v>
      </c>
      <c r="B171" s="22">
        <v>3000003827</v>
      </c>
      <c r="C171" t="s">
        <v>446</v>
      </c>
      <c r="D171" s="22" t="s">
        <v>12</v>
      </c>
      <c r="CF171" s="22">
        <v>0</v>
      </c>
    </row>
    <row r="172" spans="1:84" x14ac:dyDescent="0.25">
      <c r="A172" s="22">
        <v>168</v>
      </c>
      <c r="B172" s="22">
        <v>3000001802</v>
      </c>
      <c r="C172" t="s">
        <v>448</v>
      </c>
      <c r="D172" s="22" t="s">
        <v>12</v>
      </c>
      <c r="CF172" s="22">
        <v>0</v>
      </c>
    </row>
    <row r="173" spans="1:84" x14ac:dyDescent="0.25">
      <c r="A173" s="22">
        <v>169</v>
      </c>
      <c r="B173" s="22" t="s">
        <v>35</v>
      </c>
      <c r="C173" t="s">
        <v>449</v>
      </c>
      <c r="D173" s="22" t="s">
        <v>12</v>
      </c>
      <c r="CF173" s="22">
        <v>0</v>
      </c>
    </row>
    <row r="174" spans="1:84" x14ac:dyDescent="0.25">
      <c r="A174" s="22">
        <v>170</v>
      </c>
      <c r="B174" s="22" t="s">
        <v>35</v>
      </c>
      <c r="C174" t="s">
        <v>450</v>
      </c>
      <c r="D174" s="22" t="s">
        <v>12</v>
      </c>
      <c r="CF174" s="22">
        <v>0</v>
      </c>
    </row>
    <row r="175" spans="1:84" x14ac:dyDescent="0.25">
      <c r="A175" s="22">
        <v>171</v>
      </c>
      <c r="B175" s="22" t="s">
        <v>35</v>
      </c>
      <c r="C175" t="s">
        <v>510</v>
      </c>
      <c r="D175" s="22" t="s">
        <v>12</v>
      </c>
      <c r="CF175" s="22">
        <v>0</v>
      </c>
    </row>
    <row r="176" spans="1:84" x14ac:dyDescent="0.25">
      <c r="A176" s="22">
        <v>172</v>
      </c>
      <c r="B176" s="22" t="s">
        <v>35</v>
      </c>
      <c r="C176" t="s">
        <v>516</v>
      </c>
      <c r="D176" s="22" t="s">
        <v>12</v>
      </c>
      <c r="F176" s="22">
        <v>30</v>
      </c>
      <c r="BY176" s="22">
        <v>20</v>
      </c>
      <c r="CF176" s="22">
        <v>50</v>
      </c>
    </row>
    <row r="177" spans="1:84" x14ac:dyDescent="0.25">
      <c r="A177" s="22">
        <v>173</v>
      </c>
      <c r="B177" s="22" t="s">
        <v>35</v>
      </c>
      <c r="C177" t="s">
        <v>600</v>
      </c>
      <c r="D177" s="22" t="s">
        <v>12</v>
      </c>
      <c r="CF177" s="22">
        <v>0</v>
      </c>
    </row>
    <row r="178" spans="1:84" x14ac:dyDescent="0.25">
      <c r="A178" s="22">
        <v>174</v>
      </c>
      <c r="B178" s="22" t="s">
        <v>35</v>
      </c>
      <c r="C178" t="s">
        <v>601</v>
      </c>
      <c r="D178" s="22" t="s">
        <v>12</v>
      </c>
      <c r="CF178" s="22">
        <v>0</v>
      </c>
    </row>
    <row r="179" spans="1:84" x14ac:dyDescent="0.25">
      <c r="A179" s="22">
        <v>99</v>
      </c>
      <c r="B179" s="22" t="s">
        <v>35</v>
      </c>
      <c r="C179" t="s">
        <v>1383</v>
      </c>
      <c r="D179" s="22" t="s">
        <v>12</v>
      </c>
      <c r="CF179" s="22">
        <v>0</v>
      </c>
    </row>
    <row r="180" spans="1:84" s="85" customFormat="1" x14ac:dyDescent="0.25">
      <c r="A180" s="84">
        <v>99</v>
      </c>
      <c r="B180" s="84" t="s">
        <v>35</v>
      </c>
      <c r="C180" s="85" t="s">
        <v>1557</v>
      </c>
      <c r="D180" s="84" t="s">
        <v>12</v>
      </c>
      <c r="F180" s="84"/>
      <c r="G180" s="84"/>
      <c r="I180" s="84"/>
      <c r="J180" s="84"/>
      <c r="K180" s="84"/>
      <c r="M180" s="22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>
        <v>0</v>
      </c>
    </row>
    <row r="181" spans="1:84" x14ac:dyDescent="0.25">
      <c r="A181" s="22">
        <v>101</v>
      </c>
      <c r="B181" s="22">
        <v>3000000008</v>
      </c>
      <c r="C181" t="s">
        <v>1565</v>
      </c>
      <c r="D181" s="22" t="s">
        <v>12</v>
      </c>
      <c r="F181" s="22" t="s">
        <v>1524</v>
      </c>
      <c r="H181" t="s">
        <v>1524</v>
      </c>
      <c r="J181" s="22" t="s">
        <v>1524</v>
      </c>
      <c r="Q181" t="s">
        <v>1524</v>
      </c>
      <c r="AA181" t="s">
        <v>1524</v>
      </c>
      <c r="AD181" s="22" t="s">
        <v>1524</v>
      </c>
      <c r="CF181" s="22">
        <v>0</v>
      </c>
    </row>
    <row r="182" spans="1:84" x14ac:dyDescent="0.25">
      <c r="A182" s="22">
        <v>178</v>
      </c>
      <c r="B182" s="22" t="s">
        <v>35</v>
      </c>
      <c r="C182" t="s">
        <v>1662</v>
      </c>
      <c r="D182" s="22" t="s">
        <v>12</v>
      </c>
      <c r="CF182" s="22">
        <v>0</v>
      </c>
    </row>
    <row r="183" spans="1:84" x14ac:dyDescent="0.25">
      <c r="A183" s="22">
        <v>80</v>
      </c>
      <c r="B183" s="22" t="s">
        <v>35</v>
      </c>
      <c r="C183" t="s">
        <v>1574</v>
      </c>
      <c r="D183" s="22" t="s">
        <v>12</v>
      </c>
      <c r="CF183" s="22">
        <v>0</v>
      </c>
    </row>
    <row r="184" spans="1:84" x14ac:dyDescent="0.25">
      <c r="A184" s="22">
        <v>81</v>
      </c>
      <c r="B184" s="22">
        <v>1000014673</v>
      </c>
      <c r="C184" t="s">
        <v>1575</v>
      </c>
      <c r="D184" s="22" t="s">
        <v>12</v>
      </c>
      <c r="CF184" s="22">
        <v>0</v>
      </c>
    </row>
    <row r="185" spans="1:84" x14ac:dyDescent="0.25">
      <c r="A185" s="22">
        <v>181</v>
      </c>
      <c r="B185" s="22">
        <v>4000021502</v>
      </c>
      <c r="C185" t="s">
        <v>1576</v>
      </c>
      <c r="D185" s="22" t="s">
        <v>12</v>
      </c>
      <c r="CF185" s="22">
        <v>0</v>
      </c>
    </row>
    <row r="186" spans="1:84" x14ac:dyDescent="0.25">
      <c r="A186" s="22">
        <v>100</v>
      </c>
      <c r="B186" s="22">
        <v>3000002696</v>
      </c>
      <c r="C186" t="s">
        <v>1580</v>
      </c>
      <c r="D186" s="22" t="s">
        <v>12</v>
      </c>
      <c r="CF186" s="22">
        <v>0</v>
      </c>
    </row>
    <row r="187" spans="1:84" x14ac:dyDescent="0.25">
      <c r="A187" s="22">
        <v>101</v>
      </c>
      <c r="B187" s="22">
        <v>3000000707</v>
      </c>
      <c r="C187" t="s">
        <v>1618</v>
      </c>
      <c r="D187" s="22" t="s">
        <v>12</v>
      </c>
      <c r="BN187" s="22">
        <v>2</v>
      </c>
      <c r="BW187" s="22">
        <v>50</v>
      </c>
      <c r="CF187" s="22">
        <v>52</v>
      </c>
    </row>
    <row r="1048572" spans="8:12" x14ac:dyDescent="0.25">
      <c r="H1048572" s="22"/>
      <c r="L1048572" s="22"/>
    </row>
  </sheetData>
  <mergeCells count="2">
    <mergeCell ref="A1:A2"/>
    <mergeCell ref="C1:C2"/>
  </mergeCells>
  <conditionalFormatting sqref="A1:XFD1048576">
    <cfRule type="expression" dxfId="350" priority="1" stopIfTrue="1">
      <formula>AND(ROW()&gt;=1,ROW()&lt;=1048576)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Control 1">
          <controlPr defaultSize="0" r:id="rId5">
            <anchor moveWithCells="1">
              <from>
                <xdr:col>84</xdr:col>
                <xdr:colOff>0</xdr:colOff>
                <xdr:row>2</xdr:row>
                <xdr:rowOff>0</xdr:rowOff>
              </from>
              <to>
                <xdr:col>85</xdr:col>
                <xdr:colOff>219075</xdr:colOff>
                <xdr:row>3</xdr:row>
                <xdr:rowOff>76200</xdr:rowOff>
              </to>
            </anchor>
          </controlPr>
        </control>
      </mc:Choice>
      <mc:Fallback>
        <control shapeId="38913" r:id="rId4" name="Control 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X9736"/>
  <sheetViews>
    <sheetView showGridLines="0" tabSelected="1" zoomScaleNormal="100" workbookViewId="0">
      <pane xSplit="18" ySplit="6" topLeftCell="S22" activePane="bottomRight" state="frozen"/>
      <selection pane="topRight" activeCell="R1" sqref="R1"/>
      <selection pane="bottomLeft" activeCell="A7" sqref="A7"/>
      <selection pane="bottomRight" activeCell="C24" sqref="C24:C46"/>
    </sheetView>
  </sheetViews>
  <sheetFormatPr defaultColWidth="9.140625" defaultRowHeight="15" outlineLevelCol="1" x14ac:dyDescent="0.25"/>
  <cols>
    <col min="1" max="1" width="5.42578125" style="2" customWidth="1"/>
    <col min="2" max="2" width="14.7109375" style="18" customWidth="1"/>
    <col min="3" max="3" width="47.42578125" style="19" customWidth="1"/>
    <col min="4" max="5" width="8.28515625" style="2" customWidth="1"/>
    <col min="6" max="6" width="13.28515625" style="20" customWidth="1"/>
    <col min="7" max="7" width="13.28515625" style="2" customWidth="1"/>
    <col min="8" max="8" width="13.5703125" style="2" customWidth="1" outlineLevel="1"/>
    <col min="9" max="9" width="14.7109375" style="2" customWidth="1" outlineLevel="1"/>
    <col min="10" max="17" width="13.5703125" style="2" customWidth="1" outlineLevel="1"/>
    <col min="18" max="18" width="14" style="83" customWidth="1"/>
    <col min="19" max="19" width="9.140625" style="133" customWidth="1"/>
    <col min="20" max="20" width="9.140625" style="2" customWidth="1"/>
    <col min="21" max="16384" width="9.140625" style="2"/>
  </cols>
  <sheetData>
    <row r="1" spans="1:138 16378:16378" ht="9.75" customHeight="1" x14ac:dyDescent="0.25">
      <c r="A1" s="164" t="s">
        <v>182</v>
      </c>
      <c r="B1" s="164"/>
      <c r="C1" s="164"/>
      <c r="D1" s="164"/>
      <c r="E1" s="164"/>
      <c r="F1" s="164"/>
      <c r="G1" s="164"/>
      <c r="H1" s="1"/>
      <c r="I1" s="1"/>
      <c r="J1" s="1"/>
      <c r="K1" s="1"/>
      <c r="L1" s="1"/>
      <c r="M1" s="1"/>
      <c r="N1" s="1"/>
      <c r="O1" s="1"/>
      <c r="P1" s="1"/>
      <c r="Q1" s="1"/>
      <c r="R1" s="81"/>
      <c r="XEX1" s="2" t="s">
        <v>0</v>
      </c>
    </row>
    <row r="2" spans="1:138 16378:16378" ht="19.5" customHeight="1" x14ac:dyDescent="0.25">
      <c r="A2" s="164"/>
      <c r="B2" s="164"/>
      <c r="C2" s="164"/>
      <c r="D2" s="164"/>
      <c r="E2" s="164"/>
      <c r="F2" s="164"/>
      <c r="G2" s="164"/>
      <c r="H2" s="1"/>
      <c r="I2" s="1"/>
      <c r="J2" s="1"/>
      <c r="K2" s="1"/>
      <c r="L2" s="1"/>
      <c r="M2" s="1"/>
      <c r="N2" s="1"/>
      <c r="O2" s="1"/>
      <c r="P2" s="1"/>
      <c r="Q2" s="1"/>
      <c r="R2" s="81"/>
    </row>
    <row r="3" spans="1:138 16378:16378" ht="24.75" customHeight="1" x14ac:dyDescent="0.25">
      <c r="A3" s="164"/>
      <c r="B3" s="164"/>
      <c r="C3" s="164"/>
      <c r="D3" s="164"/>
      <c r="E3" s="164"/>
      <c r="F3" s="164"/>
      <c r="G3" s="164"/>
      <c r="H3" s="1"/>
      <c r="I3" s="1"/>
      <c r="J3" s="1"/>
      <c r="K3" s="1"/>
      <c r="L3" s="1"/>
      <c r="M3" s="1"/>
      <c r="N3" s="1"/>
      <c r="O3" s="1"/>
      <c r="P3" s="1"/>
      <c r="Q3" s="1"/>
      <c r="R3" s="81"/>
    </row>
    <row r="4" spans="1:138 16378:16378" ht="7.5" customHeight="1" thickBot="1" x14ac:dyDescent="0.3">
      <c r="A4" s="165"/>
      <c r="B4" s="165"/>
      <c r="C4" s="165"/>
      <c r="D4" s="165"/>
      <c r="E4" s="165"/>
      <c r="F4" s="165"/>
      <c r="G4" s="165"/>
      <c r="H4" s="3"/>
      <c r="I4" s="3"/>
      <c r="J4" s="3"/>
      <c r="K4" s="3"/>
      <c r="L4" s="3"/>
      <c r="M4" s="3"/>
      <c r="N4" s="3"/>
      <c r="O4" s="3"/>
      <c r="P4" s="3"/>
      <c r="Q4" s="3"/>
      <c r="R4" s="81"/>
    </row>
    <row r="5" spans="1:138 16378:16378" ht="41.25" customHeight="1" thickBot="1" x14ac:dyDescent="0.3">
      <c r="A5" s="76" t="s">
        <v>1</v>
      </c>
      <c r="B5" s="76" t="s">
        <v>174</v>
      </c>
      <c r="C5" s="76" t="s">
        <v>175</v>
      </c>
      <c r="D5" s="76" t="s">
        <v>176</v>
      </c>
      <c r="E5" s="76" t="s">
        <v>631</v>
      </c>
      <c r="F5" s="78" t="s">
        <v>525</v>
      </c>
      <c r="G5" s="77" t="s">
        <v>526</v>
      </c>
      <c r="H5" s="75" t="s">
        <v>3</v>
      </c>
      <c r="I5" s="75" t="s">
        <v>482</v>
      </c>
      <c r="J5" s="75" t="s">
        <v>4</v>
      </c>
      <c r="K5" s="75" t="s">
        <v>1817</v>
      </c>
      <c r="L5" s="75" t="s">
        <v>1289</v>
      </c>
      <c r="M5" s="75" t="s">
        <v>5</v>
      </c>
      <c r="N5" s="75" t="s">
        <v>6</v>
      </c>
      <c r="O5" s="75" t="s">
        <v>7</v>
      </c>
      <c r="P5" s="75" t="s">
        <v>8</v>
      </c>
      <c r="Q5" s="75" t="s">
        <v>9</v>
      </c>
      <c r="R5" s="82" t="s">
        <v>527</v>
      </c>
      <c r="S5" s="134" t="s">
        <v>605</v>
      </c>
    </row>
    <row r="6" spans="1:138 16378:16378" s="73" customFormat="1" ht="18" customHeight="1" thickBot="1" x14ac:dyDescent="0.3">
      <c r="A6" s="86"/>
      <c r="B6" s="86"/>
      <c r="C6" s="86" t="s">
        <v>632</v>
      </c>
      <c r="D6" s="86"/>
      <c r="E6" s="86"/>
      <c r="F6" s="137">
        <f>SUMPRODUCT((E$7:E$999="SCAFF.")*(F7:F999)*(S7:S999))/1000</f>
        <v>4552.7789040000007</v>
      </c>
      <c r="G6" s="137">
        <f>SUMPRODUCT((E$7:E$999="SCAFF.")*(G7:G999)*(S7:S999))/1000</f>
        <v>8463.8078469999964</v>
      </c>
      <c r="H6" s="138">
        <f>SUMPRODUCT((E$7:E$999="SCAFF.")*(H7:H999)*(S7:S999))/1000</f>
        <v>166.33186499999996</v>
      </c>
      <c r="I6" s="138">
        <f>SUMPRODUCT((E$7:E$999="SCAFF.")*(I7:I999)*(S7:S999))/1000</f>
        <v>66.185220000000001</v>
      </c>
      <c r="J6" s="138">
        <f>SUMPRODUCT((E$7:E$999="SCAFF.")*(J7:J999)*(S7:S999))/1000</f>
        <v>883.70124899999996</v>
      </c>
      <c r="K6" s="138">
        <f>SUMPRODUCT((E$7:E$999="SCAFF.")*(K7:K999)*(S7:S999))/1000</f>
        <v>37.853299999999997</v>
      </c>
      <c r="L6" s="138">
        <f>SUMPRODUCT((E$7:E$999="SCAFF.")*(L7:L999)*(S7:S999))/1000</f>
        <v>4579.7550509999992</v>
      </c>
      <c r="M6" s="138">
        <f>SUMPRODUCT((E$7:E$999="SCAFF.")*(M7:M999)*(S7:S999))/1000</f>
        <v>1082.244492</v>
      </c>
      <c r="N6" s="138">
        <f>SUMPRODUCT((E$7:E$999="SCAFF.")*(N7:N999)*(S7:S999))/1000</f>
        <v>137.58885500000002</v>
      </c>
      <c r="O6" s="138">
        <f>SUMPRODUCT((E$7:E$999="SCAFF.")*(O7:O999)*(S7:S999))/1000</f>
        <v>13.490365000000002</v>
      </c>
      <c r="P6" s="138">
        <f>SUMPRODUCT((E$7:E$999="SCAFF.")*(P7:P999)*(S7:S999))/1000</f>
        <v>1496.6574499999999</v>
      </c>
      <c r="Q6" s="138">
        <f>SUMPRODUCT((E$7:E$999="SCAFF.")*(Q7:Q999)*(S7:S999))/1000</f>
        <v>2803.4379610000005</v>
      </c>
      <c r="R6" s="139">
        <f>SUMPRODUCT((E$7:E$999="SCAFF.")*(R7:R999)*(S7:S999))/1000</f>
        <v>13016.586751000004</v>
      </c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  <c r="DH6" s="74"/>
      <c r="DI6" s="74"/>
      <c r="DJ6" s="74"/>
      <c r="DK6" s="74"/>
      <c r="DL6" s="74"/>
      <c r="DM6" s="74"/>
      <c r="DN6" s="74"/>
      <c r="DO6" s="74"/>
      <c r="DP6" s="74"/>
      <c r="DQ6" s="74"/>
      <c r="DR6" s="74"/>
      <c r="DS6" s="74"/>
      <c r="DT6" s="74"/>
      <c r="DU6" s="74"/>
      <c r="DV6" s="74"/>
      <c r="DW6" s="74"/>
      <c r="DX6" s="74"/>
      <c r="DY6" s="74"/>
      <c r="DZ6" s="74"/>
      <c r="EA6" s="74"/>
      <c r="EB6" s="74"/>
      <c r="EC6" s="74"/>
      <c r="ED6" s="74"/>
      <c r="EE6" s="74"/>
      <c r="EF6" s="74"/>
      <c r="EG6" s="74"/>
      <c r="EH6" s="74"/>
    </row>
    <row r="7" spans="1:138 16378:16378" ht="16.5" thickTop="1" thickBot="1" x14ac:dyDescent="0.3">
      <c r="A7" s="87">
        <f>SUBTOTAL(3,$B$7:B7)</f>
        <v>1</v>
      </c>
      <c r="B7" s="88">
        <v>5000000005</v>
      </c>
      <c r="C7" s="140" t="s">
        <v>11</v>
      </c>
      <c r="D7" s="89" t="s">
        <v>12</v>
      </c>
      <c r="E7" s="79" t="s">
        <v>630</v>
      </c>
      <c r="F7" s="90">
        <f>'YARD IN'!JU5-'YARD OUT'!CF5</f>
        <v>240</v>
      </c>
      <c r="G7" s="91">
        <f>SUM(H7:P7)</f>
        <v>0</v>
      </c>
      <c r="H7" s="92">
        <f>'S019 JAFURRA OUT'!K5-'S019 JAFURRA IN'!I5</f>
        <v>0</v>
      </c>
      <c r="I7" s="92">
        <f>'S020 DAMMAM OUT'!S5-'S020 DAMMAM IN'!I5</f>
        <v>0</v>
      </c>
      <c r="J7" s="92">
        <f>'S015 JAFFURA OUT'!DE5-'S015 JAFFURA IN'!AG5</f>
        <v>0</v>
      </c>
      <c r="K7" s="92">
        <f>'S016 JAFFURA OUT'!N5-'S016 JAFFURA IN'!N5</f>
        <v>0</v>
      </c>
      <c r="L7" s="92">
        <f>'S013 MARJAN OUT'!YX5-'S013 MARJAN IN'!PY5</f>
        <v>0</v>
      </c>
      <c r="M7" s="92">
        <f>'S022 FADHALI OUT'!BW5-'S022 FADHALI IN'!N5</f>
        <v>0</v>
      </c>
      <c r="N7" s="92">
        <f>'S012 OYUN OUT'!AQ5-'S012 OYUN IN'!K5</f>
        <v>0</v>
      </c>
      <c r="O7" s="92">
        <f>'JAFFURA-NMP-01 OUT'!Y5-'JAFFURA-NMP-01 IN'!L5</f>
        <v>0</v>
      </c>
      <c r="P7" s="92">
        <f>'RENTAL MATERIAL OUT'!BM5-'RENTAL MATERIAL IN'!M5</f>
        <v>0</v>
      </c>
      <c r="Q7" s="92">
        <f>'ABU DHABI OUT'!DP5-'ABU DHABI IN'!AY5</f>
        <v>791</v>
      </c>
      <c r="R7" s="93">
        <f>SUM(G7+F7)</f>
        <v>240</v>
      </c>
      <c r="S7" s="135">
        <v>4</v>
      </c>
    </row>
    <row r="8" spans="1:138 16378:16378" ht="16.5" thickTop="1" thickBot="1" x14ac:dyDescent="0.3">
      <c r="A8" s="87">
        <f>SUBTOTAL(3,$B$7:B8)</f>
        <v>2</v>
      </c>
      <c r="B8" s="94">
        <v>1000006673</v>
      </c>
      <c r="C8" s="141" t="s">
        <v>13</v>
      </c>
      <c r="D8" s="87" t="s">
        <v>12</v>
      </c>
      <c r="E8" s="79" t="s">
        <v>629</v>
      </c>
      <c r="F8" s="90">
        <f>'YARD IN'!JU6-'YARD OUT'!CF6</f>
        <v>0</v>
      </c>
      <c r="G8" s="91">
        <f t="shared" ref="G8:G71" si="0">SUM(H8:P8)</f>
        <v>7</v>
      </c>
      <c r="H8" s="92">
        <f>'S019 JAFURRA OUT'!K6-'S019 JAFURRA IN'!I6</f>
        <v>0</v>
      </c>
      <c r="I8" s="92">
        <f>'S020 DAMMAM OUT'!S6-'S020 DAMMAM IN'!I6</f>
        <v>1</v>
      </c>
      <c r="J8" s="92">
        <f>'S015 JAFFURA OUT'!DE6-'S015 JAFFURA IN'!AG6</f>
        <v>0</v>
      </c>
      <c r="K8" s="92">
        <f>'S016 JAFFURA OUT'!N6-'S016 JAFFURA IN'!N6</f>
        <v>0</v>
      </c>
      <c r="L8" s="92">
        <f>'S013 MARJAN OUT'!YX6-'S013 MARJAN IN'!PY6</f>
        <v>6</v>
      </c>
      <c r="M8" s="92">
        <f>'S022 FADHALI OUT'!BW6-'S022 FADHALI IN'!N6</f>
        <v>0</v>
      </c>
      <c r="N8" s="92">
        <f>'S012 OYUN OUT'!AQ6-'S012 OYUN IN'!K6</f>
        <v>0</v>
      </c>
      <c r="O8" s="92">
        <f>'JAFFURA-NMP-01 OUT'!Y6-'JAFFURA-NMP-01 IN'!L6</f>
        <v>0</v>
      </c>
      <c r="P8" s="92">
        <f>'RENTAL MATERIAL OUT'!BM6-'RENTAL MATERIAL IN'!M6</f>
        <v>0</v>
      </c>
      <c r="Q8" s="92">
        <f>'ABU DHABI OUT'!DP6-'ABU DHABI IN'!AY6</f>
        <v>0</v>
      </c>
      <c r="R8" s="93">
        <f t="shared" ref="R8:R71" si="1">SUM(G8+F8)</f>
        <v>7</v>
      </c>
      <c r="S8" s="96">
        <v>13</v>
      </c>
      <c r="T8" s="2">
        <f>+SUM(R8+Q8)</f>
        <v>7</v>
      </c>
    </row>
    <row r="9" spans="1:138 16378:16378" ht="16.5" thickTop="1" thickBot="1" x14ac:dyDescent="0.3">
      <c r="A9" s="87">
        <f>SUBTOTAL(3,$B$7:B9)</f>
        <v>3</v>
      </c>
      <c r="B9" s="94">
        <v>1000006674</v>
      </c>
      <c r="C9" s="141" t="s">
        <v>14</v>
      </c>
      <c r="D9" s="87" t="s">
        <v>12</v>
      </c>
      <c r="E9" s="79" t="s">
        <v>629</v>
      </c>
      <c r="F9" s="90">
        <f>'YARD IN'!JU7-'YARD OUT'!CF7</f>
        <v>0</v>
      </c>
      <c r="G9" s="91">
        <f t="shared" si="0"/>
        <v>6</v>
      </c>
      <c r="H9" s="92">
        <f>'S019 JAFURRA OUT'!K7-'S019 JAFURRA IN'!I7</f>
        <v>0</v>
      </c>
      <c r="I9" s="92">
        <f>'S020 DAMMAM OUT'!S7-'S020 DAMMAM IN'!I7</f>
        <v>0</v>
      </c>
      <c r="J9" s="92">
        <f>'S015 JAFFURA OUT'!DE7-'S015 JAFFURA IN'!AG7</f>
        <v>0</v>
      </c>
      <c r="K9" s="92">
        <f>'S016 JAFFURA OUT'!N7-'S016 JAFFURA IN'!N7</f>
        <v>0</v>
      </c>
      <c r="L9" s="92">
        <f>'S013 MARJAN OUT'!YX7-'S013 MARJAN IN'!PY7</f>
        <v>6</v>
      </c>
      <c r="M9" s="92">
        <f>'S022 FADHALI OUT'!BW7-'S022 FADHALI IN'!N7</f>
        <v>0</v>
      </c>
      <c r="N9" s="92">
        <f>'S012 OYUN OUT'!AQ7-'S012 OYUN IN'!K7</f>
        <v>0</v>
      </c>
      <c r="O9" s="92">
        <f>'JAFFURA-NMP-01 OUT'!Y7-'JAFFURA-NMP-01 IN'!L7</f>
        <v>0</v>
      </c>
      <c r="P9" s="92">
        <f>'RENTAL MATERIAL OUT'!BM7-'RENTAL MATERIAL IN'!M7</f>
        <v>0</v>
      </c>
      <c r="Q9" s="92">
        <f>'ABU DHABI OUT'!DP7-'ABU DHABI IN'!AY7</f>
        <v>0</v>
      </c>
      <c r="R9" s="93">
        <f t="shared" si="1"/>
        <v>6</v>
      </c>
      <c r="S9" s="96">
        <v>16.25</v>
      </c>
      <c r="T9" s="2">
        <f t="shared" ref="T9:T32" si="2">+SUM(R9+Q9)</f>
        <v>6</v>
      </c>
    </row>
    <row r="10" spans="1:138 16378:16378" ht="16.5" thickTop="1" thickBot="1" x14ac:dyDescent="0.3">
      <c r="A10" s="87">
        <f>SUBTOTAL(3,$B$7:B10)</f>
        <v>4</v>
      </c>
      <c r="B10" s="88">
        <v>4000015242</v>
      </c>
      <c r="C10" s="140" t="s">
        <v>15</v>
      </c>
      <c r="D10" s="89" t="s">
        <v>12</v>
      </c>
      <c r="E10" s="79" t="s">
        <v>629</v>
      </c>
      <c r="F10" s="90">
        <f>'YARD IN'!JU8-'YARD OUT'!CF8</f>
        <v>1</v>
      </c>
      <c r="G10" s="91">
        <f t="shared" si="0"/>
        <v>602</v>
      </c>
      <c r="H10" s="92">
        <f>'S019 JAFURRA OUT'!K8-'S019 JAFURRA IN'!I8</f>
        <v>0</v>
      </c>
      <c r="I10" s="92">
        <f>'S020 DAMMAM OUT'!S8-'S020 DAMMAM IN'!I8</f>
        <v>2</v>
      </c>
      <c r="J10" s="92">
        <f>'S015 JAFFURA OUT'!DE8-'S015 JAFFURA IN'!AG8</f>
        <v>65</v>
      </c>
      <c r="K10" s="92">
        <f>'S016 JAFFURA OUT'!N8-'S016 JAFFURA IN'!N8</f>
        <v>0</v>
      </c>
      <c r="L10" s="92">
        <f>'S013 MARJAN OUT'!YX8-'S013 MARJAN IN'!PY8</f>
        <v>404</v>
      </c>
      <c r="M10" s="92">
        <f>'S022 FADHALI OUT'!BW8-'S022 FADHALI IN'!N8</f>
        <v>104</v>
      </c>
      <c r="N10" s="92">
        <f>'S012 OYUN OUT'!AQ8-'S012 OYUN IN'!K8</f>
        <v>27</v>
      </c>
      <c r="O10" s="92">
        <f>'JAFFURA-NMP-01 OUT'!Y8-'JAFFURA-NMP-01 IN'!L8</f>
        <v>0</v>
      </c>
      <c r="P10" s="92">
        <f>'RENTAL MATERIAL OUT'!BM8-'RENTAL MATERIAL IN'!M8</f>
        <v>0</v>
      </c>
      <c r="Q10" s="92">
        <f>'ABU DHABI OUT'!DP8-'ABU DHABI IN'!AY8</f>
        <v>0</v>
      </c>
      <c r="R10" s="93">
        <f t="shared" si="1"/>
        <v>603</v>
      </c>
      <c r="S10" s="96">
        <v>19.5</v>
      </c>
      <c r="T10" s="2">
        <f t="shared" si="2"/>
        <v>603</v>
      </c>
    </row>
    <row r="11" spans="1:138 16378:16378" ht="16.5" thickTop="1" thickBot="1" x14ac:dyDescent="0.3">
      <c r="A11" s="87">
        <f>SUBTOTAL(3,$B$7:B11)</f>
        <v>5</v>
      </c>
      <c r="B11" s="101">
        <v>4000015243</v>
      </c>
      <c r="C11" s="141" t="s">
        <v>16</v>
      </c>
      <c r="D11" s="87" t="s">
        <v>12</v>
      </c>
      <c r="E11" s="79" t="s">
        <v>629</v>
      </c>
      <c r="F11" s="90">
        <f>'YARD IN'!JU9-'YARD OUT'!CF9</f>
        <v>350</v>
      </c>
      <c r="G11" s="91">
        <f t="shared" si="0"/>
        <v>1063</v>
      </c>
      <c r="H11" s="92">
        <f>'S019 JAFURRA OUT'!K9-'S019 JAFURRA IN'!I9</f>
        <v>0</v>
      </c>
      <c r="I11" s="92">
        <f>'S020 DAMMAM OUT'!S9-'S020 DAMMAM IN'!I9</f>
        <v>4</v>
      </c>
      <c r="J11" s="92">
        <f>'S015 JAFFURA OUT'!DE9-'S015 JAFFURA IN'!AG9</f>
        <v>75</v>
      </c>
      <c r="K11" s="92">
        <f>'S016 JAFFURA OUT'!N9-'S016 JAFFURA IN'!N9</f>
        <v>0</v>
      </c>
      <c r="L11" s="92">
        <f>'S013 MARJAN OUT'!YX9-'S013 MARJAN IN'!PY9</f>
        <v>728</v>
      </c>
      <c r="M11" s="92">
        <f>'S022 FADHALI OUT'!BW9-'S022 FADHALI IN'!N9</f>
        <v>171</v>
      </c>
      <c r="N11" s="92">
        <f>'S012 OYUN OUT'!AQ9-'S012 OYUN IN'!K9</f>
        <v>35</v>
      </c>
      <c r="O11" s="92">
        <f>'JAFFURA-NMP-01 OUT'!Y9-'JAFFURA-NMP-01 IN'!L9</f>
        <v>0</v>
      </c>
      <c r="P11" s="92">
        <f>'RENTAL MATERIAL OUT'!BM9-'RENTAL MATERIAL IN'!M9</f>
        <v>50</v>
      </c>
      <c r="Q11" s="92">
        <f>'ABU DHABI OUT'!DP9-'ABU DHABI IN'!AY9</f>
        <v>0</v>
      </c>
      <c r="R11" s="93">
        <f t="shared" si="1"/>
        <v>1413</v>
      </c>
      <c r="S11" s="96">
        <v>26</v>
      </c>
      <c r="T11" s="2">
        <f t="shared" si="2"/>
        <v>1413</v>
      </c>
    </row>
    <row r="12" spans="1:138 16378:16378" ht="16.5" thickTop="1" thickBot="1" x14ac:dyDescent="0.3">
      <c r="A12" s="87">
        <f>SUBTOTAL(3,$B$7:B12)</f>
        <v>6</v>
      </c>
      <c r="B12" s="79">
        <v>4000015244</v>
      </c>
      <c r="C12" s="142" t="s">
        <v>17</v>
      </c>
      <c r="D12" s="79" t="s">
        <v>12</v>
      </c>
      <c r="E12" s="79" t="s">
        <v>629</v>
      </c>
      <c r="F12" s="90">
        <f>'YARD IN'!JU10-'YARD OUT'!CF10</f>
        <v>30</v>
      </c>
      <c r="G12" s="91">
        <f t="shared" si="0"/>
        <v>129</v>
      </c>
      <c r="H12" s="92">
        <f>'S019 JAFURRA OUT'!K10-'S019 JAFURRA IN'!I10</f>
        <v>0</v>
      </c>
      <c r="I12" s="92">
        <f>'S020 DAMMAM OUT'!S10-'S020 DAMMAM IN'!I10</f>
        <v>0</v>
      </c>
      <c r="J12" s="92">
        <f>'S015 JAFFURA OUT'!DE10-'S015 JAFFURA IN'!AG10</f>
        <v>45</v>
      </c>
      <c r="K12" s="92">
        <f>'S016 JAFFURA OUT'!N10-'S016 JAFFURA IN'!N10</f>
        <v>0</v>
      </c>
      <c r="L12" s="92">
        <f>'S013 MARJAN OUT'!YX10-'S013 MARJAN IN'!PY10</f>
        <v>63</v>
      </c>
      <c r="M12" s="92">
        <f>'S022 FADHALI OUT'!BW10-'S022 FADHALI IN'!N10</f>
        <v>1</v>
      </c>
      <c r="N12" s="92">
        <f>'S012 OYUN OUT'!AQ10-'S012 OYUN IN'!K10</f>
        <v>0</v>
      </c>
      <c r="O12" s="92">
        <f>'JAFFURA-NMP-01 OUT'!Y10-'JAFFURA-NMP-01 IN'!L10</f>
        <v>20</v>
      </c>
      <c r="P12" s="92">
        <f>'RENTAL MATERIAL OUT'!BM10-'RENTAL MATERIAL IN'!M10</f>
        <v>0</v>
      </c>
      <c r="Q12" s="92">
        <f>'ABU DHABI OUT'!DP10-'ABU DHABI IN'!AY10</f>
        <v>0</v>
      </c>
      <c r="R12" s="93">
        <f t="shared" si="1"/>
        <v>159</v>
      </c>
      <c r="S12" s="96">
        <v>32.5</v>
      </c>
      <c r="T12" s="2">
        <f t="shared" si="2"/>
        <v>159</v>
      </c>
    </row>
    <row r="13" spans="1:138 16378:16378" ht="16.5" thickTop="1" thickBot="1" x14ac:dyDescent="0.3">
      <c r="A13" s="87">
        <f>SUBTOTAL(3,$B$7:B13)</f>
        <v>7</v>
      </c>
      <c r="B13" s="79">
        <v>4000015245</v>
      </c>
      <c r="C13" s="142" t="s">
        <v>18</v>
      </c>
      <c r="D13" s="79" t="s">
        <v>12</v>
      </c>
      <c r="E13" s="79" t="s">
        <v>629</v>
      </c>
      <c r="F13" s="90">
        <f>'YARD IN'!JU11-'YARD OUT'!CF11</f>
        <v>678</v>
      </c>
      <c r="G13" s="91">
        <f t="shared" si="0"/>
        <v>695</v>
      </c>
      <c r="H13" s="92">
        <f>'S019 JAFURRA OUT'!K11-'S019 JAFURRA IN'!I11</f>
        <v>30</v>
      </c>
      <c r="I13" s="92">
        <f>'S020 DAMMAM OUT'!S11-'S020 DAMMAM IN'!I11</f>
        <v>2</v>
      </c>
      <c r="J13" s="92">
        <f>'S015 JAFFURA OUT'!DE11-'S015 JAFFURA IN'!AG11</f>
        <v>77</v>
      </c>
      <c r="K13" s="92">
        <f>'S016 JAFFURA OUT'!N11-'S016 JAFFURA IN'!N11</f>
        <v>0</v>
      </c>
      <c r="L13" s="92">
        <f>'S013 MARJAN OUT'!YX11-'S013 MARJAN IN'!PY11</f>
        <v>427</v>
      </c>
      <c r="M13" s="92">
        <f>'S022 FADHALI OUT'!BW11-'S022 FADHALI IN'!N11</f>
        <v>128</v>
      </c>
      <c r="N13" s="92">
        <f>'S012 OYUN OUT'!AQ11-'S012 OYUN IN'!K11</f>
        <v>17</v>
      </c>
      <c r="O13" s="92">
        <f>'JAFFURA-NMP-01 OUT'!Y11-'JAFFURA-NMP-01 IN'!L11</f>
        <v>0</v>
      </c>
      <c r="P13" s="92">
        <f>'RENTAL MATERIAL OUT'!BM11-'RENTAL MATERIAL IN'!M11</f>
        <v>14</v>
      </c>
      <c r="Q13" s="92">
        <f>'ABU DHABI OUT'!DP11-'ABU DHABI IN'!AY11</f>
        <v>0</v>
      </c>
      <c r="R13" s="93">
        <f t="shared" si="1"/>
        <v>1373</v>
      </c>
      <c r="S13" s="96">
        <v>39</v>
      </c>
      <c r="T13" s="2">
        <f t="shared" si="2"/>
        <v>1373</v>
      </c>
    </row>
    <row r="14" spans="1:138 16378:16378" ht="16.5" thickTop="1" thickBot="1" x14ac:dyDescent="0.3">
      <c r="A14" s="87">
        <f>SUBTOTAL(3,$B$7:B14)</f>
        <v>8</v>
      </c>
      <c r="B14" s="79">
        <v>4000000224</v>
      </c>
      <c r="C14" s="142" t="s">
        <v>19</v>
      </c>
      <c r="D14" s="79" t="s">
        <v>12</v>
      </c>
      <c r="E14" s="79" t="s">
        <v>629</v>
      </c>
      <c r="F14" s="90">
        <f>'YARD IN'!JU12-'YARD OUT'!CF12</f>
        <v>0</v>
      </c>
      <c r="G14" s="91">
        <f t="shared" si="0"/>
        <v>0</v>
      </c>
      <c r="H14" s="92">
        <f>'S019 JAFURRA OUT'!K12-'S019 JAFURRA IN'!I12</f>
        <v>0</v>
      </c>
      <c r="I14" s="92">
        <f>'S020 DAMMAM OUT'!S12-'S020 DAMMAM IN'!I12</f>
        <v>0</v>
      </c>
      <c r="J14" s="92">
        <f>'S015 JAFFURA OUT'!DE12-'S015 JAFFURA IN'!AG12</f>
        <v>0</v>
      </c>
      <c r="K14" s="92">
        <f>'S016 JAFFURA OUT'!N12-'S016 JAFFURA IN'!N12</f>
        <v>0</v>
      </c>
      <c r="L14" s="92">
        <f>'S013 MARJAN OUT'!YX12-'S013 MARJAN IN'!PY12</f>
        <v>0</v>
      </c>
      <c r="M14" s="92">
        <f>'S022 FADHALI OUT'!BW12-'S022 FADHALI IN'!N12</f>
        <v>0</v>
      </c>
      <c r="N14" s="92">
        <f>'S012 OYUN OUT'!AQ12-'S012 OYUN IN'!K12</f>
        <v>0</v>
      </c>
      <c r="O14" s="92">
        <f>'JAFFURA-NMP-01 OUT'!Y12-'JAFFURA-NMP-01 IN'!L12</f>
        <v>0</v>
      </c>
      <c r="P14" s="92">
        <f>'RENTAL MATERIAL OUT'!BM12-'RENTAL MATERIAL IN'!M12</f>
        <v>0</v>
      </c>
      <c r="Q14" s="92">
        <f>'ABU DHABI OUT'!DP12-'ABU DHABI IN'!AY12</f>
        <v>0</v>
      </c>
      <c r="R14" s="93">
        <f t="shared" si="1"/>
        <v>0</v>
      </c>
      <c r="S14" s="96">
        <v>3.5920000000000001</v>
      </c>
      <c r="T14" s="2">
        <f t="shared" si="2"/>
        <v>0</v>
      </c>
    </row>
    <row r="15" spans="1:138 16378:16378" ht="16.5" thickTop="1" thickBot="1" x14ac:dyDescent="0.3">
      <c r="A15" s="87">
        <f>SUBTOTAL(3,$B$7:B15)</f>
        <v>9</v>
      </c>
      <c r="B15" s="79">
        <v>3000002332</v>
      </c>
      <c r="C15" s="142" t="s">
        <v>20</v>
      </c>
      <c r="D15" s="79" t="s">
        <v>12</v>
      </c>
      <c r="E15" s="79" t="s">
        <v>629</v>
      </c>
      <c r="F15" s="90">
        <f>'YARD IN'!JU13-'YARD OUT'!CF13</f>
        <v>1</v>
      </c>
      <c r="G15" s="91">
        <f t="shared" si="0"/>
        <v>0</v>
      </c>
      <c r="H15" s="92">
        <f>'S019 JAFURRA OUT'!K13-'S019 JAFURRA IN'!I13</f>
        <v>0</v>
      </c>
      <c r="I15" s="92">
        <f>'S020 DAMMAM OUT'!S13-'S020 DAMMAM IN'!I13</f>
        <v>0</v>
      </c>
      <c r="J15" s="92">
        <f>'S015 JAFFURA OUT'!DE13-'S015 JAFFURA IN'!AG13</f>
        <v>0</v>
      </c>
      <c r="K15" s="92">
        <f>'S016 JAFFURA OUT'!N13-'S016 JAFFURA IN'!N13</f>
        <v>0</v>
      </c>
      <c r="L15" s="92">
        <f>'S013 MARJAN OUT'!YX13-'S013 MARJAN IN'!PY13</f>
        <v>0</v>
      </c>
      <c r="M15" s="92">
        <f>'S022 FADHALI OUT'!BW13-'S022 FADHALI IN'!N13</f>
        <v>0</v>
      </c>
      <c r="N15" s="92">
        <f>'S012 OYUN OUT'!AQ13-'S012 OYUN IN'!K13</f>
        <v>0</v>
      </c>
      <c r="O15" s="92">
        <f>'JAFFURA-NMP-01 OUT'!Y13-'JAFFURA-NMP-01 IN'!L13</f>
        <v>0</v>
      </c>
      <c r="P15" s="92">
        <f>'RENTAL MATERIAL OUT'!BM13-'RENTAL MATERIAL IN'!M13</f>
        <v>0</v>
      </c>
      <c r="Q15" s="92">
        <f>'ABU DHABI OUT'!DP13-'ABU DHABI IN'!AY13</f>
        <v>2</v>
      </c>
      <c r="R15" s="93">
        <f t="shared" si="1"/>
        <v>1</v>
      </c>
      <c r="S15" s="96">
        <v>3.5920000000000001</v>
      </c>
      <c r="T15" s="2">
        <f t="shared" si="2"/>
        <v>3</v>
      </c>
    </row>
    <row r="16" spans="1:138 16378:16378" ht="16.5" thickTop="1" thickBot="1" x14ac:dyDescent="0.3">
      <c r="A16" s="87">
        <f>SUBTOTAL(3,$B$7:B16)</f>
        <v>10</v>
      </c>
      <c r="B16" s="79">
        <v>3000000010</v>
      </c>
      <c r="C16" s="142" t="s">
        <v>21</v>
      </c>
      <c r="D16" s="79" t="s">
        <v>12</v>
      </c>
      <c r="E16" s="79" t="s">
        <v>629</v>
      </c>
      <c r="F16" s="90">
        <f>'YARD IN'!JU14-'YARD OUT'!CF14</f>
        <v>0</v>
      </c>
      <c r="G16" s="91">
        <f t="shared" si="0"/>
        <v>26</v>
      </c>
      <c r="H16" s="92">
        <f>'S019 JAFURRA OUT'!K14-'S019 JAFURRA IN'!I14</f>
        <v>0</v>
      </c>
      <c r="I16" s="92">
        <f>'S020 DAMMAM OUT'!S14-'S020 DAMMAM IN'!I14</f>
        <v>0</v>
      </c>
      <c r="J16" s="92">
        <f>'S015 JAFFURA OUT'!DE14-'S015 JAFFURA IN'!AG14</f>
        <v>6</v>
      </c>
      <c r="K16" s="92">
        <f>'S016 JAFFURA OUT'!N14-'S016 JAFFURA IN'!N14</f>
        <v>0</v>
      </c>
      <c r="L16" s="92">
        <f>'S013 MARJAN OUT'!YX14-'S013 MARJAN IN'!PY14</f>
        <v>0</v>
      </c>
      <c r="M16" s="92">
        <f>'S022 FADHALI OUT'!BW14-'S022 FADHALI IN'!N14</f>
        <v>5</v>
      </c>
      <c r="N16" s="92">
        <f>'S012 OYUN OUT'!AQ14-'S012 OYUN IN'!K14</f>
        <v>15</v>
      </c>
      <c r="O16" s="92">
        <f>'JAFFURA-NMP-01 OUT'!Y14-'JAFFURA-NMP-01 IN'!L14</f>
        <v>0</v>
      </c>
      <c r="P16" s="92">
        <f>'RENTAL MATERIAL OUT'!BM14-'RENTAL MATERIAL IN'!M14</f>
        <v>0</v>
      </c>
      <c r="Q16" s="92">
        <f>'ABU DHABI OUT'!DP14-'ABU DHABI IN'!AY14</f>
        <v>58</v>
      </c>
      <c r="R16" s="93">
        <f t="shared" si="1"/>
        <v>26</v>
      </c>
      <c r="S16" s="96">
        <v>4.8</v>
      </c>
      <c r="T16" s="2">
        <f t="shared" si="2"/>
        <v>84</v>
      </c>
    </row>
    <row r="17" spans="1:20" ht="16.5" thickTop="1" thickBot="1" x14ac:dyDescent="0.3">
      <c r="A17" s="87">
        <f>SUBTOTAL(3,$B$7:B17)</f>
        <v>11</v>
      </c>
      <c r="B17" s="79">
        <v>3000002338</v>
      </c>
      <c r="C17" s="142" t="s">
        <v>22</v>
      </c>
      <c r="D17" s="79" t="s">
        <v>12</v>
      </c>
      <c r="E17" s="79" t="s">
        <v>629</v>
      </c>
      <c r="F17" s="90">
        <f>'YARD IN'!JU15-'YARD OUT'!CF15</f>
        <v>0</v>
      </c>
      <c r="G17" s="91">
        <f t="shared" si="0"/>
        <v>0</v>
      </c>
      <c r="H17" s="92">
        <f>'S019 JAFURRA OUT'!K15-'S019 JAFURRA IN'!I15</f>
        <v>0</v>
      </c>
      <c r="I17" s="92">
        <f>'S020 DAMMAM OUT'!S15-'S020 DAMMAM IN'!I15</f>
        <v>0</v>
      </c>
      <c r="J17" s="92">
        <f>'S015 JAFFURA OUT'!DE15-'S015 JAFFURA IN'!AG15</f>
        <v>0</v>
      </c>
      <c r="K17" s="92">
        <f>'S016 JAFFURA OUT'!N15-'S016 JAFFURA IN'!N15</f>
        <v>0</v>
      </c>
      <c r="L17" s="92">
        <f>'S013 MARJAN OUT'!YX15-'S013 MARJAN IN'!PY15</f>
        <v>0</v>
      </c>
      <c r="M17" s="92">
        <f>'S022 FADHALI OUT'!BW15-'S022 FADHALI IN'!N15</f>
        <v>0</v>
      </c>
      <c r="N17" s="92">
        <f>'S012 OYUN OUT'!AQ15-'S012 OYUN IN'!K15</f>
        <v>0</v>
      </c>
      <c r="O17" s="92">
        <f>'JAFFURA-NMP-01 OUT'!Y15-'JAFFURA-NMP-01 IN'!L15</f>
        <v>0</v>
      </c>
      <c r="P17" s="92">
        <f>'RENTAL MATERIAL OUT'!BM15-'RENTAL MATERIAL IN'!M15</f>
        <v>0</v>
      </c>
      <c r="Q17" s="92">
        <f>'ABU DHABI OUT'!DP15-'ABU DHABI IN'!AY15</f>
        <v>0</v>
      </c>
      <c r="R17" s="93">
        <f t="shared" si="1"/>
        <v>0</v>
      </c>
      <c r="S17" s="96">
        <v>5.9850000000000003</v>
      </c>
      <c r="T17" s="2">
        <f t="shared" si="2"/>
        <v>0</v>
      </c>
    </row>
    <row r="18" spans="1:20" ht="16.5" thickTop="1" thickBot="1" x14ac:dyDescent="0.3">
      <c r="A18" s="87">
        <f>SUBTOTAL(3,$B$7:B18)</f>
        <v>12</v>
      </c>
      <c r="B18" s="79">
        <v>3000002322</v>
      </c>
      <c r="C18" s="142" t="s">
        <v>23</v>
      </c>
      <c r="D18" s="79" t="s">
        <v>12</v>
      </c>
      <c r="E18" s="79" t="s">
        <v>629</v>
      </c>
      <c r="F18" s="90">
        <f>'YARD IN'!JU16-'YARD OUT'!CF16</f>
        <v>3</v>
      </c>
      <c r="G18" s="91">
        <f t="shared" si="0"/>
        <v>6</v>
      </c>
      <c r="H18" s="92">
        <f>'S019 JAFURRA OUT'!K16-'S019 JAFURRA IN'!I16</f>
        <v>0</v>
      </c>
      <c r="I18" s="92">
        <f>'S020 DAMMAM OUT'!S16-'S020 DAMMAM IN'!I16</f>
        <v>0</v>
      </c>
      <c r="J18" s="92">
        <f>'S015 JAFFURA OUT'!DE16-'S015 JAFFURA IN'!AG16</f>
        <v>2</v>
      </c>
      <c r="K18" s="92">
        <f>'S016 JAFFURA OUT'!N16-'S016 JAFFURA IN'!N16</f>
        <v>0</v>
      </c>
      <c r="L18" s="92">
        <f>'S013 MARJAN OUT'!YX16-'S013 MARJAN IN'!PY16</f>
        <v>0</v>
      </c>
      <c r="M18" s="92">
        <f>'S022 FADHALI OUT'!BW16-'S022 FADHALI IN'!N16</f>
        <v>0</v>
      </c>
      <c r="N18" s="92">
        <f>'S012 OYUN OUT'!AQ16-'S012 OYUN IN'!K16</f>
        <v>4</v>
      </c>
      <c r="O18" s="92">
        <f>'JAFFURA-NMP-01 OUT'!Y16-'JAFFURA-NMP-01 IN'!L16</f>
        <v>0</v>
      </c>
      <c r="P18" s="92">
        <f>'RENTAL MATERIAL OUT'!BM16-'RENTAL MATERIAL IN'!M16</f>
        <v>0</v>
      </c>
      <c r="Q18" s="92">
        <f>'ABU DHABI OUT'!DP16-'ABU DHABI IN'!AY16</f>
        <v>42</v>
      </c>
      <c r="R18" s="93">
        <f t="shared" si="1"/>
        <v>9</v>
      </c>
      <c r="S18" s="96">
        <v>6.65</v>
      </c>
      <c r="T18" s="2">
        <f t="shared" si="2"/>
        <v>51</v>
      </c>
    </row>
    <row r="19" spans="1:20" ht="16.5" thickTop="1" thickBot="1" x14ac:dyDescent="0.3">
      <c r="A19" s="87">
        <f>SUBTOTAL(3,$B$7:B19)</f>
        <v>13</v>
      </c>
      <c r="B19" s="79">
        <v>3000002330</v>
      </c>
      <c r="C19" s="142" t="s">
        <v>24</v>
      </c>
      <c r="D19" s="79" t="s">
        <v>12</v>
      </c>
      <c r="E19" s="79" t="s">
        <v>629</v>
      </c>
      <c r="F19" s="90">
        <f>'YARD IN'!JU17-'YARD OUT'!CF17</f>
        <v>0</v>
      </c>
      <c r="G19" s="91">
        <f t="shared" si="0"/>
        <v>0</v>
      </c>
      <c r="H19" s="92">
        <f>'S019 JAFURRA OUT'!K17-'S019 JAFURRA IN'!I17</f>
        <v>0</v>
      </c>
      <c r="I19" s="92">
        <f>'S020 DAMMAM OUT'!S17-'S020 DAMMAM IN'!I17</f>
        <v>0</v>
      </c>
      <c r="J19" s="92">
        <f>'S015 JAFFURA OUT'!DE17-'S015 JAFFURA IN'!AG17</f>
        <v>0</v>
      </c>
      <c r="K19" s="92">
        <f>'S016 JAFFURA OUT'!N17-'S016 JAFFURA IN'!N17</f>
        <v>0</v>
      </c>
      <c r="L19" s="92">
        <f>'S013 MARJAN OUT'!YX17-'S013 MARJAN IN'!PY17</f>
        <v>0</v>
      </c>
      <c r="M19" s="92">
        <f>'S022 FADHALI OUT'!BW17-'S022 FADHALI IN'!N17</f>
        <v>0</v>
      </c>
      <c r="N19" s="92">
        <f>'S012 OYUN OUT'!AQ17-'S012 OYUN IN'!K17</f>
        <v>0</v>
      </c>
      <c r="O19" s="92">
        <f>'JAFFURA-NMP-01 OUT'!Y17-'JAFFURA-NMP-01 IN'!L17</f>
        <v>0</v>
      </c>
      <c r="P19" s="92">
        <f>'RENTAL MATERIAL OUT'!BM17-'RENTAL MATERIAL IN'!M17</f>
        <v>0</v>
      </c>
      <c r="Q19" s="92">
        <f>'ABU DHABI OUT'!DP17-'ABU DHABI IN'!AY17</f>
        <v>5</v>
      </c>
      <c r="R19" s="93">
        <f t="shared" si="1"/>
        <v>0</v>
      </c>
      <c r="S19" s="96">
        <v>9.1649999999999991</v>
      </c>
      <c r="T19" s="2">
        <f t="shared" si="2"/>
        <v>5</v>
      </c>
    </row>
    <row r="20" spans="1:20" ht="16.5" thickTop="1" thickBot="1" x14ac:dyDescent="0.3">
      <c r="A20" s="87">
        <f>SUBTOTAL(3,$B$7:B20)</f>
        <v>14</v>
      </c>
      <c r="B20" s="79">
        <v>3000000012</v>
      </c>
      <c r="C20" s="142" t="s">
        <v>25</v>
      </c>
      <c r="D20" s="79" t="s">
        <v>12</v>
      </c>
      <c r="E20" s="79" t="s">
        <v>629</v>
      </c>
      <c r="F20" s="90">
        <f>'YARD IN'!JU18-'YARD OUT'!CF18</f>
        <v>1</v>
      </c>
      <c r="G20" s="91">
        <f t="shared" si="0"/>
        <v>0</v>
      </c>
      <c r="H20" s="92">
        <f>'S019 JAFURRA OUT'!K18-'S019 JAFURRA IN'!I18</f>
        <v>0</v>
      </c>
      <c r="I20" s="92">
        <f>'S020 DAMMAM OUT'!S18-'S020 DAMMAM IN'!I18</f>
        <v>0</v>
      </c>
      <c r="J20" s="92">
        <f>'S015 JAFFURA OUT'!DE18-'S015 JAFFURA IN'!AG18</f>
        <v>0</v>
      </c>
      <c r="K20" s="92">
        <f>'S016 JAFFURA OUT'!N18-'S016 JAFFURA IN'!N18</f>
        <v>0</v>
      </c>
      <c r="L20" s="92">
        <f>'S013 MARJAN OUT'!YX18-'S013 MARJAN IN'!PY18</f>
        <v>0</v>
      </c>
      <c r="M20" s="92">
        <f>'S022 FADHALI OUT'!BW18-'S022 FADHALI IN'!N18</f>
        <v>0</v>
      </c>
      <c r="N20" s="92">
        <f>'S012 OYUN OUT'!AQ18-'S012 OYUN IN'!K18</f>
        <v>0</v>
      </c>
      <c r="O20" s="92">
        <f>'JAFFURA-NMP-01 OUT'!Y18-'JAFFURA-NMP-01 IN'!L18</f>
        <v>0</v>
      </c>
      <c r="P20" s="92">
        <f>'RENTAL MATERIAL OUT'!BM18-'RENTAL MATERIAL IN'!M18</f>
        <v>0</v>
      </c>
      <c r="Q20" s="92">
        <f>'ABU DHABI OUT'!DP18-'ABU DHABI IN'!AY18</f>
        <v>17</v>
      </c>
      <c r="R20" s="93">
        <f t="shared" si="1"/>
        <v>1</v>
      </c>
      <c r="S20" s="96">
        <v>10.78</v>
      </c>
      <c r="T20" s="2">
        <f t="shared" si="2"/>
        <v>18</v>
      </c>
    </row>
    <row r="21" spans="1:20" ht="16.5" thickTop="1" thickBot="1" x14ac:dyDescent="0.3">
      <c r="A21" s="87">
        <f>SUBTOTAL(3,$B$7:B21)</f>
        <v>15</v>
      </c>
      <c r="B21" s="79">
        <v>3000000701</v>
      </c>
      <c r="C21" s="142" t="s">
        <v>26</v>
      </c>
      <c r="D21" s="79" t="s">
        <v>12</v>
      </c>
      <c r="E21" s="79" t="s">
        <v>629</v>
      </c>
      <c r="F21" s="90">
        <f>'YARD IN'!JU19-'YARD OUT'!CF19</f>
        <v>3150</v>
      </c>
      <c r="G21" s="91">
        <f t="shared" si="0"/>
        <v>8264</v>
      </c>
      <c r="H21" s="92">
        <f>'S019 JAFURRA OUT'!K19-'S019 JAFURRA IN'!I19</f>
        <v>1210</v>
      </c>
      <c r="I21" s="92">
        <f>'S020 DAMMAM OUT'!S19-'S020 DAMMAM IN'!I19</f>
        <v>100</v>
      </c>
      <c r="J21" s="92">
        <f>'S015 JAFFURA OUT'!DE19-'S015 JAFFURA IN'!AG19</f>
        <v>3018</v>
      </c>
      <c r="K21" s="92">
        <f>'S016 JAFFURA OUT'!N19-'S016 JAFFURA IN'!N19</f>
        <v>0</v>
      </c>
      <c r="L21" s="92">
        <f>'S013 MARJAN OUT'!YX19-'S013 MARJAN IN'!PY19</f>
        <v>496</v>
      </c>
      <c r="M21" s="92">
        <f>'S022 FADHALI OUT'!BW19-'S022 FADHALI IN'!N19</f>
        <v>2309</v>
      </c>
      <c r="N21" s="92">
        <f>'S012 OYUN OUT'!AQ19-'S012 OYUN IN'!K19</f>
        <v>707</v>
      </c>
      <c r="O21" s="92">
        <f>'JAFFURA-NMP-01 OUT'!Y19-'JAFFURA-NMP-01 IN'!L19</f>
        <v>124</v>
      </c>
      <c r="P21" s="92">
        <f>'RENTAL MATERIAL OUT'!BM19-'RENTAL MATERIAL IN'!M19</f>
        <v>300</v>
      </c>
      <c r="Q21" s="92">
        <f>'ABU DHABI OUT'!DP19-'ABU DHABI IN'!AY19</f>
        <v>1999</v>
      </c>
      <c r="R21" s="93">
        <f t="shared" si="1"/>
        <v>11414</v>
      </c>
      <c r="S21" s="96">
        <v>3.65</v>
      </c>
      <c r="T21" s="2">
        <f t="shared" si="2"/>
        <v>13413</v>
      </c>
    </row>
    <row r="22" spans="1:20" ht="16.5" thickTop="1" thickBot="1" x14ac:dyDescent="0.3">
      <c r="A22" s="87">
        <f>SUBTOTAL(3,$B$7:B22)</f>
        <v>16</v>
      </c>
      <c r="B22" s="79">
        <v>1000006667</v>
      </c>
      <c r="C22" s="142" t="s">
        <v>27</v>
      </c>
      <c r="D22" s="79" t="s">
        <v>12</v>
      </c>
      <c r="E22" s="79" t="s">
        <v>629</v>
      </c>
      <c r="F22" s="90">
        <f>'YARD IN'!JU20-'YARD OUT'!CF20</f>
        <v>9915</v>
      </c>
      <c r="G22" s="91">
        <f t="shared" si="0"/>
        <v>12624</v>
      </c>
      <c r="H22" s="92">
        <f>'S019 JAFURRA OUT'!K20-'S019 JAFURRA IN'!I20</f>
        <v>0</v>
      </c>
      <c r="I22" s="92">
        <f>'S020 DAMMAM OUT'!S20-'S020 DAMMAM IN'!I20</f>
        <v>225</v>
      </c>
      <c r="J22" s="92">
        <f>'S015 JAFFURA OUT'!DE20-'S015 JAFFURA IN'!AG20</f>
        <v>1254</v>
      </c>
      <c r="K22" s="92">
        <f>'S016 JAFFURA OUT'!N20-'S016 JAFFURA IN'!N20</f>
        <v>0</v>
      </c>
      <c r="L22" s="92">
        <f>'S013 MARJAN OUT'!YX20-'S013 MARJAN IN'!PY20</f>
        <v>6983</v>
      </c>
      <c r="M22" s="92">
        <f>'S022 FADHALI OUT'!BW20-'S022 FADHALI IN'!N20</f>
        <v>3690</v>
      </c>
      <c r="N22" s="92">
        <f>'S012 OYUN OUT'!AQ20-'S012 OYUN IN'!K20</f>
        <v>472</v>
      </c>
      <c r="O22" s="92">
        <f>'JAFFURA-NMP-01 OUT'!Y20-'JAFFURA-NMP-01 IN'!L20</f>
        <v>0</v>
      </c>
      <c r="P22" s="92">
        <f>'RENTAL MATERIAL OUT'!BM20-'RENTAL MATERIAL IN'!M20</f>
        <v>0</v>
      </c>
      <c r="Q22" s="92">
        <f>'ABU DHABI OUT'!DP20-'ABU DHABI IN'!AY20</f>
        <v>1275</v>
      </c>
      <c r="R22" s="93">
        <f t="shared" si="1"/>
        <v>22539</v>
      </c>
      <c r="S22" s="96">
        <v>1.85</v>
      </c>
      <c r="T22" s="2">
        <f t="shared" si="2"/>
        <v>23814</v>
      </c>
    </row>
    <row r="23" spans="1:20" ht="16.5" thickTop="1" thickBot="1" x14ac:dyDescent="0.3">
      <c r="A23" s="87">
        <f>SUBTOTAL(3,$B$7:B23)</f>
        <v>17</v>
      </c>
      <c r="B23" s="79">
        <v>3000000061</v>
      </c>
      <c r="C23" s="142" t="s">
        <v>28</v>
      </c>
      <c r="D23" s="79" t="s">
        <v>12</v>
      </c>
      <c r="E23" s="79" t="s">
        <v>629</v>
      </c>
      <c r="F23" s="90">
        <f>'YARD IN'!JU21-'YARD OUT'!CF21</f>
        <v>50871</v>
      </c>
      <c r="G23" s="91">
        <f t="shared" si="0"/>
        <v>109361</v>
      </c>
      <c r="H23" s="92">
        <f>'S019 JAFURRA OUT'!K21-'S019 JAFURRA IN'!I21</f>
        <v>0</v>
      </c>
      <c r="I23" s="92">
        <f>'S020 DAMMAM OUT'!S21-'S020 DAMMAM IN'!I21</f>
        <v>4</v>
      </c>
      <c r="J23" s="92">
        <f>'S015 JAFFURA OUT'!DE21-'S015 JAFFURA IN'!AG21</f>
        <v>10</v>
      </c>
      <c r="K23" s="92">
        <f>'S016 JAFFURA OUT'!N21-'S016 JAFFURA IN'!N21</f>
        <v>300</v>
      </c>
      <c r="L23" s="92">
        <f>'S013 MARJAN OUT'!YX21-'S013 MARJAN IN'!PY21</f>
        <v>76270</v>
      </c>
      <c r="M23" s="92">
        <f>'S022 FADHALI OUT'!BW21-'S022 FADHALI IN'!N21</f>
        <v>13340</v>
      </c>
      <c r="N23" s="92">
        <f>'S012 OYUN OUT'!AQ21-'S012 OYUN IN'!K21</f>
        <v>232</v>
      </c>
      <c r="O23" s="92">
        <f>'JAFFURA-NMP-01 OUT'!Y21-'JAFFURA-NMP-01 IN'!L21</f>
        <v>0</v>
      </c>
      <c r="P23" s="92">
        <f>'RENTAL MATERIAL OUT'!BM21-'RENTAL MATERIAL IN'!M21</f>
        <v>19205</v>
      </c>
      <c r="Q23" s="92">
        <f>'ABU DHABI OUT'!DP21-'ABU DHABI IN'!AY21</f>
        <v>18280</v>
      </c>
      <c r="R23" s="93">
        <f t="shared" si="1"/>
        <v>160232</v>
      </c>
      <c r="S23" s="96">
        <v>1.4</v>
      </c>
      <c r="T23" s="2">
        <f t="shared" si="2"/>
        <v>178512</v>
      </c>
    </row>
    <row r="24" spans="1:20" ht="16.5" thickTop="1" thickBot="1" x14ac:dyDescent="0.3">
      <c r="A24" s="87">
        <f>SUBTOTAL(3,$B$7:B24)</f>
        <v>18</v>
      </c>
      <c r="B24" s="79">
        <v>3000000064</v>
      </c>
      <c r="C24" s="142" t="s">
        <v>29</v>
      </c>
      <c r="D24" s="79" t="s">
        <v>12</v>
      </c>
      <c r="E24" s="79" t="s">
        <v>629</v>
      </c>
      <c r="F24" s="90">
        <f>'YARD IN'!JU22-'YARD OUT'!CF22</f>
        <v>2</v>
      </c>
      <c r="G24" s="91">
        <f t="shared" si="0"/>
        <v>0</v>
      </c>
      <c r="H24" s="92">
        <f>'S019 JAFURRA OUT'!K22-'S019 JAFURRA IN'!I22</f>
        <v>0</v>
      </c>
      <c r="I24" s="92">
        <f>'S020 DAMMAM OUT'!S22-'S020 DAMMAM IN'!I22</f>
        <v>0</v>
      </c>
      <c r="J24" s="92">
        <f>'S015 JAFFURA OUT'!DE22-'S015 JAFFURA IN'!AG22</f>
        <v>0</v>
      </c>
      <c r="K24" s="92">
        <f>'S016 JAFFURA OUT'!N22-'S016 JAFFURA IN'!N22</f>
        <v>0</v>
      </c>
      <c r="L24" s="92">
        <f>'S013 MARJAN OUT'!YX22-'S013 MARJAN IN'!PY22</f>
        <v>0</v>
      </c>
      <c r="M24" s="92">
        <f>'S022 FADHALI OUT'!BW22-'S022 FADHALI IN'!N22</f>
        <v>0</v>
      </c>
      <c r="N24" s="92">
        <f>'S012 OYUN OUT'!AQ22-'S012 OYUN IN'!K22</f>
        <v>0</v>
      </c>
      <c r="O24" s="92">
        <f>'JAFFURA-NMP-01 OUT'!Y22-'JAFFURA-NMP-01 IN'!L22</f>
        <v>0</v>
      </c>
      <c r="P24" s="92">
        <f>'RENTAL MATERIAL OUT'!BM22-'RENTAL MATERIAL IN'!M22</f>
        <v>0</v>
      </c>
      <c r="Q24" s="92">
        <f>'ABU DHABI OUT'!DP22-'ABU DHABI IN'!AY22</f>
        <v>0</v>
      </c>
      <c r="R24" s="93">
        <f t="shared" si="1"/>
        <v>2</v>
      </c>
      <c r="S24" s="96">
        <v>20.832999999999998</v>
      </c>
      <c r="T24" s="2">
        <f t="shared" si="2"/>
        <v>2</v>
      </c>
    </row>
    <row r="25" spans="1:20" ht="16.5" thickTop="1" thickBot="1" x14ac:dyDescent="0.3">
      <c r="A25" s="87">
        <f>SUBTOTAL(3,$B$7:B25)</f>
        <v>19</v>
      </c>
      <c r="B25" s="79">
        <v>3000000062</v>
      </c>
      <c r="C25" s="142" t="s">
        <v>30</v>
      </c>
      <c r="D25" s="79" t="s">
        <v>12</v>
      </c>
      <c r="E25" s="79" t="s">
        <v>629</v>
      </c>
      <c r="F25" s="90">
        <f>'YARD IN'!JU23-'YARD OUT'!CF23</f>
        <v>1308</v>
      </c>
      <c r="G25" s="91">
        <f t="shared" si="0"/>
        <v>507</v>
      </c>
      <c r="H25" s="92">
        <f>'S019 JAFURRA OUT'!K23-'S019 JAFURRA IN'!I23</f>
        <v>0</v>
      </c>
      <c r="I25" s="92">
        <f>'S020 DAMMAM OUT'!S23-'S020 DAMMAM IN'!I23</f>
        <v>0</v>
      </c>
      <c r="J25" s="92">
        <f>'S015 JAFFURA OUT'!DE23-'S015 JAFFURA IN'!AG23</f>
        <v>10</v>
      </c>
      <c r="K25" s="92">
        <f>'S016 JAFFURA OUT'!N23-'S016 JAFFURA IN'!N23</f>
        <v>10</v>
      </c>
      <c r="L25" s="92">
        <f>'S013 MARJAN OUT'!YX23-'S013 MARJAN IN'!PY23</f>
        <v>182</v>
      </c>
      <c r="M25" s="92">
        <f>'S022 FADHALI OUT'!BW23-'S022 FADHALI IN'!N23</f>
        <v>55</v>
      </c>
      <c r="N25" s="92">
        <f>'S012 OYUN OUT'!AQ23-'S012 OYUN IN'!K23</f>
        <v>0</v>
      </c>
      <c r="O25" s="92">
        <f>'JAFFURA-NMP-01 OUT'!Y23-'JAFFURA-NMP-01 IN'!L23</f>
        <v>0</v>
      </c>
      <c r="P25" s="92">
        <f>'RENTAL MATERIAL OUT'!BM23-'RENTAL MATERIAL IN'!M23</f>
        <v>250</v>
      </c>
      <c r="Q25" s="92">
        <f>'ABU DHABI OUT'!DP23-'ABU DHABI IN'!AY23</f>
        <v>0</v>
      </c>
      <c r="R25" s="93">
        <f t="shared" si="1"/>
        <v>1815</v>
      </c>
      <c r="S25" s="96">
        <v>31.3</v>
      </c>
      <c r="T25" s="2">
        <f t="shared" si="2"/>
        <v>1815</v>
      </c>
    </row>
    <row r="26" spans="1:20" ht="16.5" thickTop="1" thickBot="1" x14ac:dyDescent="0.3">
      <c r="A26" s="87">
        <f>SUBTOTAL(3,$B$7:B26)</f>
        <v>20</v>
      </c>
      <c r="B26" s="79">
        <v>3000000063</v>
      </c>
      <c r="C26" s="142" t="s">
        <v>31</v>
      </c>
      <c r="D26" s="79" t="s">
        <v>12</v>
      </c>
      <c r="E26" s="79" t="s">
        <v>629</v>
      </c>
      <c r="F26" s="90">
        <f>'YARD IN'!JU24-'YARD OUT'!CF24</f>
        <v>1462</v>
      </c>
      <c r="G26" s="91">
        <f t="shared" si="0"/>
        <v>643</v>
      </c>
      <c r="H26" s="92">
        <f>'S019 JAFURRA OUT'!K24-'S019 JAFURRA IN'!I24</f>
        <v>0</v>
      </c>
      <c r="I26" s="92">
        <f>'S020 DAMMAM OUT'!S24-'S020 DAMMAM IN'!I24</f>
        <v>6</v>
      </c>
      <c r="J26" s="92">
        <f>'S015 JAFFURA OUT'!DE24-'S015 JAFFURA IN'!AG24</f>
        <v>10</v>
      </c>
      <c r="K26" s="92">
        <f>'S016 JAFFURA OUT'!N24-'S016 JAFFURA IN'!N24</f>
        <v>0</v>
      </c>
      <c r="L26" s="92">
        <f>'S013 MARJAN OUT'!YX24-'S013 MARJAN IN'!PY24</f>
        <v>478</v>
      </c>
      <c r="M26" s="92">
        <f>'S022 FADHALI OUT'!BW24-'S022 FADHALI IN'!N24</f>
        <v>49</v>
      </c>
      <c r="N26" s="92">
        <f>'S012 OYUN OUT'!AQ24-'S012 OYUN IN'!K24</f>
        <v>0</v>
      </c>
      <c r="O26" s="92">
        <f>'JAFFURA-NMP-01 OUT'!Y24-'JAFFURA-NMP-01 IN'!L24</f>
        <v>0</v>
      </c>
      <c r="P26" s="92">
        <f>'RENTAL MATERIAL OUT'!BM24-'RENTAL MATERIAL IN'!M24</f>
        <v>100</v>
      </c>
      <c r="Q26" s="92">
        <f>'ABU DHABI OUT'!DP24-'ABU DHABI IN'!AY24</f>
        <v>360</v>
      </c>
      <c r="R26" s="93">
        <f t="shared" si="1"/>
        <v>2105</v>
      </c>
      <c r="S26" s="96">
        <v>41.8</v>
      </c>
      <c r="T26" s="2">
        <f t="shared" si="2"/>
        <v>2465</v>
      </c>
    </row>
    <row r="27" spans="1:20" ht="16.5" thickTop="1" thickBot="1" x14ac:dyDescent="0.3">
      <c r="A27" s="87">
        <f>SUBTOTAL(3,$B$7:B27)</f>
        <v>21</v>
      </c>
      <c r="B27" s="79">
        <v>3000002688</v>
      </c>
      <c r="C27" s="142" t="s">
        <v>32</v>
      </c>
      <c r="D27" s="79" t="s">
        <v>12</v>
      </c>
      <c r="E27" s="79" t="s">
        <v>629</v>
      </c>
      <c r="F27" s="90">
        <f>'YARD IN'!JU25-'YARD OUT'!CF25</f>
        <v>4767</v>
      </c>
      <c r="G27" s="91">
        <f t="shared" si="0"/>
        <v>5020</v>
      </c>
      <c r="H27" s="92">
        <f>'S019 JAFURRA OUT'!K25-'S019 JAFURRA IN'!I25</f>
        <v>0</v>
      </c>
      <c r="I27" s="92">
        <f>'S020 DAMMAM OUT'!S25-'S020 DAMMAM IN'!I25</f>
        <v>8</v>
      </c>
      <c r="J27" s="92">
        <f>'S015 JAFFURA OUT'!DE25-'S015 JAFFURA IN'!AG25</f>
        <v>10</v>
      </c>
      <c r="K27" s="92">
        <f>'S016 JAFFURA OUT'!N25-'S016 JAFFURA IN'!N25</f>
        <v>0</v>
      </c>
      <c r="L27" s="92">
        <f>'S013 MARJAN OUT'!YX25-'S013 MARJAN IN'!PY25</f>
        <v>2358</v>
      </c>
      <c r="M27" s="92">
        <f>'S022 FADHALI OUT'!BW25-'S022 FADHALI IN'!N25</f>
        <v>144</v>
      </c>
      <c r="N27" s="92">
        <f>'S012 OYUN OUT'!AQ25-'S012 OYUN IN'!K25</f>
        <v>0</v>
      </c>
      <c r="O27" s="92">
        <f>'JAFFURA-NMP-01 OUT'!Y25-'JAFFURA-NMP-01 IN'!L25</f>
        <v>0</v>
      </c>
      <c r="P27" s="92">
        <f>'RENTAL MATERIAL OUT'!BM25-'RENTAL MATERIAL IN'!M25</f>
        <v>2500</v>
      </c>
      <c r="Q27" s="92">
        <f>'ABU DHABI OUT'!DP25-'ABU DHABI IN'!AY25</f>
        <v>1806</v>
      </c>
      <c r="R27" s="93">
        <f t="shared" si="1"/>
        <v>9787</v>
      </c>
      <c r="S27" s="96">
        <v>62.5</v>
      </c>
      <c r="T27" s="2">
        <f t="shared" si="2"/>
        <v>11593</v>
      </c>
    </row>
    <row r="28" spans="1:20" ht="16.5" thickTop="1" thickBot="1" x14ac:dyDescent="0.3">
      <c r="A28" s="87">
        <f>SUBTOTAL(3,$B$7:B28)</f>
        <v>22</v>
      </c>
      <c r="B28" s="79">
        <v>3000002869</v>
      </c>
      <c r="C28" s="142" t="s">
        <v>33</v>
      </c>
      <c r="D28" s="79" t="s">
        <v>12</v>
      </c>
      <c r="E28" s="79" t="s">
        <v>629</v>
      </c>
      <c r="F28" s="90">
        <f>'YARD IN'!JU26-'YARD OUT'!CF26</f>
        <v>1152</v>
      </c>
      <c r="G28" s="91">
        <f t="shared" si="0"/>
        <v>935</v>
      </c>
      <c r="H28" s="92">
        <f>'S019 JAFURRA OUT'!K26-'S019 JAFURRA IN'!I26</f>
        <v>0</v>
      </c>
      <c r="I28" s="92">
        <f>'S020 DAMMAM OUT'!S26-'S020 DAMMAM IN'!I26</f>
        <v>0</v>
      </c>
      <c r="J28" s="92">
        <f>'S015 JAFFURA OUT'!DE26-'S015 JAFFURA IN'!AG26</f>
        <v>18</v>
      </c>
      <c r="K28" s="92">
        <f>'S016 JAFFURA OUT'!N26-'S016 JAFFURA IN'!N26</f>
        <v>8</v>
      </c>
      <c r="L28" s="92">
        <v>905</v>
      </c>
      <c r="M28" s="92">
        <f>'S022 FADHALI OUT'!BW26-'S022 FADHALI IN'!N26</f>
        <v>4</v>
      </c>
      <c r="N28" s="92">
        <f>'S012 OYUN OUT'!AQ26-'S012 OYUN IN'!K26</f>
        <v>0</v>
      </c>
      <c r="O28" s="92">
        <f>'JAFFURA-NMP-01 OUT'!Y26-'JAFFURA-NMP-01 IN'!L26</f>
        <v>0</v>
      </c>
      <c r="P28" s="92">
        <f>'RENTAL MATERIAL OUT'!BM26-'RENTAL MATERIAL IN'!M26</f>
        <v>0</v>
      </c>
      <c r="Q28" s="92">
        <f>'ABU DHABI OUT'!DP26-'ABU DHABI IN'!AY26</f>
        <v>5040</v>
      </c>
      <c r="R28" s="93">
        <f t="shared" si="1"/>
        <v>2087</v>
      </c>
      <c r="S28" s="96">
        <v>83.33</v>
      </c>
      <c r="T28" s="2">
        <f t="shared" si="2"/>
        <v>7127</v>
      </c>
    </row>
    <row r="29" spans="1:20" ht="16.5" thickTop="1" thickBot="1" x14ac:dyDescent="0.3">
      <c r="A29" s="87">
        <f>SUBTOTAL(3,$B$7:B29)</f>
        <v>23</v>
      </c>
      <c r="B29" s="79">
        <v>3000000068</v>
      </c>
      <c r="C29" s="142" t="s">
        <v>34</v>
      </c>
      <c r="D29" s="79" t="s">
        <v>12</v>
      </c>
      <c r="E29" s="79" t="s">
        <v>629</v>
      </c>
      <c r="F29" s="90">
        <f>'YARD IN'!JU27-'YARD OUT'!CF27</f>
        <v>91983</v>
      </c>
      <c r="G29" s="91">
        <f t="shared" si="0"/>
        <v>228750</v>
      </c>
      <c r="H29" s="92">
        <f>'S019 JAFURRA OUT'!K27-'S019 JAFURRA IN'!I27</f>
        <v>153</v>
      </c>
      <c r="I29" s="92">
        <f>'S020 DAMMAM OUT'!S27-'S020 DAMMAM IN'!I27</f>
        <v>1373</v>
      </c>
      <c r="J29" s="92">
        <f>'S015 JAFFURA OUT'!DE27-'S015 JAFFURA IN'!AG27</f>
        <v>27928</v>
      </c>
      <c r="K29" s="92">
        <f>'S016 JAFFURA OUT'!N27-'S016 JAFFURA IN'!N27</f>
        <v>0</v>
      </c>
      <c r="L29" s="92">
        <f>'S013 MARJAN OUT'!YX27-'S013 MARJAN IN'!PY27</f>
        <v>143289</v>
      </c>
      <c r="M29" s="92">
        <f>'S022 FADHALI OUT'!BW27-'S022 FADHALI IN'!N27</f>
        <v>31128</v>
      </c>
      <c r="N29" s="92">
        <f>'S012 OYUN OUT'!AQ27-'S012 OYUN IN'!K27</f>
        <v>2913</v>
      </c>
      <c r="O29" s="92">
        <f>'JAFFURA-NMP-01 OUT'!Y27-'JAFFURA-NMP-01 IN'!L27</f>
        <v>250</v>
      </c>
      <c r="P29" s="92">
        <f>'RENTAL MATERIAL OUT'!BM27-'RENTAL MATERIAL IN'!M27</f>
        <v>21716</v>
      </c>
      <c r="Q29" s="92">
        <f>'ABU DHABI OUT'!DP27-'ABU DHABI IN'!AY27</f>
        <v>94927</v>
      </c>
      <c r="R29" s="93">
        <f t="shared" si="1"/>
        <v>320733</v>
      </c>
      <c r="S29" s="96">
        <v>0.6</v>
      </c>
      <c r="T29" s="2">
        <f t="shared" si="2"/>
        <v>415660</v>
      </c>
    </row>
    <row r="30" spans="1:20" ht="16.5" thickTop="1" thickBot="1" x14ac:dyDescent="0.3">
      <c r="A30" s="87">
        <f>SUBTOTAL(3,$B$7:B30)</f>
        <v>24</v>
      </c>
      <c r="B30" s="79" t="s">
        <v>35</v>
      </c>
      <c r="C30" s="142" t="s">
        <v>602</v>
      </c>
      <c r="D30" s="79" t="s">
        <v>12</v>
      </c>
      <c r="E30" s="79" t="s">
        <v>629</v>
      </c>
      <c r="F30" s="90">
        <f>'YARD IN'!JU28-'YARD OUT'!CF28</f>
        <v>5</v>
      </c>
      <c r="G30" s="91">
        <f t="shared" si="0"/>
        <v>0</v>
      </c>
      <c r="H30" s="92">
        <f>'S019 JAFURRA OUT'!K28-'S019 JAFURRA IN'!I28</f>
        <v>0</v>
      </c>
      <c r="I30" s="92">
        <f>'S020 DAMMAM OUT'!S28-'S020 DAMMAM IN'!I28</f>
        <v>0</v>
      </c>
      <c r="J30" s="92">
        <f>'S015 JAFFURA OUT'!DE28-'S015 JAFFURA IN'!AG28</f>
        <v>0</v>
      </c>
      <c r="K30" s="92">
        <f>'S016 JAFFURA OUT'!N28-'S016 JAFFURA IN'!N28</f>
        <v>0</v>
      </c>
      <c r="L30" s="92">
        <v>0</v>
      </c>
      <c r="M30" s="92">
        <f>'S022 FADHALI OUT'!BW28-'S022 FADHALI IN'!N28</f>
        <v>0</v>
      </c>
      <c r="N30" s="92">
        <f>'S012 OYUN OUT'!AQ28-'S012 OYUN IN'!K28</f>
        <v>0</v>
      </c>
      <c r="O30" s="92">
        <f>'JAFFURA-NMP-01 OUT'!Y28-'JAFFURA-NMP-01 IN'!L28</f>
        <v>0</v>
      </c>
      <c r="P30" s="92">
        <f>'RENTAL MATERIAL OUT'!BM28-'RENTAL MATERIAL IN'!M28</f>
        <v>0</v>
      </c>
      <c r="Q30" s="92">
        <f>'ABU DHABI OUT'!DP28-'ABU DHABI IN'!AY28</f>
        <v>0</v>
      </c>
      <c r="R30" s="93">
        <f t="shared" si="1"/>
        <v>5</v>
      </c>
      <c r="S30" s="96">
        <v>3.5</v>
      </c>
      <c r="T30" s="2">
        <f t="shared" si="2"/>
        <v>5</v>
      </c>
    </row>
    <row r="31" spans="1:20" ht="16.5" thickTop="1" thickBot="1" x14ac:dyDescent="0.3">
      <c r="A31" s="87">
        <f>SUBTOTAL(3,$B$7:B31)</f>
        <v>25</v>
      </c>
      <c r="B31" s="79">
        <v>3000001221</v>
      </c>
      <c r="C31" s="142" t="s">
        <v>302</v>
      </c>
      <c r="D31" s="79" t="s">
        <v>12</v>
      </c>
      <c r="E31" s="79" t="s">
        <v>629</v>
      </c>
      <c r="F31" s="90">
        <f>'YARD IN'!JU29-'YARD OUT'!CF29</f>
        <v>0</v>
      </c>
      <c r="G31" s="91">
        <f t="shared" si="0"/>
        <v>0</v>
      </c>
      <c r="H31" s="92">
        <f>'S019 JAFURRA OUT'!K29-'S019 JAFURRA IN'!I29</f>
        <v>0</v>
      </c>
      <c r="I31" s="92">
        <f>'S020 DAMMAM OUT'!S29-'S020 DAMMAM IN'!I29</f>
        <v>0</v>
      </c>
      <c r="J31" s="92">
        <f>'S015 JAFFURA OUT'!DE29-'S015 JAFFURA IN'!AG29</f>
        <v>0</v>
      </c>
      <c r="K31" s="92">
        <f>'S016 JAFFURA OUT'!N29-'S016 JAFFURA IN'!N29</f>
        <v>0</v>
      </c>
      <c r="L31" s="92">
        <f>'S013 MARJAN OUT'!YX29-'S013 MARJAN IN'!PY29</f>
        <v>0</v>
      </c>
      <c r="M31" s="92">
        <f>'S022 FADHALI OUT'!BW29-'S022 FADHALI IN'!N29</f>
        <v>0</v>
      </c>
      <c r="N31" s="92">
        <f>'S012 OYUN OUT'!AQ29-'S012 OYUN IN'!K29</f>
        <v>0</v>
      </c>
      <c r="O31" s="92">
        <f>'JAFFURA-NMP-01 OUT'!Y29-'JAFFURA-NMP-01 IN'!L29</f>
        <v>0</v>
      </c>
      <c r="P31" s="92">
        <f>'RENTAL MATERIAL OUT'!BM29-'RENTAL MATERIAL IN'!M29</f>
        <v>0</v>
      </c>
      <c r="Q31" s="92">
        <f>'ABU DHABI OUT'!DP29-'ABU DHABI IN'!AY29</f>
        <v>0</v>
      </c>
      <c r="R31" s="93">
        <f t="shared" si="1"/>
        <v>0</v>
      </c>
      <c r="S31" s="96">
        <v>7.04</v>
      </c>
      <c r="T31" s="2">
        <f t="shared" si="2"/>
        <v>0</v>
      </c>
    </row>
    <row r="32" spans="1:20" ht="16.5" thickTop="1" thickBot="1" x14ac:dyDescent="0.3">
      <c r="A32" s="87">
        <f>SUBTOTAL(3,$B$7:B32)</f>
        <v>26</v>
      </c>
      <c r="B32" s="79">
        <v>3000001223</v>
      </c>
      <c r="C32" s="142" t="s">
        <v>304</v>
      </c>
      <c r="D32" s="79" t="s">
        <v>12</v>
      </c>
      <c r="E32" s="79" t="s">
        <v>629</v>
      </c>
      <c r="F32" s="90">
        <f>'YARD IN'!JU30-'YARD OUT'!CF30</f>
        <v>38</v>
      </c>
      <c r="G32" s="91">
        <f t="shared" si="0"/>
        <v>0</v>
      </c>
      <c r="H32" s="92">
        <f>'S019 JAFURRA OUT'!K30-'S019 JAFURRA IN'!I30</f>
        <v>0</v>
      </c>
      <c r="I32" s="92">
        <f>'S020 DAMMAM OUT'!S30-'S020 DAMMAM IN'!I30</f>
        <v>0</v>
      </c>
      <c r="J32" s="92">
        <f>'S015 JAFFURA OUT'!DE30-'S015 JAFFURA IN'!AG30</f>
        <v>0</v>
      </c>
      <c r="K32" s="92">
        <f>'S016 JAFFURA OUT'!N30-'S016 JAFFURA IN'!N30</f>
        <v>0</v>
      </c>
      <c r="L32" s="92">
        <f>'S013 MARJAN OUT'!YX30-'S013 MARJAN IN'!PY30</f>
        <v>0</v>
      </c>
      <c r="M32" s="92">
        <f>'S022 FADHALI OUT'!BW30-'S022 FADHALI IN'!N30</f>
        <v>0</v>
      </c>
      <c r="N32" s="92">
        <f>'S012 OYUN OUT'!AQ30-'S012 OYUN IN'!K30</f>
        <v>0</v>
      </c>
      <c r="O32" s="92">
        <f>'JAFFURA-NMP-01 OUT'!Y30-'JAFFURA-NMP-01 IN'!L30</f>
        <v>0</v>
      </c>
      <c r="P32" s="92">
        <f>'RENTAL MATERIAL OUT'!BM30-'RENTAL MATERIAL IN'!M30</f>
        <v>0</v>
      </c>
      <c r="Q32" s="92">
        <f>'ABU DHABI OUT'!DP30-'ABU DHABI IN'!AY30</f>
        <v>0</v>
      </c>
      <c r="R32" s="93">
        <f t="shared" si="1"/>
        <v>38</v>
      </c>
      <c r="S32" s="96">
        <v>14.08</v>
      </c>
      <c r="T32" s="2">
        <f t="shared" si="2"/>
        <v>38</v>
      </c>
    </row>
    <row r="33" spans="1:20" ht="16.5" thickTop="1" thickBot="1" x14ac:dyDescent="0.3">
      <c r="A33" s="87">
        <f>SUBTOTAL(3,$B$7:B33)</f>
        <v>27</v>
      </c>
      <c r="B33" s="79">
        <v>3000008524</v>
      </c>
      <c r="C33" s="142" t="s">
        <v>39</v>
      </c>
      <c r="D33" s="79" t="s">
        <v>12</v>
      </c>
      <c r="E33" s="79" t="s">
        <v>630</v>
      </c>
      <c r="F33" s="90">
        <f>'YARD IN'!JU31-'YARD OUT'!CF31</f>
        <v>0</v>
      </c>
      <c r="G33" s="91">
        <f t="shared" si="0"/>
        <v>66</v>
      </c>
      <c r="H33" s="92">
        <f>'S019 JAFURRA OUT'!K31-'S019 JAFURRA IN'!I31</f>
        <v>0</v>
      </c>
      <c r="I33" s="92">
        <f>'S020 DAMMAM OUT'!S31-'S020 DAMMAM IN'!I31</f>
        <v>0</v>
      </c>
      <c r="J33" s="92">
        <f>'S015 JAFFURA OUT'!DE31-'S015 JAFFURA IN'!AG31</f>
        <v>66</v>
      </c>
      <c r="K33" s="92">
        <f>'S016 JAFFURA OUT'!N31-'S016 JAFFURA IN'!N31</f>
        <v>0</v>
      </c>
      <c r="L33" s="92">
        <f>'S013 MARJAN OUT'!YX31-'S013 MARJAN IN'!PY31</f>
        <v>0</v>
      </c>
      <c r="M33" s="92">
        <f>'S022 FADHALI OUT'!BW31-'S022 FADHALI IN'!N31</f>
        <v>0</v>
      </c>
      <c r="N33" s="92">
        <f>'S012 OYUN OUT'!AQ31-'S012 OYUN IN'!K31</f>
        <v>0</v>
      </c>
      <c r="O33" s="92">
        <f>'JAFFURA-NMP-01 OUT'!Y31-'JAFFURA-NMP-01 IN'!L31</f>
        <v>0</v>
      </c>
      <c r="P33" s="92">
        <f>'RENTAL MATERIAL OUT'!BM31-'RENTAL MATERIAL IN'!M31</f>
        <v>0</v>
      </c>
      <c r="Q33" s="92">
        <f>'ABU DHABI OUT'!DP31-'ABU DHABI IN'!AY31</f>
        <v>0</v>
      </c>
      <c r="R33" s="93">
        <f t="shared" si="1"/>
        <v>66</v>
      </c>
      <c r="S33" s="96">
        <v>0.32</v>
      </c>
    </row>
    <row r="34" spans="1:20" ht="16.5" thickTop="1" thickBot="1" x14ac:dyDescent="0.3">
      <c r="A34" s="87">
        <f>SUBTOTAL(3,$B$7:B34)</f>
        <v>28</v>
      </c>
      <c r="B34" s="79">
        <v>3000000628</v>
      </c>
      <c r="C34" s="142" t="s">
        <v>40</v>
      </c>
      <c r="D34" s="79" t="s">
        <v>12</v>
      </c>
      <c r="E34" s="79" t="s">
        <v>629</v>
      </c>
      <c r="F34" s="90">
        <f>'YARD IN'!JU32-'YARD OUT'!CF32</f>
        <v>4</v>
      </c>
      <c r="G34" s="91">
        <f t="shared" si="0"/>
        <v>164</v>
      </c>
      <c r="H34" s="92">
        <f>'S019 JAFURRA OUT'!K32-'S019 JAFURRA IN'!I32</f>
        <v>0</v>
      </c>
      <c r="I34" s="92">
        <f>'S020 DAMMAM OUT'!S32-'S020 DAMMAM IN'!I32</f>
        <v>8</v>
      </c>
      <c r="J34" s="92">
        <f>'S015 JAFFURA OUT'!DE32-'S015 JAFFURA IN'!AG32</f>
        <v>16</v>
      </c>
      <c r="K34" s="92">
        <f>'S016 JAFFURA OUT'!N32-'S016 JAFFURA IN'!N32</f>
        <v>0</v>
      </c>
      <c r="L34" s="92">
        <f>'S013 MARJAN OUT'!YX32-'S013 MARJAN IN'!PY32</f>
        <v>116</v>
      </c>
      <c r="M34" s="92">
        <f>'S022 FADHALI OUT'!BW32-'S022 FADHALI IN'!N32</f>
        <v>16</v>
      </c>
      <c r="N34" s="92">
        <f>'S012 OYUN OUT'!AQ32-'S012 OYUN IN'!K32</f>
        <v>8</v>
      </c>
      <c r="O34" s="92">
        <f>'JAFFURA-NMP-01 OUT'!Y32-'JAFFURA-NMP-01 IN'!L32</f>
        <v>0</v>
      </c>
      <c r="P34" s="92">
        <f>'RENTAL MATERIAL OUT'!BM32-'RENTAL MATERIAL IN'!M32</f>
        <v>0</v>
      </c>
      <c r="Q34" s="92">
        <f>'ABU DHABI OUT'!DP32-'ABU DHABI IN'!AY32</f>
        <v>0</v>
      </c>
      <c r="R34" s="93">
        <f t="shared" si="1"/>
        <v>168</v>
      </c>
      <c r="S34" s="96"/>
      <c r="T34" s="2">
        <f>+SUM(R34+Q34)</f>
        <v>168</v>
      </c>
    </row>
    <row r="35" spans="1:20" ht="16.5" thickTop="1" thickBot="1" x14ac:dyDescent="0.3">
      <c r="A35" s="87">
        <f>SUBTOTAL(3,$B$7:B35)</f>
        <v>29</v>
      </c>
      <c r="B35" s="79">
        <v>5000000013</v>
      </c>
      <c r="C35" s="142" t="s">
        <v>41</v>
      </c>
      <c r="D35" s="79" t="s">
        <v>12</v>
      </c>
      <c r="E35" s="79" t="s">
        <v>630</v>
      </c>
      <c r="F35" s="90">
        <f>'YARD IN'!JU33-'YARD OUT'!CF33</f>
        <v>0</v>
      </c>
      <c r="G35" s="91">
        <f t="shared" si="0"/>
        <v>0</v>
      </c>
      <c r="H35" s="92">
        <f>'S019 JAFURRA OUT'!K33-'S019 JAFURRA IN'!I33</f>
        <v>0</v>
      </c>
      <c r="I35" s="92">
        <f>'S020 DAMMAM OUT'!S33-'S020 DAMMAM IN'!I33</f>
        <v>0</v>
      </c>
      <c r="J35" s="92">
        <f>'S015 JAFFURA OUT'!DE33-'S015 JAFFURA IN'!AG33</f>
        <v>0</v>
      </c>
      <c r="K35" s="92">
        <f>'S016 JAFFURA OUT'!N33-'S016 JAFFURA IN'!N33</f>
        <v>0</v>
      </c>
      <c r="L35" s="92">
        <f>'S013 MARJAN OUT'!YX33-'S013 MARJAN IN'!PY33</f>
        <v>0</v>
      </c>
      <c r="M35" s="92">
        <f>'S022 FADHALI OUT'!BW33-'S022 FADHALI IN'!N33</f>
        <v>0</v>
      </c>
      <c r="N35" s="92">
        <f>'S012 OYUN OUT'!AQ33-'S012 OYUN IN'!K33</f>
        <v>0</v>
      </c>
      <c r="O35" s="92">
        <f>'JAFFURA-NMP-01 OUT'!Y33-'JAFFURA-NMP-01 IN'!L33</f>
        <v>0</v>
      </c>
      <c r="P35" s="92">
        <f>'RENTAL MATERIAL OUT'!BM33-'RENTAL MATERIAL IN'!M33</f>
        <v>0</v>
      </c>
      <c r="Q35" s="92">
        <f>'ABU DHABI OUT'!DP33-'ABU DHABI IN'!AY33</f>
        <v>0</v>
      </c>
      <c r="R35" s="93">
        <f t="shared" si="1"/>
        <v>0</v>
      </c>
      <c r="S35" s="96"/>
    </row>
    <row r="36" spans="1:20" ht="16.5" thickTop="1" thickBot="1" x14ac:dyDescent="0.3">
      <c r="A36" s="87">
        <f>SUBTOTAL(3,$B$7:B36)</f>
        <v>30</v>
      </c>
      <c r="B36" s="79">
        <v>5000000014</v>
      </c>
      <c r="C36" s="142" t="s">
        <v>42</v>
      </c>
      <c r="D36" s="79" t="s">
        <v>12</v>
      </c>
      <c r="E36" s="79" t="s">
        <v>630</v>
      </c>
      <c r="F36" s="90">
        <f>'YARD IN'!JU34-'YARD OUT'!CF34</f>
        <v>0</v>
      </c>
      <c r="G36" s="91">
        <f t="shared" si="0"/>
        <v>0</v>
      </c>
      <c r="H36" s="92">
        <f>'S019 JAFURRA OUT'!K34-'S019 JAFURRA IN'!I34</f>
        <v>0</v>
      </c>
      <c r="I36" s="92">
        <f>'S020 DAMMAM OUT'!S34-'S020 DAMMAM IN'!I34</f>
        <v>0</v>
      </c>
      <c r="J36" s="92">
        <f>'S015 JAFFURA OUT'!DE34-'S015 JAFFURA IN'!AG34</f>
        <v>0</v>
      </c>
      <c r="K36" s="92">
        <f>'S016 JAFFURA OUT'!N34-'S016 JAFFURA IN'!N34</f>
        <v>0</v>
      </c>
      <c r="L36" s="92">
        <f>'S013 MARJAN OUT'!YX34-'S013 MARJAN IN'!PY34</f>
        <v>0</v>
      </c>
      <c r="M36" s="92">
        <f>'S022 FADHALI OUT'!BW34-'S022 FADHALI IN'!N34</f>
        <v>0</v>
      </c>
      <c r="N36" s="92">
        <f>'S012 OYUN OUT'!AQ34-'S012 OYUN IN'!K34</f>
        <v>0</v>
      </c>
      <c r="O36" s="92">
        <f>'JAFFURA-NMP-01 OUT'!Y34-'JAFFURA-NMP-01 IN'!L34</f>
        <v>0</v>
      </c>
      <c r="P36" s="92">
        <f>'RENTAL MATERIAL OUT'!BM34-'RENTAL MATERIAL IN'!M34</f>
        <v>0</v>
      </c>
      <c r="Q36" s="92">
        <f>'ABU DHABI OUT'!DP34-'ABU DHABI IN'!AY34</f>
        <v>0</v>
      </c>
      <c r="R36" s="93">
        <f t="shared" si="1"/>
        <v>0</v>
      </c>
      <c r="S36" s="96"/>
    </row>
    <row r="37" spans="1:20" ht="16.5" thickTop="1" thickBot="1" x14ac:dyDescent="0.3">
      <c r="A37" s="87">
        <f>SUBTOTAL(3,$B$7:B37)</f>
        <v>31</v>
      </c>
      <c r="B37" s="79">
        <v>5000000011</v>
      </c>
      <c r="C37" s="142" t="s">
        <v>43</v>
      </c>
      <c r="D37" s="79" t="s">
        <v>12</v>
      </c>
      <c r="E37" s="79" t="s">
        <v>630</v>
      </c>
      <c r="F37" s="90">
        <f>'YARD IN'!JU35-'YARD OUT'!CF35</f>
        <v>0</v>
      </c>
      <c r="G37" s="91">
        <f t="shared" si="0"/>
        <v>0</v>
      </c>
      <c r="H37" s="92">
        <f>'S019 JAFURRA OUT'!K35-'S019 JAFURRA IN'!I35</f>
        <v>0</v>
      </c>
      <c r="I37" s="92">
        <f>'S020 DAMMAM OUT'!S35-'S020 DAMMAM IN'!I35</f>
        <v>0</v>
      </c>
      <c r="J37" s="92">
        <f>'S015 JAFFURA OUT'!DE35-'S015 JAFFURA IN'!AG35</f>
        <v>0</v>
      </c>
      <c r="K37" s="92">
        <f>'S016 JAFFURA OUT'!N35-'S016 JAFFURA IN'!N35</f>
        <v>0</v>
      </c>
      <c r="L37" s="92">
        <f>'S013 MARJAN OUT'!YX35-'S013 MARJAN IN'!PY35</f>
        <v>0</v>
      </c>
      <c r="M37" s="92">
        <f>'S022 FADHALI OUT'!BW35-'S022 FADHALI IN'!N35</f>
        <v>0</v>
      </c>
      <c r="N37" s="92">
        <f>'S012 OYUN OUT'!AQ35-'S012 OYUN IN'!K35</f>
        <v>0</v>
      </c>
      <c r="O37" s="92">
        <f>'JAFFURA-NMP-01 OUT'!Y35-'JAFFURA-NMP-01 IN'!L35</f>
        <v>0</v>
      </c>
      <c r="P37" s="92">
        <f>'RENTAL MATERIAL OUT'!BM35-'RENTAL MATERIAL IN'!M35</f>
        <v>0</v>
      </c>
      <c r="Q37" s="92">
        <f>'ABU DHABI OUT'!DP35-'ABU DHABI IN'!AY35</f>
        <v>0</v>
      </c>
      <c r="R37" s="93">
        <f t="shared" si="1"/>
        <v>0</v>
      </c>
      <c r="S37" s="96"/>
    </row>
    <row r="38" spans="1:20" ht="16.5" thickTop="1" thickBot="1" x14ac:dyDescent="0.3">
      <c r="A38" s="87">
        <f>SUBTOTAL(3,$B$7:B38)</f>
        <v>32</v>
      </c>
      <c r="B38" s="79">
        <v>5000000012</v>
      </c>
      <c r="C38" s="142" t="s">
        <v>44</v>
      </c>
      <c r="D38" s="79" t="s">
        <v>12</v>
      </c>
      <c r="E38" s="79" t="s">
        <v>630</v>
      </c>
      <c r="F38" s="90">
        <f>'YARD IN'!JU36-'YARD OUT'!CF36</f>
        <v>0</v>
      </c>
      <c r="G38" s="91">
        <f t="shared" si="0"/>
        <v>0</v>
      </c>
      <c r="H38" s="92">
        <f>'S019 JAFURRA OUT'!K36-'S019 JAFURRA IN'!I36</f>
        <v>0</v>
      </c>
      <c r="I38" s="92">
        <f>'S020 DAMMAM OUT'!S36-'S020 DAMMAM IN'!I36</f>
        <v>0</v>
      </c>
      <c r="J38" s="92">
        <f>'S015 JAFFURA OUT'!DE36-'S015 JAFFURA IN'!AG36</f>
        <v>0</v>
      </c>
      <c r="K38" s="92">
        <f>'S016 JAFFURA OUT'!N36-'S016 JAFFURA IN'!N36</f>
        <v>0</v>
      </c>
      <c r="L38" s="92">
        <f>'S013 MARJAN OUT'!YX36-'S013 MARJAN IN'!PY36</f>
        <v>0</v>
      </c>
      <c r="M38" s="92">
        <f>'S022 FADHALI OUT'!BW36-'S022 FADHALI IN'!N36</f>
        <v>0</v>
      </c>
      <c r="N38" s="92">
        <f>'S012 OYUN OUT'!AQ36-'S012 OYUN IN'!K36</f>
        <v>0</v>
      </c>
      <c r="O38" s="92">
        <f>'JAFFURA-NMP-01 OUT'!Y36-'JAFFURA-NMP-01 IN'!L36</f>
        <v>0</v>
      </c>
      <c r="P38" s="92">
        <f>'RENTAL MATERIAL OUT'!BM36-'RENTAL MATERIAL IN'!M36</f>
        <v>0</v>
      </c>
      <c r="Q38" s="92">
        <f>'ABU DHABI OUT'!DP36-'ABU DHABI IN'!AY36</f>
        <v>0</v>
      </c>
      <c r="R38" s="93">
        <f t="shared" si="1"/>
        <v>0</v>
      </c>
      <c r="S38" s="96"/>
    </row>
    <row r="39" spans="1:20" ht="16.5" thickTop="1" thickBot="1" x14ac:dyDescent="0.3">
      <c r="A39" s="87">
        <f>SUBTOTAL(3,$B$7:B39)</f>
        <v>33</v>
      </c>
      <c r="B39" s="79">
        <v>3000002635</v>
      </c>
      <c r="C39" s="142" t="s">
        <v>45</v>
      </c>
      <c r="D39" s="79" t="s">
        <v>12</v>
      </c>
      <c r="E39" s="79" t="s">
        <v>630</v>
      </c>
      <c r="F39" s="90">
        <f>'YARD IN'!JU37-'YARD OUT'!CF37</f>
        <v>30</v>
      </c>
      <c r="G39" s="91">
        <f t="shared" si="0"/>
        <v>1678</v>
      </c>
      <c r="H39" s="92">
        <f>'S019 JAFURRA OUT'!K37-'S019 JAFURRA IN'!I37</f>
        <v>0</v>
      </c>
      <c r="I39" s="92">
        <f>'S020 DAMMAM OUT'!S37-'S020 DAMMAM IN'!I37</f>
        <v>0</v>
      </c>
      <c r="J39" s="92">
        <f>'S015 JAFFURA OUT'!DE37-'S015 JAFFURA IN'!AG37</f>
        <v>1678</v>
      </c>
      <c r="K39" s="92">
        <f>'S016 JAFFURA OUT'!N37-'S016 JAFFURA IN'!N37</f>
        <v>0</v>
      </c>
      <c r="L39" s="92">
        <f>'S013 MARJAN OUT'!YX37-'S013 MARJAN IN'!PY37</f>
        <v>0</v>
      </c>
      <c r="M39" s="92">
        <f>'S022 FADHALI OUT'!BW37-'S022 FADHALI IN'!N37</f>
        <v>0</v>
      </c>
      <c r="N39" s="92">
        <f>'S012 OYUN OUT'!AQ37-'S012 OYUN IN'!K37</f>
        <v>0</v>
      </c>
      <c r="O39" s="92">
        <f>'JAFFURA-NMP-01 OUT'!Y37-'JAFFURA-NMP-01 IN'!L37</f>
        <v>0</v>
      </c>
      <c r="P39" s="92">
        <f>'RENTAL MATERIAL OUT'!BM37-'RENTAL MATERIAL IN'!M37</f>
        <v>0</v>
      </c>
      <c r="Q39" s="92">
        <f>'ABU DHABI OUT'!DP37-'ABU DHABI IN'!AY37</f>
        <v>0</v>
      </c>
      <c r="R39" s="93">
        <f t="shared" si="1"/>
        <v>1708</v>
      </c>
      <c r="S39" s="135">
        <v>12.984999999999999</v>
      </c>
    </row>
    <row r="40" spans="1:20" ht="16.5" thickTop="1" thickBot="1" x14ac:dyDescent="0.3">
      <c r="A40" s="87">
        <f>SUBTOTAL(3,$B$7:B40)</f>
        <v>34</v>
      </c>
      <c r="B40" s="79">
        <v>3000000345</v>
      </c>
      <c r="C40" s="142" t="s">
        <v>46</v>
      </c>
      <c r="D40" s="79" t="s">
        <v>12</v>
      </c>
      <c r="E40" s="79" t="s">
        <v>630</v>
      </c>
      <c r="F40" s="90">
        <f>'YARD IN'!JU38-'YARD OUT'!CF38</f>
        <v>48</v>
      </c>
      <c r="G40" s="91">
        <f t="shared" si="0"/>
        <v>1266</v>
      </c>
      <c r="H40" s="92">
        <f>'S019 JAFURRA OUT'!K38-'S019 JAFURRA IN'!I38</f>
        <v>0</v>
      </c>
      <c r="I40" s="92">
        <f>'S020 DAMMAM OUT'!S38-'S020 DAMMAM IN'!I38</f>
        <v>0</v>
      </c>
      <c r="J40" s="92">
        <f>'S015 JAFFURA OUT'!DE38-'S015 JAFFURA IN'!AG38</f>
        <v>666</v>
      </c>
      <c r="K40" s="92">
        <f>'S016 JAFFURA OUT'!N38-'S016 JAFFURA IN'!N38</f>
        <v>0</v>
      </c>
      <c r="L40" s="92">
        <f>'S013 MARJAN OUT'!YX38-'S013 MARJAN IN'!PY38</f>
        <v>0</v>
      </c>
      <c r="M40" s="92">
        <f>'S022 FADHALI OUT'!BW38-'S022 FADHALI IN'!N38</f>
        <v>0</v>
      </c>
      <c r="N40" s="92">
        <f>'S012 OYUN OUT'!AQ38-'S012 OYUN IN'!K38</f>
        <v>600</v>
      </c>
      <c r="O40" s="92">
        <f>'JAFFURA-NMP-01 OUT'!Y38-'JAFFURA-NMP-01 IN'!L38</f>
        <v>0</v>
      </c>
      <c r="P40" s="92">
        <f>'RENTAL MATERIAL OUT'!BM38-'RENTAL MATERIAL IN'!M38</f>
        <v>0</v>
      </c>
      <c r="Q40" s="92">
        <f>'ABU DHABI OUT'!DP38-'ABU DHABI IN'!AY38</f>
        <v>0</v>
      </c>
      <c r="R40" s="93">
        <f t="shared" si="1"/>
        <v>1314</v>
      </c>
      <c r="S40" s="135">
        <v>15.37</v>
      </c>
    </row>
    <row r="41" spans="1:20" ht="16.5" thickTop="1" thickBot="1" x14ac:dyDescent="0.3">
      <c r="A41" s="87">
        <f>SUBTOTAL(3,$B$7:B41)</f>
        <v>35</v>
      </c>
      <c r="B41" s="79">
        <v>3000000346</v>
      </c>
      <c r="C41" s="142" t="s">
        <v>47</v>
      </c>
      <c r="D41" s="79" t="s">
        <v>12</v>
      </c>
      <c r="E41" s="79" t="s">
        <v>630</v>
      </c>
      <c r="F41" s="90">
        <f>'YARD IN'!JU39-'YARD OUT'!CF39</f>
        <v>300</v>
      </c>
      <c r="G41" s="91">
        <f t="shared" si="0"/>
        <v>1238</v>
      </c>
      <c r="H41" s="92">
        <f>'S019 JAFURRA OUT'!K39-'S019 JAFURRA IN'!I39</f>
        <v>0</v>
      </c>
      <c r="I41" s="92">
        <f>'S020 DAMMAM OUT'!S39-'S020 DAMMAM IN'!I39</f>
        <v>0</v>
      </c>
      <c r="J41" s="92">
        <f>'S015 JAFFURA OUT'!DE39-'S015 JAFFURA IN'!AG39</f>
        <v>1238</v>
      </c>
      <c r="K41" s="92">
        <f>'S016 JAFFURA OUT'!N39-'S016 JAFFURA IN'!N39</f>
        <v>0</v>
      </c>
      <c r="L41" s="92">
        <f>'S013 MARJAN OUT'!YX39-'S013 MARJAN IN'!PY39</f>
        <v>0</v>
      </c>
      <c r="M41" s="92">
        <f>'S022 FADHALI OUT'!BW39-'S022 FADHALI IN'!N39</f>
        <v>0</v>
      </c>
      <c r="N41" s="92">
        <f>'S012 OYUN OUT'!AQ39-'S012 OYUN IN'!K39</f>
        <v>0</v>
      </c>
      <c r="O41" s="92">
        <f>'JAFFURA-NMP-01 OUT'!Y39-'JAFFURA-NMP-01 IN'!L39</f>
        <v>0</v>
      </c>
      <c r="P41" s="92">
        <f>'RENTAL MATERIAL OUT'!BM39-'RENTAL MATERIAL IN'!M39</f>
        <v>0</v>
      </c>
      <c r="Q41" s="92">
        <f>'ABU DHABI OUT'!DP39-'ABU DHABI IN'!AY39</f>
        <v>0</v>
      </c>
      <c r="R41" s="93">
        <f t="shared" si="1"/>
        <v>1538</v>
      </c>
      <c r="S41" s="135">
        <v>20.67</v>
      </c>
    </row>
    <row r="42" spans="1:20" ht="16.5" thickTop="1" thickBot="1" x14ac:dyDescent="0.3">
      <c r="A42" s="87">
        <f>SUBTOTAL(3,$B$7:B42)</f>
        <v>36</v>
      </c>
      <c r="B42" s="79">
        <v>3000000347</v>
      </c>
      <c r="C42" s="142" t="s">
        <v>48</v>
      </c>
      <c r="D42" s="79" t="s">
        <v>12</v>
      </c>
      <c r="E42" s="79" t="s">
        <v>630</v>
      </c>
      <c r="F42" s="90">
        <f>'YARD IN'!JU40-'YARD OUT'!CF40</f>
        <v>0</v>
      </c>
      <c r="G42" s="91">
        <f t="shared" si="0"/>
        <v>725</v>
      </c>
      <c r="H42" s="92">
        <f>'S019 JAFURRA OUT'!K40-'S019 JAFURRA IN'!I40</f>
        <v>0</v>
      </c>
      <c r="I42" s="92">
        <f>'S020 DAMMAM OUT'!S40-'S020 DAMMAM IN'!I40</f>
        <v>0</v>
      </c>
      <c r="J42" s="92">
        <f>'S015 JAFFURA OUT'!DE40-'S015 JAFFURA IN'!AG40</f>
        <v>318</v>
      </c>
      <c r="K42" s="92">
        <f>'S016 JAFFURA OUT'!N40-'S016 JAFFURA IN'!N40</f>
        <v>0</v>
      </c>
      <c r="L42" s="92">
        <f>'S013 MARJAN OUT'!YX40-'S013 MARJAN IN'!PY40</f>
        <v>0</v>
      </c>
      <c r="M42" s="92">
        <f>'S022 FADHALI OUT'!BW40-'S022 FADHALI IN'!N40</f>
        <v>0</v>
      </c>
      <c r="N42" s="92">
        <f>'S012 OYUN OUT'!AQ40-'S012 OYUN IN'!K40</f>
        <v>407</v>
      </c>
      <c r="O42" s="92">
        <f>'JAFFURA-NMP-01 OUT'!Y40-'JAFFURA-NMP-01 IN'!L40</f>
        <v>0</v>
      </c>
      <c r="P42" s="92">
        <f>'RENTAL MATERIAL OUT'!BM40-'RENTAL MATERIAL IN'!M40</f>
        <v>0</v>
      </c>
      <c r="Q42" s="92">
        <f>'ABU DHABI OUT'!DP40-'ABU DHABI IN'!AY40</f>
        <v>0</v>
      </c>
      <c r="R42" s="93">
        <f t="shared" si="1"/>
        <v>725</v>
      </c>
      <c r="S42" s="96">
        <v>23.85</v>
      </c>
    </row>
    <row r="43" spans="1:20" ht="16.5" thickTop="1" thickBot="1" x14ac:dyDescent="0.3">
      <c r="A43" s="87">
        <f>SUBTOTAL(3,$B$7:B43)</f>
        <v>37</v>
      </c>
      <c r="B43" s="79">
        <v>3000000348</v>
      </c>
      <c r="C43" s="142" t="s">
        <v>49</v>
      </c>
      <c r="D43" s="79" t="s">
        <v>12</v>
      </c>
      <c r="E43" s="79" t="s">
        <v>630</v>
      </c>
      <c r="F43" s="90">
        <f>'YARD IN'!JU41-'YARD OUT'!CF41</f>
        <v>27</v>
      </c>
      <c r="G43" s="91">
        <f t="shared" si="0"/>
        <v>339</v>
      </c>
      <c r="H43" s="92">
        <f>'S019 JAFURRA OUT'!K41-'S019 JAFURRA IN'!I41</f>
        <v>0</v>
      </c>
      <c r="I43" s="92">
        <f>'S020 DAMMAM OUT'!S41-'S020 DAMMAM IN'!I41</f>
        <v>0</v>
      </c>
      <c r="J43" s="92">
        <f>'S015 JAFFURA OUT'!DE41-'S015 JAFFURA IN'!AG41</f>
        <v>339</v>
      </c>
      <c r="K43" s="92">
        <f>'S016 JAFFURA OUT'!N41-'S016 JAFFURA IN'!N41</f>
        <v>0</v>
      </c>
      <c r="L43" s="92">
        <f>'S013 MARJAN OUT'!YX41-'S013 MARJAN IN'!PY41</f>
        <v>0</v>
      </c>
      <c r="M43" s="92">
        <f>'S022 FADHALI OUT'!BW41-'S022 FADHALI IN'!N41</f>
        <v>0</v>
      </c>
      <c r="N43" s="92">
        <f>'S012 OYUN OUT'!AQ41-'S012 OYUN IN'!K41</f>
        <v>0</v>
      </c>
      <c r="O43" s="92">
        <f>'JAFFURA-NMP-01 OUT'!Y41-'JAFFURA-NMP-01 IN'!L41</f>
        <v>0</v>
      </c>
      <c r="P43" s="92">
        <f>'RENTAL MATERIAL OUT'!BM41-'RENTAL MATERIAL IN'!M41</f>
        <v>0</v>
      </c>
      <c r="Q43" s="92">
        <f>'ABU DHABI OUT'!DP41-'ABU DHABI IN'!AY41</f>
        <v>0</v>
      </c>
      <c r="R43" s="93">
        <f t="shared" si="1"/>
        <v>366</v>
      </c>
      <c r="S43" s="135">
        <v>25.97</v>
      </c>
    </row>
    <row r="44" spans="1:20" ht="16.5" thickTop="1" thickBot="1" x14ac:dyDescent="0.3">
      <c r="A44" s="87">
        <f>SUBTOTAL(3,$B$7:B44)</f>
        <v>38</v>
      </c>
      <c r="B44" s="79">
        <v>3000000349</v>
      </c>
      <c r="C44" s="142" t="s">
        <v>50</v>
      </c>
      <c r="D44" s="79" t="s">
        <v>12</v>
      </c>
      <c r="E44" s="79" t="s">
        <v>630</v>
      </c>
      <c r="F44" s="90">
        <f>'YARD IN'!JU42-'YARD OUT'!CF42</f>
        <v>0</v>
      </c>
      <c r="G44" s="91">
        <f t="shared" si="0"/>
        <v>73</v>
      </c>
      <c r="H44" s="92">
        <f>'S019 JAFURRA OUT'!K42-'S019 JAFURRA IN'!I42</f>
        <v>0</v>
      </c>
      <c r="I44" s="92">
        <f>'S020 DAMMAM OUT'!S42-'S020 DAMMAM IN'!I42</f>
        <v>0</v>
      </c>
      <c r="J44" s="92">
        <f>'S015 JAFFURA OUT'!DE42-'S015 JAFFURA IN'!AG42</f>
        <v>73</v>
      </c>
      <c r="K44" s="92">
        <f>'S016 JAFFURA OUT'!N42-'S016 JAFFURA IN'!N42</f>
        <v>0</v>
      </c>
      <c r="L44" s="92">
        <f>'S013 MARJAN OUT'!YX42-'S013 MARJAN IN'!PY42</f>
        <v>0</v>
      </c>
      <c r="M44" s="92">
        <f>'S022 FADHALI OUT'!BW42-'S022 FADHALI IN'!N42</f>
        <v>0</v>
      </c>
      <c r="N44" s="92">
        <f>'S012 OYUN OUT'!AQ42-'S012 OYUN IN'!K42</f>
        <v>0</v>
      </c>
      <c r="O44" s="92">
        <f>'JAFFURA-NMP-01 OUT'!Y42-'JAFFURA-NMP-01 IN'!L42</f>
        <v>0</v>
      </c>
      <c r="P44" s="92">
        <f>'RENTAL MATERIAL OUT'!BM42-'RENTAL MATERIAL IN'!M42</f>
        <v>0</v>
      </c>
      <c r="Q44" s="92">
        <f>'ABU DHABI OUT'!DP42-'ABU DHABI IN'!AY42</f>
        <v>0</v>
      </c>
      <c r="R44" s="93">
        <f t="shared" si="1"/>
        <v>73</v>
      </c>
      <c r="S44" s="96">
        <v>31.27</v>
      </c>
    </row>
    <row r="45" spans="1:20" ht="16.5" thickTop="1" thickBot="1" x14ac:dyDescent="0.3">
      <c r="A45" s="87">
        <f>SUBTOTAL(3,$B$7:B45)</f>
        <v>39</v>
      </c>
      <c r="B45" s="79">
        <v>3000004464</v>
      </c>
      <c r="C45" s="142" t="s">
        <v>51</v>
      </c>
      <c r="D45" s="79" t="s">
        <v>12</v>
      </c>
      <c r="E45" s="79" t="s">
        <v>630</v>
      </c>
      <c r="F45" s="90">
        <f>'YARD IN'!JU43-'YARD OUT'!CF43</f>
        <v>40</v>
      </c>
      <c r="G45" s="91">
        <f t="shared" si="0"/>
        <v>10</v>
      </c>
      <c r="H45" s="92">
        <f>'S019 JAFURRA OUT'!K43-'S019 JAFURRA IN'!I43</f>
        <v>0</v>
      </c>
      <c r="I45" s="92">
        <f>'S020 DAMMAM OUT'!S43-'S020 DAMMAM IN'!I43</f>
        <v>0</v>
      </c>
      <c r="J45" s="92">
        <f>'S015 JAFFURA OUT'!DE43-'S015 JAFFURA IN'!AG43</f>
        <v>10</v>
      </c>
      <c r="K45" s="92">
        <f>'S016 JAFFURA OUT'!N43-'S016 JAFFURA IN'!N43</f>
        <v>0</v>
      </c>
      <c r="L45" s="92">
        <f>'S013 MARJAN OUT'!YX43-'S013 MARJAN IN'!PY43</f>
        <v>0</v>
      </c>
      <c r="M45" s="92">
        <f>'S022 FADHALI OUT'!BW43-'S022 FADHALI IN'!N43</f>
        <v>0</v>
      </c>
      <c r="N45" s="92">
        <f>'S012 OYUN OUT'!AQ43-'S012 OYUN IN'!K43</f>
        <v>0</v>
      </c>
      <c r="O45" s="92">
        <f>'JAFFURA-NMP-01 OUT'!Y43-'JAFFURA-NMP-01 IN'!L43</f>
        <v>0</v>
      </c>
      <c r="P45" s="92">
        <f>'RENTAL MATERIAL OUT'!BM43-'RENTAL MATERIAL IN'!M43</f>
        <v>0</v>
      </c>
      <c r="Q45" s="92">
        <f>'ABU DHABI OUT'!DP43-'ABU DHABI IN'!AY43</f>
        <v>0</v>
      </c>
      <c r="R45" s="93">
        <f t="shared" si="1"/>
        <v>50</v>
      </c>
      <c r="S45" s="135">
        <v>11</v>
      </c>
    </row>
    <row r="46" spans="1:20" ht="16.5" thickTop="1" thickBot="1" x14ac:dyDescent="0.3">
      <c r="A46" s="87">
        <f>SUBTOTAL(3,$B$7:B46)</f>
        <v>40</v>
      </c>
      <c r="B46" s="79">
        <v>3000000352</v>
      </c>
      <c r="C46" s="142" t="s">
        <v>52</v>
      </c>
      <c r="D46" s="79" t="s">
        <v>12</v>
      </c>
      <c r="E46" s="79" t="s">
        <v>630</v>
      </c>
      <c r="F46" s="90">
        <f>'YARD IN'!JU44-'YARD OUT'!CF44</f>
        <v>0</v>
      </c>
      <c r="G46" s="91">
        <f t="shared" si="0"/>
        <v>6491</v>
      </c>
      <c r="H46" s="92">
        <f>'S019 JAFURRA OUT'!K44-'S019 JAFURRA IN'!I44</f>
        <v>0</v>
      </c>
      <c r="I46" s="92">
        <f>'S020 DAMMAM OUT'!S44-'S020 DAMMAM IN'!I44</f>
        <v>0</v>
      </c>
      <c r="J46" s="92">
        <f>'S015 JAFFURA OUT'!DE44-'S015 JAFFURA IN'!AG44</f>
        <v>6491</v>
      </c>
      <c r="K46" s="92">
        <f>'S016 JAFFURA OUT'!N44-'S016 JAFFURA IN'!N44</f>
        <v>0</v>
      </c>
      <c r="L46" s="92">
        <f>'S013 MARJAN OUT'!YX44-'S013 MARJAN IN'!PY44</f>
        <v>0</v>
      </c>
      <c r="M46" s="92">
        <f>'S022 FADHALI OUT'!BW44-'S022 FADHALI IN'!N44</f>
        <v>0</v>
      </c>
      <c r="N46" s="92">
        <f>'S012 OYUN OUT'!AQ44-'S012 OYUN IN'!K44</f>
        <v>0</v>
      </c>
      <c r="O46" s="92">
        <f>'JAFFURA-NMP-01 OUT'!Y44-'JAFFURA-NMP-01 IN'!L44</f>
        <v>0</v>
      </c>
      <c r="P46" s="92">
        <f>'RENTAL MATERIAL OUT'!BM44-'RENTAL MATERIAL IN'!M44</f>
        <v>0</v>
      </c>
      <c r="Q46" s="92">
        <f>'ABU DHABI OUT'!DP44-'ABU DHABI IN'!AY44</f>
        <v>0</v>
      </c>
      <c r="R46" s="93">
        <f t="shared" si="1"/>
        <v>6491</v>
      </c>
      <c r="S46" s="96">
        <v>1.125</v>
      </c>
    </row>
    <row r="47" spans="1:20" ht="16.5" thickTop="1" thickBot="1" x14ac:dyDescent="0.3">
      <c r="A47" s="87">
        <f>SUBTOTAL(3,$B$7:B47)</f>
        <v>41</v>
      </c>
      <c r="B47" s="79">
        <v>5000000007</v>
      </c>
      <c r="C47" s="142" t="s">
        <v>53</v>
      </c>
      <c r="D47" s="79" t="s">
        <v>12</v>
      </c>
      <c r="E47" s="79" t="s">
        <v>630</v>
      </c>
      <c r="F47" s="90">
        <f>'YARD IN'!JU45-'YARD OUT'!CF45</f>
        <v>0</v>
      </c>
      <c r="G47" s="91">
        <f t="shared" si="0"/>
        <v>106</v>
      </c>
      <c r="H47" s="92">
        <f>'S019 JAFURRA OUT'!K45-'S019 JAFURRA IN'!I45</f>
        <v>0</v>
      </c>
      <c r="I47" s="92">
        <f>'S020 DAMMAM OUT'!S45-'S020 DAMMAM IN'!I45</f>
        <v>0</v>
      </c>
      <c r="J47" s="92">
        <f>'S015 JAFFURA OUT'!DE45-'S015 JAFFURA IN'!AG45</f>
        <v>106</v>
      </c>
      <c r="K47" s="92">
        <f>'S016 JAFFURA OUT'!N45-'S016 JAFFURA IN'!N45</f>
        <v>0</v>
      </c>
      <c r="L47" s="92">
        <f>'S013 MARJAN OUT'!YX45-'S013 MARJAN IN'!PY45</f>
        <v>0</v>
      </c>
      <c r="M47" s="92">
        <f>'S022 FADHALI OUT'!BW45-'S022 FADHALI IN'!N45</f>
        <v>0</v>
      </c>
      <c r="N47" s="92">
        <f>'S012 OYUN OUT'!AQ45-'S012 OYUN IN'!K45</f>
        <v>0</v>
      </c>
      <c r="O47" s="92">
        <f>'JAFFURA-NMP-01 OUT'!Y45-'JAFFURA-NMP-01 IN'!L45</f>
        <v>0</v>
      </c>
      <c r="P47" s="92">
        <f>'RENTAL MATERIAL OUT'!BM45-'RENTAL MATERIAL IN'!M45</f>
        <v>0</v>
      </c>
      <c r="Q47" s="92">
        <f>'ABU DHABI OUT'!DP45-'ABU DHABI IN'!AY45</f>
        <v>0</v>
      </c>
      <c r="R47" s="93">
        <f t="shared" si="1"/>
        <v>106</v>
      </c>
      <c r="S47" s="96">
        <v>20.553999999999998</v>
      </c>
    </row>
    <row r="48" spans="1:20" ht="16.5" thickTop="1" thickBot="1" x14ac:dyDescent="0.3">
      <c r="A48" s="87">
        <f>SUBTOTAL(3,$B$7:B48)</f>
        <v>42</v>
      </c>
      <c r="B48" s="79">
        <v>5000000004</v>
      </c>
      <c r="C48" s="142" t="s">
        <v>54</v>
      </c>
      <c r="D48" s="79" t="s">
        <v>12</v>
      </c>
      <c r="E48" s="79" t="s">
        <v>630</v>
      </c>
      <c r="F48" s="90">
        <f>'YARD IN'!JU46-'YARD OUT'!CF46</f>
        <v>0</v>
      </c>
      <c r="G48" s="91">
        <f t="shared" si="0"/>
        <v>410</v>
      </c>
      <c r="H48" s="92">
        <f>'S019 JAFURRA OUT'!K46-'S019 JAFURRA IN'!I46</f>
        <v>0</v>
      </c>
      <c r="I48" s="92">
        <f>'S020 DAMMAM OUT'!S46-'S020 DAMMAM IN'!I46</f>
        <v>0</v>
      </c>
      <c r="J48" s="92">
        <f>'S015 JAFFURA OUT'!DE46-'S015 JAFFURA IN'!AG46</f>
        <v>410</v>
      </c>
      <c r="K48" s="92">
        <f>'S016 JAFFURA OUT'!N46-'S016 JAFFURA IN'!N46</f>
        <v>0</v>
      </c>
      <c r="L48" s="92">
        <f>'S013 MARJAN OUT'!YX46-'S013 MARJAN IN'!PY46</f>
        <v>0</v>
      </c>
      <c r="M48" s="92">
        <f>'S022 FADHALI OUT'!BW46-'S022 FADHALI IN'!N46</f>
        <v>0</v>
      </c>
      <c r="N48" s="92">
        <f>'S012 OYUN OUT'!AQ46-'S012 OYUN IN'!K46</f>
        <v>0</v>
      </c>
      <c r="O48" s="92">
        <f>'JAFFURA-NMP-01 OUT'!Y46-'JAFFURA-NMP-01 IN'!L46</f>
        <v>0</v>
      </c>
      <c r="P48" s="92">
        <f>'RENTAL MATERIAL OUT'!BM46-'RENTAL MATERIAL IN'!M46</f>
        <v>0</v>
      </c>
      <c r="Q48" s="92">
        <f>'ABU DHABI OUT'!DP46-'ABU DHABI IN'!AY46</f>
        <v>0</v>
      </c>
      <c r="R48" s="93">
        <f t="shared" si="1"/>
        <v>410</v>
      </c>
      <c r="S48" s="96">
        <v>21.018000000000001</v>
      </c>
    </row>
    <row r="49" spans="1:20" ht="16.5" thickTop="1" thickBot="1" x14ac:dyDescent="0.3">
      <c r="A49" s="87">
        <f>SUBTOTAL(3,$B$7:B49)</f>
        <v>43</v>
      </c>
      <c r="B49" s="79">
        <v>5000000006</v>
      </c>
      <c r="C49" s="142" t="s">
        <v>55</v>
      </c>
      <c r="D49" s="79" t="s">
        <v>12</v>
      </c>
      <c r="E49" s="79" t="s">
        <v>630</v>
      </c>
      <c r="F49" s="90">
        <f>'YARD IN'!JU47-'YARD OUT'!CF47</f>
        <v>0</v>
      </c>
      <c r="G49" s="91">
        <f t="shared" si="0"/>
        <v>136</v>
      </c>
      <c r="H49" s="92">
        <f>'S019 JAFURRA OUT'!K47-'S019 JAFURRA IN'!I47</f>
        <v>0</v>
      </c>
      <c r="I49" s="92">
        <f>'S020 DAMMAM OUT'!S47-'S020 DAMMAM IN'!I47</f>
        <v>0</v>
      </c>
      <c r="J49" s="92">
        <f>'S015 JAFFURA OUT'!DE47-'S015 JAFFURA IN'!AG47</f>
        <v>136</v>
      </c>
      <c r="K49" s="92">
        <f>'S016 JAFFURA OUT'!N47-'S016 JAFFURA IN'!N47</f>
        <v>0</v>
      </c>
      <c r="L49" s="92">
        <f>'S013 MARJAN OUT'!YX47-'S013 MARJAN IN'!PY47</f>
        <v>0</v>
      </c>
      <c r="M49" s="92">
        <f>'S022 FADHALI OUT'!BW47-'S022 FADHALI IN'!N47</f>
        <v>0</v>
      </c>
      <c r="N49" s="92">
        <f>'S012 OYUN OUT'!AQ47-'S012 OYUN IN'!K47</f>
        <v>0</v>
      </c>
      <c r="O49" s="92">
        <f>'JAFFURA-NMP-01 OUT'!Y47-'JAFFURA-NMP-01 IN'!L47</f>
        <v>0</v>
      </c>
      <c r="P49" s="92">
        <f>'RENTAL MATERIAL OUT'!BM47-'RENTAL MATERIAL IN'!M47</f>
        <v>0</v>
      </c>
      <c r="Q49" s="92">
        <f>'ABU DHABI OUT'!DP47-'ABU DHABI IN'!AY47</f>
        <v>364</v>
      </c>
      <c r="R49" s="93">
        <f t="shared" si="1"/>
        <v>136</v>
      </c>
      <c r="S49" s="96">
        <v>32.299999999999997</v>
      </c>
    </row>
    <row r="50" spans="1:20" ht="16.5" thickTop="1" thickBot="1" x14ac:dyDescent="0.3">
      <c r="A50" s="87">
        <f>SUBTOTAL(3,$B$7:B50)</f>
        <v>44</v>
      </c>
      <c r="B50" s="79" t="s">
        <v>35</v>
      </c>
      <c r="C50" s="142" t="s">
        <v>56</v>
      </c>
      <c r="D50" s="79" t="s">
        <v>12</v>
      </c>
      <c r="E50" s="79" t="s">
        <v>630</v>
      </c>
      <c r="F50" s="90">
        <f>'YARD IN'!JU48-'YARD OUT'!CF48</f>
        <v>0</v>
      </c>
      <c r="G50" s="91">
        <f t="shared" si="0"/>
        <v>50</v>
      </c>
      <c r="H50" s="92">
        <f>'S019 JAFURRA OUT'!K48-'S019 JAFURRA IN'!I48</f>
        <v>0</v>
      </c>
      <c r="I50" s="92">
        <f>'S020 DAMMAM OUT'!S48-'S020 DAMMAM IN'!I48</f>
        <v>0</v>
      </c>
      <c r="J50" s="92">
        <f>'S015 JAFFURA OUT'!DE48-'S015 JAFFURA IN'!AG48</f>
        <v>50</v>
      </c>
      <c r="K50" s="92">
        <f>'S016 JAFFURA OUT'!N48-'S016 JAFFURA IN'!N48</f>
        <v>0</v>
      </c>
      <c r="L50" s="92">
        <f>'S013 MARJAN OUT'!YX48-'S013 MARJAN IN'!PY48</f>
        <v>0</v>
      </c>
      <c r="M50" s="92">
        <f>'S022 FADHALI OUT'!BW48-'S022 FADHALI IN'!N48</f>
        <v>0</v>
      </c>
      <c r="N50" s="92">
        <f>'S012 OYUN OUT'!AQ48-'S012 OYUN IN'!K48</f>
        <v>0</v>
      </c>
      <c r="O50" s="92">
        <f>'JAFFURA-NMP-01 OUT'!Y48-'JAFFURA-NMP-01 IN'!L48</f>
        <v>0</v>
      </c>
      <c r="P50" s="92">
        <f>'RENTAL MATERIAL OUT'!BM48-'RENTAL MATERIAL IN'!M48</f>
        <v>0</v>
      </c>
      <c r="Q50" s="92">
        <f>'ABU DHABI OUT'!DP48-'ABU DHABI IN'!AY48</f>
        <v>0</v>
      </c>
      <c r="R50" s="93">
        <f t="shared" si="1"/>
        <v>50</v>
      </c>
      <c r="S50" s="96"/>
    </row>
    <row r="51" spans="1:20" ht="16.5" thickTop="1" thickBot="1" x14ac:dyDescent="0.3">
      <c r="A51" s="87">
        <f>SUBTOTAL(3,$B$7:B51)</f>
        <v>45</v>
      </c>
      <c r="B51" s="79">
        <v>3000000354</v>
      </c>
      <c r="C51" s="142" t="s">
        <v>57</v>
      </c>
      <c r="D51" s="79" t="s">
        <v>12</v>
      </c>
      <c r="E51" s="79" t="s">
        <v>630</v>
      </c>
      <c r="F51" s="90">
        <f>'YARD IN'!JU49-'YARD OUT'!CF49</f>
        <v>0</v>
      </c>
      <c r="G51" s="91">
        <f t="shared" si="0"/>
        <v>9</v>
      </c>
      <c r="H51" s="92">
        <f>'S019 JAFURRA OUT'!K49-'S019 JAFURRA IN'!I49</f>
        <v>0</v>
      </c>
      <c r="I51" s="92">
        <f>'S020 DAMMAM OUT'!S49-'S020 DAMMAM IN'!I49</f>
        <v>0</v>
      </c>
      <c r="J51" s="92">
        <f>'S015 JAFFURA OUT'!DE49-'S015 JAFFURA IN'!AG49</f>
        <v>9</v>
      </c>
      <c r="K51" s="92">
        <f>'S016 JAFFURA OUT'!N49-'S016 JAFFURA IN'!N49</f>
        <v>0</v>
      </c>
      <c r="L51" s="92">
        <f>'S013 MARJAN OUT'!YX49-'S013 MARJAN IN'!PY49</f>
        <v>0</v>
      </c>
      <c r="M51" s="92">
        <f>'S022 FADHALI OUT'!BW49-'S022 FADHALI IN'!N49</f>
        <v>0</v>
      </c>
      <c r="N51" s="92">
        <f>'S012 OYUN OUT'!AQ49-'S012 OYUN IN'!K49</f>
        <v>0</v>
      </c>
      <c r="O51" s="92">
        <f>'JAFFURA-NMP-01 OUT'!Y49-'JAFFURA-NMP-01 IN'!L49</f>
        <v>0</v>
      </c>
      <c r="P51" s="92">
        <f>'RENTAL MATERIAL OUT'!BM49-'RENTAL MATERIAL IN'!M49</f>
        <v>0</v>
      </c>
      <c r="Q51" s="92">
        <f>'ABU DHABI OUT'!DP49-'ABU DHABI IN'!AY49</f>
        <v>0</v>
      </c>
      <c r="R51" s="93">
        <f t="shared" si="1"/>
        <v>9</v>
      </c>
      <c r="S51" s="96">
        <v>6.1</v>
      </c>
    </row>
    <row r="52" spans="1:20" ht="16.5" thickTop="1" thickBot="1" x14ac:dyDescent="0.3">
      <c r="A52" s="87">
        <f>SUBTOTAL(3,$B$7:B52)</f>
        <v>46</v>
      </c>
      <c r="B52" s="79">
        <v>3000000355</v>
      </c>
      <c r="C52" s="142" t="s">
        <v>58</v>
      </c>
      <c r="D52" s="79" t="s">
        <v>12</v>
      </c>
      <c r="E52" s="79" t="s">
        <v>630</v>
      </c>
      <c r="F52" s="90">
        <f>'YARD IN'!JU50-'YARD OUT'!CF50</f>
        <v>0</v>
      </c>
      <c r="G52" s="91">
        <f t="shared" si="0"/>
        <v>3032</v>
      </c>
      <c r="H52" s="92">
        <f>'S019 JAFURRA OUT'!K50-'S019 JAFURRA IN'!I50</f>
        <v>0</v>
      </c>
      <c r="I52" s="92">
        <f>'S020 DAMMAM OUT'!S50-'S020 DAMMAM IN'!I50</f>
        <v>0</v>
      </c>
      <c r="J52" s="92">
        <f>'S015 JAFFURA OUT'!DE50-'S015 JAFFURA IN'!AG50</f>
        <v>3032</v>
      </c>
      <c r="K52" s="92">
        <f>'S016 JAFFURA OUT'!N50-'S016 JAFFURA IN'!N50</f>
        <v>0</v>
      </c>
      <c r="L52" s="92">
        <f>'S013 MARJAN OUT'!YX50-'S013 MARJAN IN'!PY50</f>
        <v>0</v>
      </c>
      <c r="M52" s="92">
        <f>'S022 FADHALI OUT'!BW50-'S022 FADHALI IN'!N50</f>
        <v>0</v>
      </c>
      <c r="N52" s="92">
        <f>'S012 OYUN OUT'!AQ50-'S012 OYUN IN'!K50</f>
        <v>0</v>
      </c>
      <c r="O52" s="92">
        <f>'JAFFURA-NMP-01 OUT'!Y50-'JAFFURA-NMP-01 IN'!L50</f>
        <v>0</v>
      </c>
      <c r="P52" s="92">
        <f>'RENTAL MATERIAL OUT'!BM50-'RENTAL MATERIAL IN'!M50</f>
        <v>0</v>
      </c>
      <c r="Q52" s="92">
        <f>'ABU DHABI OUT'!DP50-'ABU DHABI IN'!AY50</f>
        <v>0</v>
      </c>
      <c r="R52" s="93">
        <f t="shared" si="1"/>
        <v>3032</v>
      </c>
      <c r="S52" s="96">
        <v>0.32500000000000001</v>
      </c>
    </row>
    <row r="53" spans="1:20" ht="16.5" thickTop="1" thickBot="1" x14ac:dyDescent="0.3">
      <c r="A53" s="87">
        <f>SUBTOTAL(3,$B$7:B53)</f>
        <v>47</v>
      </c>
      <c r="B53" s="79">
        <v>3000000060</v>
      </c>
      <c r="C53" s="142" t="s">
        <v>295</v>
      </c>
      <c r="D53" s="79" t="s">
        <v>12</v>
      </c>
      <c r="E53" s="79" t="s">
        <v>630</v>
      </c>
      <c r="F53" s="90">
        <f>'YARD IN'!JU51-'YARD OUT'!CF51</f>
        <v>0</v>
      </c>
      <c r="G53" s="91">
        <f t="shared" si="0"/>
        <v>128</v>
      </c>
      <c r="H53" s="92">
        <f>'S019 JAFURRA OUT'!K51-'S019 JAFURRA IN'!I51</f>
        <v>0</v>
      </c>
      <c r="I53" s="92">
        <f>'S020 DAMMAM OUT'!S51-'S020 DAMMAM IN'!I51</f>
        <v>0</v>
      </c>
      <c r="J53" s="92">
        <f>'S015 JAFFURA OUT'!DE51-'S015 JAFFURA IN'!AG51</f>
        <v>128</v>
      </c>
      <c r="K53" s="92">
        <f>'S016 JAFFURA OUT'!N51-'S016 JAFFURA IN'!N51</f>
        <v>0</v>
      </c>
      <c r="L53" s="92">
        <f>'S013 MARJAN OUT'!YX51-'S013 MARJAN IN'!PY51</f>
        <v>0</v>
      </c>
      <c r="M53" s="92">
        <f>'S022 FADHALI OUT'!BW51-'S022 FADHALI IN'!N51</f>
        <v>0</v>
      </c>
      <c r="N53" s="92">
        <f>'S012 OYUN OUT'!AQ51-'S012 OYUN IN'!K51</f>
        <v>0</v>
      </c>
      <c r="O53" s="92">
        <f>'JAFFURA-NMP-01 OUT'!Y51-'JAFFURA-NMP-01 IN'!L51</f>
        <v>0</v>
      </c>
      <c r="P53" s="92">
        <f>'RENTAL MATERIAL OUT'!BM51-'RENTAL MATERIAL IN'!M51</f>
        <v>0</v>
      </c>
      <c r="Q53" s="92">
        <f>'ABU DHABI OUT'!DP51-'ABU DHABI IN'!AY51</f>
        <v>0</v>
      </c>
      <c r="R53" s="93">
        <f t="shared" si="1"/>
        <v>128</v>
      </c>
      <c r="S53" s="96">
        <v>5.8730000000000002</v>
      </c>
    </row>
    <row r="54" spans="1:20" ht="16.5" thickTop="1" thickBot="1" x14ac:dyDescent="0.3">
      <c r="A54" s="87">
        <f>SUBTOTAL(3,$B$7:B54)</f>
        <v>48</v>
      </c>
      <c r="B54" s="79">
        <v>3000000356</v>
      </c>
      <c r="C54" s="142" t="s">
        <v>60</v>
      </c>
      <c r="D54" s="79" t="s">
        <v>12</v>
      </c>
      <c r="E54" s="79" t="s">
        <v>630</v>
      </c>
      <c r="F54" s="90">
        <f>'YARD IN'!JU52-'YARD OUT'!CF52</f>
        <v>0</v>
      </c>
      <c r="G54" s="91">
        <f t="shared" si="0"/>
        <v>37</v>
      </c>
      <c r="H54" s="92">
        <f>'S019 JAFURRA OUT'!K52-'S019 JAFURRA IN'!I52</f>
        <v>0</v>
      </c>
      <c r="I54" s="92">
        <f>'S020 DAMMAM OUT'!S52-'S020 DAMMAM IN'!I52</f>
        <v>0</v>
      </c>
      <c r="J54" s="92">
        <f>'S015 JAFFURA OUT'!DE52-'S015 JAFFURA IN'!AG52</f>
        <v>37</v>
      </c>
      <c r="K54" s="92">
        <f>'S016 JAFFURA OUT'!N52-'S016 JAFFURA IN'!N52</f>
        <v>0</v>
      </c>
      <c r="L54" s="92">
        <f>'S013 MARJAN OUT'!YX52-'S013 MARJAN IN'!PY52</f>
        <v>0</v>
      </c>
      <c r="M54" s="92">
        <f>'S022 FADHALI OUT'!BW52-'S022 FADHALI IN'!N52</f>
        <v>0</v>
      </c>
      <c r="N54" s="92">
        <f>'S012 OYUN OUT'!AQ52-'S012 OYUN IN'!K52</f>
        <v>0</v>
      </c>
      <c r="O54" s="92">
        <f>'JAFFURA-NMP-01 OUT'!Y52-'JAFFURA-NMP-01 IN'!L52</f>
        <v>0</v>
      </c>
      <c r="P54" s="92">
        <f>'RENTAL MATERIAL OUT'!BM52-'RENTAL MATERIAL IN'!M52</f>
        <v>0</v>
      </c>
      <c r="Q54" s="92">
        <f>'ABU DHABI OUT'!DP52-'ABU DHABI IN'!AY52</f>
        <v>0</v>
      </c>
      <c r="R54" s="93">
        <f t="shared" si="1"/>
        <v>37</v>
      </c>
      <c r="S54" s="96">
        <v>4.5</v>
      </c>
    </row>
    <row r="55" spans="1:20" ht="16.5" thickTop="1" thickBot="1" x14ac:dyDescent="0.3">
      <c r="A55" s="87">
        <f>SUBTOTAL(3,$B$7:B55)</f>
        <v>49</v>
      </c>
      <c r="B55" s="79">
        <v>3000000353</v>
      </c>
      <c r="C55" s="142" t="s">
        <v>61</v>
      </c>
      <c r="D55" s="79" t="s">
        <v>12</v>
      </c>
      <c r="E55" s="79" t="s">
        <v>630</v>
      </c>
      <c r="F55" s="90">
        <f>'YARD IN'!JU53-'YARD OUT'!CF53</f>
        <v>0</v>
      </c>
      <c r="G55" s="91">
        <f t="shared" si="0"/>
        <v>366</v>
      </c>
      <c r="H55" s="92">
        <f>'S019 JAFURRA OUT'!K53-'S019 JAFURRA IN'!I53</f>
        <v>0</v>
      </c>
      <c r="I55" s="92">
        <f>'S020 DAMMAM OUT'!S53-'S020 DAMMAM IN'!I53</f>
        <v>0</v>
      </c>
      <c r="J55" s="92">
        <f>'S015 JAFFURA OUT'!DE53-'S015 JAFFURA IN'!AG53</f>
        <v>366</v>
      </c>
      <c r="K55" s="92">
        <f>'S016 JAFFURA OUT'!N53-'S016 JAFFURA IN'!N53</f>
        <v>0</v>
      </c>
      <c r="L55" s="92">
        <f>'S013 MARJAN OUT'!YX53-'S013 MARJAN IN'!PY53</f>
        <v>0</v>
      </c>
      <c r="M55" s="92">
        <f>'S022 FADHALI OUT'!BW53-'S022 FADHALI IN'!N53</f>
        <v>0</v>
      </c>
      <c r="N55" s="92">
        <f>'S012 OYUN OUT'!AQ53-'S012 OYUN IN'!K53</f>
        <v>0</v>
      </c>
      <c r="O55" s="92">
        <f>'JAFFURA-NMP-01 OUT'!Y53-'JAFFURA-NMP-01 IN'!L53</f>
        <v>0</v>
      </c>
      <c r="P55" s="92">
        <f>'RENTAL MATERIAL OUT'!BM53-'RENTAL MATERIAL IN'!M53</f>
        <v>0</v>
      </c>
      <c r="Q55" s="92">
        <f>'ABU DHABI OUT'!DP53-'ABU DHABI IN'!AY53</f>
        <v>0</v>
      </c>
      <c r="R55" s="93">
        <f t="shared" si="1"/>
        <v>366</v>
      </c>
      <c r="S55" s="96">
        <v>5.97</v>
      </c>
    </row>
    <row r="56" spans="1:20" ht="16.5" thickTop="1" thickBot="1" x14ac:dyDescent="0.3">
      <c r="A56" s="87">
        <f>SUBTOTAL(3,$B$7:B56)</f>
        <v>50</v>
      </c>
      <c r="B56" s="79">
        <v>3000000437</v>
      </c>
      <c r="C56" s="142" t="s">
        <v>62</v>
      </c>
      <c r="D56" s="79" t="s">
        <v>12</v>
      </c>
      <c r="E56" s="79" t="s">
        <v>629</v>
      </c>
      <c r="F56" s="90">
        <f>'YARD IN'!JU54-'YARD OUT'!CF54</f>
        <v>37840</v>
      </c>
      <c r="G56" s="91">
        <f t="shared" si="0"/>
        <v>69847</v>
      </c>
      <c r="H56" s="92">
        <f>'S019 JAFURRA OUT'!K54-'S019 JAFURRA IN'!I54</f>
        <v>140</v>
      </c>
      <c r="I56" s="92">
        <f>'S020 DAMMAM OUT'!S54-'S020 DAMMAM IN'!I54</f>
        <v>400</v>
      </c>
      <c r="J56" s="92">
        <f>'S015 JAFFURA OUT'!DE54-'S015 JAFFURA IN'!AG54</f>
        <v>10363</v>
      </c>
      <c r="K56" s="92">
        <f>'S016 JAFFURA OUT'!N54-'S016 JAFFURA IN'!N54</f>
        <v>0</v>
      </c>
      <c r="L56" s="92">
        <f>'S013 MARJAN OUT'!YX54-'S013 MARJAN IN'!PY54</f>
        <v>38428</v>
      </c>
      <c r="M56" s="92">
        <f>'S022 FADHALI OUT'!BW54-'S022 FADHALI IN'!N54</f>
        <v>9946</v>
      </c>
      <c r="N56" s="92">
        <f>'S012 OYUN OUT'!AQ54-'S012 OYUN IN'!K54</f>
        <v>1570</v>
      </c>
      <c r="O56" s="92">
        <f>'JAFFURA-NMP-01 OUT'!Y54-'JAFFURA-NMP-01 IN'!L54</f>
        <v>0</v>
      </c>
      <c r="P56" s="92">
        <f>'RENTAL MATERIAL OUT'!BM54-'RENTAL MATERIAL IN'!M54</f>
        <v>9000</v>
      </c>
      <c r="Q56" s="92">
        <f>'ABU DHABI OUT'!DP54-'ABU DHABI IN'!AY54</f>
        <v>16647</v>
      </c>
      <c r="R56" s="93">
        <f t="shared" si="1"/>
        <v>107687</v>
      </c>
      <c r="S56" s="96">
        <v>1.05</v>
      </c>
      <c r="T56" s="2">
        <f>+SUM(R56+Q56)</f>
        <v>124334</v>
      </c>
    </row>
    <row r="57" spans="1:20" ht="16.5" thickTop="1" thickBot="1" x14ac:dyDescent="0.3">
      <c r="A57" s="87">
        <f>SUBTOTAL(3,$B$7:B57)</f>
        <v>51</v>
      </c>
      <c r="B57" s="79">
        <v>1000005010</v>
      </c>
      <c r="C57" s="142" t="s">
        <v>63</v>
      </c>
      <c r="D57" s="79" t="s">
        <v>12</v>
      </c>
      <c r="E57" s="79" t="s">
        <v>630</v>
      </c>
      <c r="F57" s="90">
        <f>'YARD IN'!JU55-'YARD OUT'!CF55</f>
        <v>0</v>
      </c>
      <c r="G57" s="91">
        <f t="shared" si="0"/>
        <v>6</v>
      </c>
      <c r="H57" s="92">
        <f>'S019 JAFURRA OUT'!K55-'S019 JAFURRA IN'!I55</f>
        <v>0</v>
      </c>
      <c r="I57" s="92">
        <f>'S020 DAMMAM OUT'!S55-'S020 DAMMAM IN'!I55</f>
        <v>0</v>
      </c>
      <c r="J57" s="92">
        <f>'S015 JAFFURA OUT'!DE55-'S015 JAFFURA IN'!AG55</f>
        <v>6</v>
      </c>
      <c r="K57" s="92">
        <f>'S016 JAFFURA OUT'!N55-'S016 JAFFURA IN'!N55</f>
        <v>0</v>
      </c>
      <c r="L57" s="92">
        <f>'S013 MARJAN OUT'!YX55-'S013 MARJAN IN'!PY55</f>
        <v>0</v>
      </c>
      <c r="M57" s="92">
        <f>'S022 FADHALI OUT'!BW55-'S022 FADHALI IN'!N55</f>
        <v>0</v>
      </c>
      <c r="N57" s="92">
        <f>'S012 OYUN OUT'!AQ55-'S012 OYUN IN'!K55</f>
        <v>0</v>
      </c>
      <c r="O57" s="92">
        <f>'JAFFURA-NMP-01 OUT'!Y55-'JAFFURA-NMP-01 IN'!L55</f>
        <v>0</v>
      </c>
      <c r="P57" s="92">
        <f>'RENTAL MATERIAL OUT'!BM55-'RENTAL MATERIAL IN'!M55</f>
        <v>0</v>
      </c>
      <c r="Q57" s="92">
        <f>'ABU DHABI OUT'!DP55-'ABU DHABI IN'!AY55</f>
        <v>0</v>
      </c>
      <c r="R57" s="93">
        <f t="shared" si="1"/>
        <v>6</v>
      </c>
      <c r="S57" s="96">
        <v>7.45</v>
      </c>
    </row>
    <row r="58" spans="1:20" ht="16.5" thickTop="1" thickBot="1" x14ac:dyDescent="0.3">
      <c r="A58" s="87">
        <f>SUBTOTAL(3,$B$7:B58)</f>
        <v>52</v>
      </c>
      <c r="B58" s="79">
        <v>1000005004</v>
      </c>
      <c r="C58" s="142" t="s">
        <v>64</v>
      </c>
      <c r="D58" s="79" t="s">
        <v>12</v>
      </c>
      <c r="E58" s="79" t="s">
        <v>630</v>
      </c>
      <c r="F58" s="90">
        <f>'YARD IN'!JU56-'YARD OUT'!CF56</f>
        <v>0</v>
      </c>
      <c r="G58" s="91">
        <f t="shared" si="0"/>
        <v>168</v>
      </c>
      <c r="H58" s="92">
        <f>'S019 JAFURRA OUT'!K56-'S019 JAFURRA IN'!I56</f>
        <v>0</v>
      </c>
      <c r="I58" s="92">
        <f>'S020 DAMMAM OUT'!S56-'S020 DAMMAM IN'!I56</f>
        <v>0</v>
      </c>
      <c r="J58" s="92">
        <f>'S015 JAFFURA OUT'!DE56-'S015 JAFFURA IN'!AG56</f>
        <v>168</v>
      </c>
      <c r="K58" s="92">
        <f>'S016 JAFFURA OUT'!N56-'S016 JAFFURA IN'!N56</f>
        <v>0</v>
      </c>
      <c r="L58" s="92">
        <f>'S013 MARJAN OUT'!YX56-'S013 MARJAN IN'!PY56</f>
        <v>0</v>
      </c>
      <c r="M58" s="92">
        <f>'S022 FADHALI OUT'!BW56-'S022 FADHALI IN'!N56</f>
        <v>0</v>
      </c>
      <c r="N58" s="92">
        <f>'S012 OYUN OUT'!AQ56-'S012 OYUN IN'!K56</f>
        <v>0</v>
      </c>
      <c r="O58" s="92">
        <f>'JAFFURA-NMP-01 OUT'!Y56-'JAFFURA-NMP-01 IN'!L56</f>
        <v>0</v>
      </c>
      <c r="P58" s="92">
        <f>'RENTAL MATERIAL OUT'!BM56-'RENTAL MATERIAL IN'!M56</f>
        <v>0</v>
      </c>
      <c r="Q58" s="92">
        <f>'ABU DHABI OUT'!DP56-'ABU DHABI IN'!AY56</f>
        <v>0</v>
      </c>
      <c r="R58" s="93">
        <f t="shared" si="1"/>
        <v>168</v>
      </c>
      <c r="S58" s="96">
        <v>1.23</v>
      </c>
    </row>
    <row r="59" spans="1:20" ht="16.5" thickTop="1" thickBot="1" x14ac:dyDescent="0.3">
      <c r="A59" s="87">
        <f>SUBTOTAL(3,$B$7:B59)</f>
        <v>53</v>
      </c>
      <c r="B59" s="79">
        <v>1000005006</v>
      </c>
      <c r="C59" s="142" t="s">
        <v>65</v>
      </c>
      <c r="D59" s="79" t="s">
        <v>12</v>
      </c>
      <c r="E59" s="79" t="s">
        <v>630</v>
      </c>
      <c r="F59" s="90">
        <f>'YARD IN'!JU57-'YARD OUT'!CF57</f>
        <v>0</v>
      </c>
      <c r="G59" s="91">
        <f t="shared" si="0"/>
        <v>67</v>
      </c>
      <c r="H59" s="92">
        <f>'S019 JAFURRA OUT'!K57-'S019 JAFURRA IN'!I57</f>
        <v>0</v>
      </c>
      <c r="I59" s="92">
        <f>'S020 DAMMAM OUT'!S57-'S020 DAMMAM IN'!I57</f>
        <v>0</v>
      </c>
      <c r="J59" s="92">
        <f>'S015 JAFFURA OUT'!DE57-'S015 JAFFURA IN'!AG57</f>
        <v>67</v>
      </c>
      <c r="K59" s="92">
        <f>'S016 JAFFURA OUT'!N57-'S016 JAFFURA IN'!N57</f>
        <v>0</v>
      </c>
      <c r="L59" s="92">
        <f>'S013 MARJAN OUT'!YX57-'S013 MARJAN IN'!PY57</f>
        <v>0</v>
      </c>
      <c r="M59" s="92">
        <f>'S022 FADHALI OUT'!BW57-'S022 FADHALI IN'!N57</f>
        <v>0</v>
      </c>
      <c r="N59" s="92">
        <f>'S012 OYUN OUT'!AQ57-'S012 OYUN IN'!K57</f>
        <v>0</v>
      </c>
      <c r="O59" s="92">
        <f>'JAFFURA-NMP-01 OUT'!Y57-'JAFFURA-NMP-01 IN'!L57</f>
        <v>0</v>
      </c>
      <c r="P59" s="92">
        <f>'RENTAL MATERIAL OUT'!BM57-'RENTAL MATERIAL IN'!M57</f>
        <v>0</v>
      </c>
      <c r="Q59" s="92">
        <f>'ABU DHABI OUT'!DP57-'ABU DHABI IN'!AY57</f>
        <v>0</v>
      </c>
      <c r="R59" s="93">
        <f t="shared" si="1"/>
        <v>67</v>
      </c>
      <c r="S59" s="96">
        <v>1.36</v>
      </c>
    </row>
    <row r="60" spans="1:20" ht="16.5" thickTop="1" thickBot="1" x14ac:dyDescent="0.3">
      <c r="A60" s="87">
        <f>SUBTOTAL(3,$B$7:B60)</f>
        <v>54</v>
      </c>
      <c r="B60" s="79">
        <v>1000005005</v>
      </c>
      <c r="C60" s="142" t="s">
        <v>66</v>
      </c>
      <c r="D60" s="79" t="s">
        <v>12</v>
      </c>
      <c r="E60" s="79" t="s">
        <v>630</v>
      </c>
      <c r="F60" s="90">
        <f>'YARD IN'!JU58-'YARD OUT'!CF58</f>
        <v>0</v>
      </c>
      <c r="G60" s="91">
        <f t="shared" si="0"/>
        <v>350</v>
      </c>
      <c r="H60" s="92">
        <f>'S019 JAFURRA OUT'!K58-'S019 JAFURRA IN'!I58</f>
        <v>0</v>
      </c>
      <c r="I60" s="92">
        <f>'S020 DAMMAM OUT'!S58-'S020 DAMMAM IN'!I58</f>
        <v>0</v>
      </c>
      <c r="J60" s="92">
        <f>'S015 JAFFURA OUT'!DE58-'S015 JAFFURA IN'!AG58</f>
        <v>350</v>
      </c>
      <c r="K60" s="92">
        <f>'S016 JAFFURA OUT'!N58-'S016 JAFFURA IN'!N58</f>
        <v>0</v>
      </c>
      <c r="L60" s="92">
        <f>'S013 MARJAN OUT'!YX58-'S013 MARJAN IN'!PY58</f>
        <v>0</v>
      </c>
      <c r="M60" s="92">
        <f>'S022 FADHALI OUT'!BW58-'S022 FADHALI IN'!N58</f>
        <v>0</v>
      </c>
      <c r="N60" s="92">
        <f>'S012 OYUN OUT'!AQ58-'S012 OYUN IN'!K58</f>
        <v>0</v>
      </c>
      <c r="O60" s="92">
        <f>'JAFFURA-NMP-01 OUT'!Y58-'JAFFURA-NMP-01 IN'!L58</f>
        <v>0</v>
      </c>
      <c r="P60" s="92">
        <f>'RENTAL MATERIAL OUT'!BM58-'RENTAL MATERIAL IN'!M58</f>
        <v>0</v>
      </c>
      <c r="Q60" s="92">
        <f>'ABU DHABI OUT'!DP58-'ABU DHABI IN'!AY58</f>
        <v>0</v>
      </c>
      <c r="R60" s="93">
        <f t="shared" si="1"/>
        <v>350</v>
      </c>
      <c r="S60" s="96">
        <v>0.43</v>
      </c>
    </row>
    <row r="61" spans="1:20" ht="16.5" thickTop="1" thickBot="1" x14ac:dyDescent="0.3">
      <c r="A61" s="87">
        <f>SUBTOTAL(3,$B$7:B61)</f>
        <v>55</v>
      </c>
      <c r="B61" s="79">
        <v>1000006424</v>
      </c>
      <c r="C61" s="142" t="s">
        <v>67</v>
      </c>
      <c r="D61" s="79" t="s">
        <v>12</v>
      </c>
      <c r="E61" s="79" t="s">
        <v>630</v>
      </c>
      <c r="F61" s="90">
        <f>'YARD IN'!JU59-'YARD OUT'!CF59</f>
        <v>0</v>
      </c>
      <c r="G61" s="91">
        <f t="shared" si="0"/>
        <v>84</v>
      </c>
      <c r="H61" s="92">
        <f>'S019 JAFURRA OUT'!K59-'S019 JAFURRA IN'!I59</f>
        <v>0</v>
      </c>
      <c r="I61" s="92">
        <f>'S020 DAMMAM OUT'!S59-'S020 DAMMAM IN'!I59</f>
        <v>0</v>
      </c>
      <c r="J61" s="92">
        <f>'S015 JAFFURA OUT'!DE59-'S015 JAFFURA IN'!AG59</f>
        <v>84</v>
      </c>
      <c r="K61" s="92">
        <f>'S016 JAFFURA OUT'!N59-'S016 JAFFURA IN'!N59</f>
        <v>0</v>
      </c>
      <c r="L61" s="92">
        <f>'S013 MARJAN OUT'!YX59-'S013 MARJAN IN'!PY59</f>
        <v>0</v>
      </c>
      <c r="M61" s="92">
        <f>'S022 FADHALI OUT'!BW59-'S022 FADHALI IN'!N59</f>
        <v>0</v>
      </c>
      <c r="N61" s="92">
        <f>'S012 OYUN OUT'!AQ59-'S012 OYUN IN'!K59</f>
        <v>0</v>
      </c>
      <c r="O61" s="92">
        <f>'JAFFURA-NMP-01 OUT'!Y59-'JAFFURA-NMP-01 IN'!L59</f>
        <v>0</v>
      </c>
      <c r="P61" s="92">
        <f>'RENTAL MATERIAL OUT'!BM59-'RENTAL MATERIAL IN'!M59</f>
        <v>0</v>
      </c>
      <c r="Q61" s="92">
        <f>'ABU DHABI OUT'!DP59-'ABU DHABI IN'!AY59</f>
        <v>0</v>
      </c>
      <c r="R61" s="93">
        <f t="shared" si="1"/>
        <v>84</v>
      </c>
      <c r="S61" s="96"/>
    </row>
    <row r="62" spans="1:20" ht="16.5" thickTop="1" thickBot="1" x14ac:dyDescent="0.3">
      <c r="A62" s="87">
        <f>SUBTOTAL(3,$B$7:B62)</f>
        <v>56</v>
      </c>
      <c r="B62" s="79">
        <v>1000005009</v>
      </c>
      <c r="C62" s="142" t="s">
        <v>68</v>
      </c>
      <c r="D62" s="79" t="s">
        <v>12</v>
      </c>
      <c r="E62" s="79" t="s">
        <v>630</v>
      </c>
      <c r="F62" s="90">
        <f>'YARD IN'!JU60-'YARD OUT'!CF60</f>
        <v>0</v>
      </c>
      <c r="G62" s="91">
        <f t="shared" si="0"/>
        <v>63</v>
      </c>
      <c r="H62" s="92">
        <f>'S019 JAFURRA OUT'!K60-'S019 JAFURRA IN'!I60</f>
        <v>0</v>
      </c>
      <c r="I62" s="92">
        <f>'S020 DAMMAM OUT'!S60-'S020 DAMMAM IN'!I60</f>
        <v>0</v>
      </c>
      <c r="J62" s="92">
        <f>'S015 JAFFURA OUT'!DE60-'S015 JAFFURA IN'!AG60</f>
        <v>63</v>
      </c>
      <c r="K62" s="92">
        <f>'S016 JAFFURA OUT'!N60-'S016 JAFFURA IN'!N60</f>
        <v>0</v>
      </c>
      <c r="L62" s="92">
        <f>'S013 MARJAN OUT'!YX60-'S013 MARJAN IN'!PY60</f>
        <v>0</v>
      </c>
      <c r="M62" s="92">
        <f>'S022 FADHALI OUT'!BW60-'S022 FADHALI IN'!N60</f>
        <v>0</v>
      </c>
      <c r="N62" s="92">
        <f>'S012 OYUN OUT'!AQ60-'S012 OYUN IN'!K60</f>
        <v>0</v>
      </c>
      <c r="O62" s="92">
        <f>'JAFFURA-NMP-01 OUT'!Y60-'JAFFURA-NMP-01 IN'!L60</f>
        <v>0</v>
      </c>
      <c r="P62" s="92">
        <f>'RENTAL MATERIAL OUT'!BM60-'RENTAL MATERIAL IN'!M60</f>
        <v>0</v>
      </c>
      <c r="Q62" s="92">
        <f>'ABU DHABI OUT'!DP60-'ABU DHABI IN'!AY60</f>
        <v>0</v>
      </c>
      <c r="R62" s="93">
        <f t="shared" si="1"/>
        <v>63</v>
      </c>
      <c r="S62" s="96">
        <v>1.1000000000000001</v>
      </c>
    </row>
    <row r="63" spans="1:20" ht="16.5" thickTop="1" thickBot="1" x14ac:dyDescent="0.3">
      <c r="A63" s="87">
        <f>SUBTOTAL(3,$B$7:B63)</f>
        <v>57</v>
      </c>
      <c r="B63" s="79">
        <v>1000005008</v>
      </c>
      <c r="C63" s="142" t="s">
        <v>69</v>
      </c>
      <c r="D63" s="79" t="s">
        <v>12</v>
      </c>
      <c r="E63" s="79" t="s">
        <v>630</v>
      </c>
      <c r="F63" s="90">
        <f>'YARD IN'!JU61-'YARD OUT'!CF61</f>
        <v>0</v>
      </c>
      <c r="G63" s="91">
        <f t="shared" si="0"/>
        <v>26</v>
      </c>
      <c r="H63" s="92">
        <f>'S019 JAFURRA OUT'!K61-'S019 JAFURRA IN'!I61</f>
        <v>0</v>
      </c>
      <c r="I63" s="92">
        <f>'S020 DAMMAM OUT'!S61-'S020 DAMMAM IN'!I61</f>
        <v>0</v>
      </c>
      <c r="J63" s="92">
        <f>'S015 JAFFURA OUT'!DE61-'S015 JAFFURA IN'!AG61</f>
        <v>26</v>
      </c>
      <c r="K63" s="92">
        <f>'S016 JAFFURA OUT'!N61-'S016 JAFFURA IN'!N61</f>
        <v>0</v>
      </c>
      <c r="L63" s="92">
        <f>'S013 MARJAN OUT'!YX61-'S013 MARJAN IN'!PY61</f>
        <v>0</v>
      </c>
      <c r="M63" s="92">
        <f>'S022 FADHALI OUT'!BW61-'S022 FADHALI IN'!N61</f>
        <v>0</v>
      </c>
      <c r="N63" s="92">
        <f>'S012 OYUN OUT'!AQ61-'S012 OYUN IN'!K61</f>
        <v>0</v>
      </c>
      <c r="O63" s="92">
        <f>'JAFFURA-NMP-01 OUT'!Y61-'JAFFURA-NMP-01 IN'!L61</f>
        <v>0</v>
      </c>
      <c r="P63" s="92">
        <f>'RENTAL MATERIAL OUT'!BM61-'RENTAL MATERIAL IN'!M61</f>
        <v>0</v>
      </c>
      <c r="Q63" s="92">
        <f>'ABU DHABI OUT'!DP61-'ABU DHABI IN'!AY61</f>
        <v>0</v>
      </c>
      <c r="R63" s="93">
        <f t="shared" si="1"/>
        <v>26</v>
      </c>
      <c r="S63" s="96">
        <v>7.7</v>
      </c>
    </row>
    <row r="64" spans="1:20" ht="16.5" thickTop="1" thickBot="1" x14ac:dyDescent="0.3">
      <c r="A64" s="87">
        <f>SUBTOTAL(3,$B$7:B64)</f>
        <v>58</v>
      </c>
      <c r="B64" s="79">
        <v>1000005007</v>
      </c>
      <c r="C64" s="142" t="s">
        <v>70</v>
      </c>
      <c r="D64" s="79" t="s">
        <v>12</v>
      </c>
      <c r="E64" s="79" t="s">
        <v>630</v>
      </c>
      <c r="F64" s="90">
        <f>'YARD IN'!JU62-'YARD OUT'!CF62</f>
        <v>0</v>
      </c>
      <c r="G64" s="91">
        <f t="shared" si="0"/>
        <v>224</v>
      </c>
      <c r="H64" s="92">
        <f>'S019 JAFURRA OUT'!K62-'S019 JAFURRA IN'!I62</f>
        <v>0</v>
      </c>
      <c r="I64" s="92">
        <f>'S020 DAMMAM OUT'!S62-'S020 DAMMAM IN'!I62</f>
        <v>0</v>
      </c>
      <c r="J64" s="92">
        <f>'S015 JAFFURA OUT'!DE62-'S015 JAFFURA IN'!AG62</f>
        <v>224</v>
      </c>
      <c r="K64" s="92">
        <f>'S016 JAFFURA OUT'!N62-'S016 JAFFURA IN'!N62</f>
        <v>0</v>
      </c>
      <c r="L64" s="92">
        <f>'S013 MARJAN OUT'!YX62-'S013 MARJAN IN'!PY62</f>
        <v>0</v>
      </c>
      <c r="M64" s="92">
        <f>'S022 FADHALI OUT'!BW62-'S022 FADHALI IN'!N62</f>
        <v>0</v>
      </c>
      <c r="N64" s="92">
        <f>'S012 OYUN OUT'!AQ62-'S012 OYUN IN'!K62</f>
        <v>0</v>
      </c>
      <c r="O64" s="92">
        <f>'JAFFURA-NMP-01 OUT'!Y62-'JAFFURA-NMP-01 IN'!L62</f>
        <v>0</v>
      </c>
      <c r="P64" s="92">
        <f>'RENTAL MATERIAL OUT'!BM62-'RENTAL MATERIAL IN'!M62</f>
        <v>0</v>
      </c>
      <c r="Q64" s="92">
        <f>'ABU DHABI OUT'!DP62-'ABU DHABI IN'!AY62</f>
        <v>0</v>
      </c>
      <c r="R64" s="93">
        <f t="shared" si="1"/>
        <v>224</v>
      </c>
      <c r="S64" s="96">
        <v>0.98</v>
      </c>
    </row>
    <row r="65" spans="1:20" ht="16.5" thickTop="1" thickBot="1" x14ac:dyDescent="0.3">
      <c r="A65" s="87">
        <f>SUBTOTAL(3,$B$7:B65)</f>
        <v>59</v>
      </c>
      <c r="B65" s="79">
        <v>1000005003</v>
      </c>
      <c r="C65" s="142" t="s">
        <v>71</v>
      </c>
      <c r="D65" s="79" t="s">
        <v>12</v>
      </c>
      <c r="E65" s="79" t="s">
        <v>630</v>
      </c>
      <c r="F65" s="90">
        <f>'YARD IN'!JU63-'YARD OUT'!CF63</f>
        <v>20</v>
      </c>
      <c r="G65" s="91">
        <f t="shared" si="0"/>
        <v>0</v>
      </c>
      <c r="H65" s="92">
        <f>'S019 JAFURRA OUT'!K63-'S019 JAFURRA IN'!I63</f>
        <v>0</v>
      </c>
      <c r="I65" s="92">
        <f>'S020 DAMMAM OUT'!S63-'S020 DAMMAM IN'!I63</f>
        <v>0</v>
      </c>
      <c r="J65" s="92">
        <f>'S015 JAFFURA OUT'!DE63-'S015 JAFFURA IN'!AG63</f>
        <v>0</v>
      </c>
      <c r="K65" s="92">
        <f>'S016 JAFFURA OUT'!N63-'S016 JAFFURA IN'!N63</f>
        <v>0</v>
      </c>
      <c r="L65" s="92">
        <f>'S013 MARJAN OUT'!YX63-'S013 MARJAN IN'!PY63</f>
        <v>0</v>
      </c>
      <c r="M65" s="92">
        <f>'S022 FADHALI OUT'!BW63-'S022 FADHALI IN'!N63</f>
        <v>0</v>
      </c>
      <c r="N65" s="92">
        <f>'S012 OYUN OUT'!AQ63-'S012 OYUN IN'!K63</f>
        <v>0</v>
      </c>
      <c r="O65" s="92">
        <f>'JAFFURA-NMP-01 OUT'!Y63-'JAFFURA-NMP-01 IN'!L63</f>
        <v>0</v>
      </c>
      <c r="P65" s="92">
        <f>'RENTAL MATERIAL OUT'!BM63-'RENTAL MATERIAL IN'!M63</f>
        <v>0</v>
      </c>
      <c r="Q65" s="92">
        <f>'ABU DHABI OUT'!DP63-'ABU DHABI IN'!AY63</f>
        <v>0</v>
      </c>
      <c r="R65" s="93">
        <f t="shared" si="1"/>
        <v>20</v>
      </c>
      <c r="S65" s="135">
        <v>41.3</v>
      </c>
    </row>
    <row r="66" spans="1:20" ht="16.5" thickTop="1" thickBot="1" x14ac:dyDescent="0.3">
      <c r="A66" s="87">
        <f>SUBTOTAL(3,$B$7:B66)</f>
        <v>60</v>
      </c>
      <c r="B66" s="79">
        <v>1000005001</v>
      </c>
      <c r="C66" s="142" t="s">
        <v>72</v>
      </c>
      <c r="D66" s="79" t="s">
        <v>12</v>
      </c>
      <c r="E66" s="79" t="s">
        <v>630</v>
      </c>
      <c r="F66" s="90">
        <f>'YARD IN'!JU64-'YARD OUT'!CF64</f>
        <v>20</v>
      </c>
      <c r="G66" s="91">
        <f t="shared" si="0"/>
        <v>0</v>
      </c>
      <c r="H66" s="92">
        <f>'S019 JAFURRA OUT'!K64-'S019 JAFURRA IN'!I64</f>
        <v>0</v>
      </c>
      <c r="I66" s="92">
        <f>'S020 DAMMAM OUT'!S64-'S020 DAMMAM IN'!I64</f>
        <v>0</v>
      </c>
      <c r="J66" s="92">
        <f>'S015 JAFFURA OUT'!DE64-'S015 JAFFURA IN'!AG64</f>
        <v>0</v>
      </c>
      <c r="K66" s="92">
        <f>'S016 JAFFURA OUT'!N64-'S016 JAFFURA IN'!N64</f>
        <v>0</v>
      </c>
      <c r="L66" s="92">
        <f>'S013 MARJAN OUT'!YX64-'S013 MARJAN IN'!PY64</f>
        <v>0</v>
      </c>
      <c r="M66" s="92">
        <f>'S022 FADHALI OUT'!BW64-'S022 FADHALI IN'!N64</f>
        <v>0</v>
      </c>
      <c r="N66" s="92">
        <f>'S012 OYUN OUT'!AQ64-'S012 OYUN IN'!K64</f>
        <v>0</v>
      </c>
      <c r="O66" s="92">
        <f>'JAFFURA-NMP-01 OUT'!Y64-'JAFFURA-NMP-01 IN'!L64</f>
        <v>0</v>
      </c>
      <c r="P66" s="92">
        <f>'RENTAL MATERIAL OUT'!BM64-'RENTAL MATERIAL IN'!M64</f>
        <v>0</v>
      </c>
      <c r="Q66" s="92">
        <f>'ABU DHABI OUT'!DP64-'ABU DHABI IN'!AY64</f>
        <v>0</v>
      </c>
      <c r="R66" s="93">
        <f t="shared" si="1"/>
        <v>20</v>
      </c>
      <c r="S66" s="135">
        <v>76.5</v>
      </c>
    </row>
    <row r="67" spans="1:20" ht="16.5" thickTop="1" thickBot="1" x14ac:dyDescent="0.3">
      <c r="A67" s="87">
        <f>SUBTOTAL(3,$B$7:B67)</f>
        <v>61</v>
      </c>
      <c r="B67" s="79">
        <v>1000005002</v>
      </c>
      <c r="C67" s="142" t="s">
        <v>73</v>
      </c>
      <c r="D67" s="79" t="s">
        <v>12</v>
      </c>
      <c r="E67" s="79" t="s">
        <v>630</v>
      </c>
      <c r="F67" s="90">
        <f>'YARD IN'!JU65-'YARD OUT'!CF65</f>
        <v>42</v>
      </c>
      <c r="G67" s="91">
        <f t="shared" si="0"/>
        <v>0</v>
      </c>
      <c r="H67" s="92">
        <f>'S019 JAFURRA OUT'!K65-'S019 JAFURRA IN'!I65</f>
        <v>0</v>
      </c>
      <c r="I67" s="92">
        <f>'S020 DAMMAM OUT'!S65-'S020 DAMMAM IN'!I65</f>
        <v>0</v>
      </c>
      <c r="J67" s="92">
        <f>'S015 JAFFURA OUT'!DE65-'S015 JAFFURA IN'!AG65</f>
        <v>0</v>
      </c>
      <c r="K67" s="92">
        <f>'S016 JAFFURA OUT'!N65-'S016 JAFFURA IN'!N65</f>
        <v>0</v>
      </c>
      <c r="L67" s="92">
        <f>'S013 MARJAN OUT'!YX65-'S013 MARJAN IN'!PY65</f>
        <v>0</v>
      </c>
      <c r="M67" s="92">
        <f>'S022 FADHALI OUT'!BW65-'S022 FADHALI IN'!N65</f>
        <v>0</v>
      </c>
      <c r="N67" s="92">
        <f>'S012 OYUN OUT'!AQ65-'S012 OYUN IN'!K65</f>
        <v>0</v>
      </c>
      <c r="O67" s="92">
        <f>'JAFFURA-NMP-01 OUT'!Y65-'JAFFURA-NMP-01 IN'!L65</f>
        <v>0</v>
      </c>
      <c r="P67" s="92">
        <f>'RENTAL MATERIAL OUT'!BM65-'RENTAL MATERIAL IN'!M65</f>
        <v>0</v>
      </c>
      <c r="Q67" s="92">
        <f>'ABU DHABI OUT'!DP65-'ABU DHABI IN'!AY65</f>
        <v>0</v>
      </c>
      <c r="R67" s="93">
        <f t="shared" si="1"/>
        <v>42</v>
      </c>
      <c r="S67" s="135">
        <v>46.5</v>
      </c>
    </row>
    <row r="68" spans="1:20" ht="16.5" thickTop="1" thickBot="1" x14ac:dyDescent="0.3">
      <c r="A68" s="87">
        <f>SUBTOTAL(3,$B$7:B68)</f>
        <v>62</v>
      </c>
      <c r="B68" s="79">
        <v>1000005000</v>
      </c>
      <c r="C68" s="142" t="s">
        <v>74</v>
      </c>
      <c r="D68" s="79" t="s">
        <v>12</v>
      </c>
      <c r="E68" s="79" t="s">
        <v>630</v>
      </c>
      <c r="F68" s="90">
        <f>'YARD IN'!JU66-'YARD OUT'!CF66</f>
        <v>42</v>
      </c>
      <c r="G68" s="91">
        <f t="shared" si="0"/>
        <v>0</v>
      </c>
      <c r="H68" s="92">
        <f>'S019 JAFURRA OUT'!K66-'S019 JAFURRA IN'!I66</f>
        <v>0</v>
      </c>
      <c r="I68" s="92">
        <f>'S020 DAMMAM OUT'!S66-'S020 DAMMAM IN'!I66</f>
        <v>0</v>
      </c>
      <c r="J68" s="92">
        <f>'S015 JAFFURA OUT'!DE66-'S015 JAFFURA IN'!AG66</f>
        <v>0</v>
      </c>
      <c r="K68" s="92">
        <f>'S016 JAFFURA OUT'!N66-'S016 JAFFURA IN'!N66</f>
        <v>0</v>
      </c>
      <c r="L68" s="92">
        <f>'S013 MARJAN OUT'!YX66-'S013 MARJAN IN'!PY66</f>
        <v>0</v>
      </c>
      <c r="M68" s="92">
        <f>'S022 FADHALI OUT'!BW66-'S022 FADHALI IN'!N66</f>
        <v>0</v>
      </c>
      <c r="N68" s="92">
        <f>'S012 OYUN OUT'!AQ66-'S012 OYUN IN'!K66</f>
        <v>0</v>
      </c>
      <c r="O68" s="92">
        <f>'JAFFURA-NMP-01 OUT'!Y66-'JAFFURA-NMP-01 IN'!L66</f>
        <v>0</v>
      </c>
      <c r="P68" s="92">
        <f>'RENTAL MATERIAL OUT'!BM66-'RENTAL MATERIAL IN'!M66</f>
        <v>0</v>
      </c>
      <c r="Q68" s="92">
        <f>'ABU DHABI OUT'!DP66-'ABU DHABI IN'!AY66</f>
        <v>0</v>
      </c>
      <c r="R68" s="93">
        <f t="shared" si="1"/>
        <v>42</v>
      </c>
      <c r="S68" s="135">
        <v>86.5</v>
      </c>
    </row>
    <row r="69" spans="1:20" ht="16.5" thickTop="1" thickBot="1" x14ac:dyDescent="0.3">
      <c r="A69" s="87">
        <f>SUBTOTAL(3,$B$7:B69)</f>
        <v>63</v>
      </c>
      <c r="B69" s="79">
        <v>3000002340</v>
      </c>
      <c r="C69" s="142" t="s">
        <v>75</v>
      </c>
      <c r="D69" s="79" t="s">
        <v>12</v>
      </c>
      <c r="E69" s="79" t="s">
        <v>629</v>
      </c>
      <c r="F69" s="90">
        <f>'YARD IN'!JU67-'YARD OUT'!CF67</f>
        <v>1481</v>
      </c>
      <c r="G69" s="91">
        <f t="shared" si="0"/>
        <v>24765</v>
      </c>
      <c r="H69" s="92">
        <f>'S019 JAFURRA OUT'!K67-'S019 JAFURRA IN'!I67</f>
        <v>175</v>
      </c>
      <c r="I69" s="92">
        <f>'S020 DAMMAM OUT'!S67-'S020 DAMMAM IN'!I67</f>
        <v>110</v>
      </c>
      <c r="J69" s="92">
        <f>'S015 JAFFURA OUT'!DE67-'S015 JAFFURA IN'!AG67</f>
        <v>514</v>
      </c>
      <c r="K69" s="92">
        <f>'S016 JAFFURA OUT'!N67-'S016 JAFFURA IN'!N67</f>
        <v>0</v>
      </c>
      <c r="L69" s="92">
        <f>'S013 MARJAN OUT'!YX67-'S013 MARJAN IN'!PY67</f>
        <v>16696</v>
      </c>
      <c r="M69" s="92">
        <f>'S022 FADHALI OUT'!BW67-'S022 FADHALI IN'!N67</f>
        <v>2450</v>
      </c>
      <c r="N69" s="92">
        <f>'S012 OYUN OUT'!AQ67-'S012 OYUN IN'!K67</f>
        <v>278</v>
      </c>
      <c r="O69" s="92">
        <f>'JAFFURA-NMP-01 OUT'!Y67-'JAFFURA-NMP-01 IN'!L67</f>
        <v>0</v>
      </c>
      <c r="P69" s="92">
        <f>'RENTAL MATERIAL OUT'!BM67-'RENTAL MATERIAL IN'!M67</f>
        <v>4542</v>
      </c>
      <c r="Q69" s="92">
        <f>'ABU DHABI OUT'!DP67-'ABU DHABI IN'!AY67</f>
        <v>5844</v>
      </c>
      <c r="R69" s="93">
        <f t="shared" si="1"/>
        <v>26246</v>
      </c>
      <c r="S69" s="96">
        <v>5.36</v>
      </c>
      <c r="T69" s="2">
        <f t="shared" ref="T69:T76" si="3">+SUM(R69+Q69)</f>
        <v>32090</v>
      </c>
    </row>
    <row r="70" spans="1:20" ht="16.5" thickTop="1" thickBot="1" x14ac:dyDescent="0.3">
      <c r="A70" s="87">
        <f>SUBTOTAL(3,$B$7:B70)</f>
        <v>64</v>
      </c>
      <c r="B70" s="79">
        <v>3000001211</v>
      </c>
      <c r="C70" s="142" t="s">
        <v>76</v>
      </c>
      <c r="D70" s="79" t="s">
        <v>12</v>
      </c>
      <c r="E70" s="79" t="s">
        <v>629</v>
      </c>
      <c r="F70" s="90">
        <f>'YARD IN'!JU68-'YARD OUT'!CF68</f>
        <v>386</v>
      </c>
      <c r="G70" s="91">
        <f t="shared" si="0"/>
        <v>861</v>
      </c>
      <c r="H70" s="92">
        <f>'S019 JAFURRA OUT'!K68-'S019 JAFURRA IN'!I68</f>
        <v>0</v>
      </c>
      <c r="I70" s="92">
        <f>'S020 DAMMAM OUT'!S68-'S020 DAMMAM IN'!I68</f>
        <v>14</v>
      </c>
      <c r="J70" s="92">
        <f>'S015 JAFFURA OUT'!DE68-'S015 JAFFURA IN'!AG68</f>
        <v>299</v>
      </c>
      <c r="K70" s="92">
        <f>'S016 JAFFURA OUT'!N68-'S016 JAFFURA IN'!N68</f>
        <v>0</v>
      </c>
      <c r="L70" s="92">
        <f>'S013 MARJAN OUT'!YX68-'S013 MARJAN IN'!PY68</f>
        <v>406</v>
      </c>
      <c r="M70" s="92">
        <f>'S022 FADHALI OUT'!BW68-'S022 FADHALI IN'!N68</f>
        <v>42</v>
      </c>
      <c r="N70" s="92">
        <f>'S012 OYUN OUT'!AQ68-'S012 OYUN IN'!K68</f>
        <v>0</v>
      </c>
      <c r="O70" s="92">
        <f>'JAFFURA-NMP-01 OUT'!Y68-'JAFFURA-NMP-01 IN'!L68</f>
        <v>100</v>
      </c>
      <c r="P70" s="92">
        <f>'RENTAL MATERIAL OUT'!BM68-'RENTAL MATERIAL IN'!M68</f>
        <v>0</v>
      </c>
      <c r="Q70" s="92">
        <f>'ABU DHABI OUT'!DP68-'ABU DHABI IN'!AY68</f>
        <v>0</v>
      </c>
      <c r="R70" s="93">
        <f t="shared" si="1"/>
        <v>1247</v>
      </c>
      <c r="S70" s="96">
        <v>6.65</v>
      </c>
      <c r="T70" s="2">
        <f t="shared" si="3"/>
        <v>1247</v>
      </c>
    </row>
    <row r="71" spans="1:20" ht="16.5" thickTop="1" thickBot="1" x14ac:dyDescent="0.3">
      <c r="A71" s="87">
        <f>SUBTOTAL(3,$B$7:B71)</f>
        <v>65</v>
      </c>
      <c r="B71" s="79">
        <v>3000001212</v>
      </c>
      <c r="C71" s="142" t="s">
        <v>77</v>
      </c>
      <c r="D71" s="79" t="s">
        <v>12</v>
      </c>
      <c r="E71" s="79" t="s">
        <v>629</v>
      </c>
      <c r="F71" s="90">
        <f>'YARD IN'!JU69-'YARD OUT'!CF69</f>
        <v>3809</v>
      </c>
      <c r="G71" s="91">
        <f t="shared" si="0"/>
        <v>21883</v>
      </c>
      <c r="H71" s="92">
        <f>'S019 JAFURRA OUT'!K69-'S019 JAFURRA IN'!I69</f>
        <v>257</v>
      </c>
      <c r="I71" s="92">
        <f>'S020 DAMMAM OUT'!S69-'S020 DAMMAM IN'!I69</f>
        <v>90</v>
      </c>
      <c r="J71" s="92">
        <f>'S015 JAFFURA OUT'!DE69-'S015 JAFFURA IN'!AG69</f>
        <v>2305</v>
      </c>
      <c r="K71" s="92">
        <f>'S016 JAFFURA OUT'!N69-'S016 JAFFURA IN'!N69</f>
        <v>0</v>
      </c>
      <c r="L71" s="92">
        <f>'S013 MARJAN OUT'!YX69-'S013 MARJAN IN'!PY69</f>
        <v>13039</v>
      </c>
      <c r="M71" s="92">
        <f>'S022 FADHALI OUT'!BW69-'S022 FADHALI IN'!N69</f>
        <v>1879</v>
      </c>
      <c r="N71" s="92">
        <f>'S012 OYUN OUT'!AQ69-'S012 OYUN IN'!K69</f>
        <v>277</v>
      </c>
      <c r="O71" s="92">
        <f>'JAFFURA-NMP-01 OUT'!Y69-'JAFFURA-NMP-01 IN'!L69</f>
        <v>100</v>
      </c>
      <c r="P71" s="92">
        <f>'RENTAL MATERIAL OUT'!BM69-'RENTAL MATERIAL IN'!M69</f>
        <v>3936</v>
      </c>
      <c r="Q71" s="92">
        <f>'ABU DHABI OUT'!DP69-'ABU DHABI IN'!AY69</f>
        <v>2575</v>
      </c>
      <c r="R71" s="93">
        <f t="shared" si="1"/>
        <v>25692</v>
      </c>
      <c r="S71" s="96">
        <v>8.2050000000000001</v>
      </c>
      <c r="T71" s="2">
        <f t="shared" si="3"/>
        <v>28267</v>
      </c>
    </row>
    <row r="72" spans="1:20" ht="16.5" thickTop="1" thickBot="1" x14ac:dyDescent="0.3">
      <c r="A72" s="87">
        <f>SUBTOTAL(3,$B$7:B72)</f>
        <v>66</v>
      </c>
      <c r="B72" s="79">
        <v>3000002341</v>
      </c>
      <c r="C72" s="142" t="s">
        <v>78</v>
      </c>
      <c r="D72" s="79" t="s">
        <v>12</v>
      </c>
      <c r="E72" s="79" t="s">
        <v>629</v>
      </c>
      <c r="F72" s="90">
        <f>'YARD IN'!JU70-'YARD OUT'!CF70</f>
        <v>3009</v>
      </c>
      <c r="G72" s="91">
        <f t="shared" ref="G72:G135" si="4">SUM(H72:P72)</f>
        <v>21703</v>
      </c>
      <c r="H72" s="92">
        <f>'S019 JAFURRA OUT'!K70-'S019 JAFURRA IN'!I70</f>
        <v>175</v>
      </c>
      <c r="I72" s="92">
        <f>'S020 DAMMAM OUT'!S70-'S020 DAMMAM IN'!I70</f>
        <v>160</v>
      </c>
      <c r="J72" s="92">
        <f>'S015 JAFFURA OUT'!DE70-'S015 JAFFURA IN'!AG70</f>
        <v>1828</v>
      </c>
      <c r="K72" s="92">
        <f>'S016 JAFFURA OUT'!N70-'S016 JAFFURA IN'!N70</f>
        <v>0</v>
      </c>
      <c r="L72" s="92">
        <f>'S013 MARJAN OUT'!YX70-'S013 MARJAN IN'!PY70</f>
        <v>14174</v>
      </c>
      <c r="M72" s="92">
        <f>'S022 FADHALI OUT'!BW70-'S022 FADHALI IN'!N70</f>
        <v>4866</v>
      </c>
      <c r="N72" s="92">
        <f>'S012 OYUN OUT'!AQ70-'S012 OYUN IN'!K70</f>
        <v>500</v>
      </c>
      <c r="O72" s="92">
        <f>'JAFFURA-NMP-01 OUT'!Y70-'JAFFURA-NMP-01 IN'!L70</f>
        <v>0</v>
      </c>
      <c r="P72" s="92">
        <f>'RENTAL MATERIAL OUT'!BM70-'RENTAL MATERIAL IN'!M70</f>
        <v>0</v>
      </c>
      <c r="Q72" s="92">
        <f>'ABU DHABI OUT'!DP70-'ABU DHABI IN'!AY70</f>
        <v>6547</v>
      </c>
      <c r="R72" s="93">
        <f t="shared" ref="R72:R135" si="5">SUM(G72+F72)</f>
        <v>24712</v>
      </c>
      <c r="S72" s="96">
        <v>10.75</v>
      </c>
      <c r="T72" s="2">
        <f t="shared" si="3"/>
        <v>31259</v>
      </c>
    </row>
    <row r="73" spans="1:20" ht="16.5" thickTop="1" thickBot="1" x14ac:dyDescent="0.3">
      <c r="A73" s="87">
        <f>SUBTOTAL(3,$B$7:B73)</f>
        <v>67</v>
      </c>
      <c r="B73" s="79">
        <v>3000001214</v>
      </c>
      <c r="C73" s="142" t="s">
        <v>79</v>
      </c>
      <c r="D73" s="79" t="s">
        <v>12</v>
      </c>
      <c r="E73" s="79" t="s">
        <v>629</v>
      </c>
      <c r="F73" s="90">
        <f>'YARD IN'!JU71-'YARD OUT'!CF71</f>
        <v>145</v>
      </c>
      <c r="G73" s="91">
        <f t="shared" si="4"/>
        <v>17919</v>
      </c>
      <c r="H73" s="92">
        <f>'S019 JAFURRA OUT'!K71-'S019 JAFURRA IN'!I71</f>
        <v>375</v>
      </c>
      <c r="I73" s="92">
        <f>'S020 DAMMAM OUT'!S71-'S020 DAMMAM IN'!I71</f>
        <v>150</v>
      </c>
      <c r="J73" s="92">
        <f>'S015 JAFFURA OUT'!DE71-'S015 JAFFURA IN'!AG71</f>
        <v>2147</v>
      </c>
      <c r="K73" s="92">
        <f>'S016 JAFFURA OUT'!N71-'S016 JAFFURA IN'!N71</f>
        <v>0</v>
      </c>
      <c r="L73" s="92">
        <f>'S013 MARJAN OUT'!YX71-'S013 MARJAN IN'!PY71</f>
        <v>8490</v>
      </c>
      <c r="M73" s="92">
        <f>'S022 FADHALI OUT'!BW71-'S022 FADHALI IN'!N71</f>
        <v>1100</v>
      </c>
      <c r="N73" s="92">
        <f>'S012 OYUN OUT'!AQ71-'S012 OYUN IN'!K71</f>
        <v>100</v>
      </c>
      <c r="O73" s="92">
        <f>'JAFFURA-NMP-01 OUT'!Y71-'JAFFURA-NMP-01 IN'!L71</f>
        <v>200</v>
      </c>
      <c r="P73" s="92">
        <f>'RENTAL MATERIAL OUT'!BM71-'RENTAL MATERIAL IN'!M71</f>
        <v>5357</v>
      </c>
      <c r="Q73" s="92">
        <f>'ABU DHABI OUT'!DP71-'ABU DHABI IN'!AY71</f>
        <v>1588</v>
      </c>
      <c r="R73" s="93">
        <f t="shared" si="5"/>
        <v>18064</v>
      </c>
      <c r="S73" s="96">
        <v>13.925000000000001</v>
      </c>
      <c r="T73" s="2">
        <f t="shared" si="3"/>
        <v>19652</v>
      </c>
    </row>
    <row r="74" spans="1:20" ht="16.5" thickTop="1" thickBot="1" x14ac:dyDescent="0.3">
      <c r="A74" s="87">
        <f>SUBTOTAL(3,$B$7:B74)</f>
        <v>68</v>
      </c>
      <c r="B74" s="79">
        <v>3000001215</v>
      </c>
      <c r="C74" s="142" t="s">
        <v>80</v>
      </c>
      <c r="D74" s="79" t="s">
        <v>12</v>
      </c>
      <c r="E74" s="79" t="s">
        <v>629</v>
      </c>
      <c r="F74" s="90">
        <f>'YARD IN'!JU72-'YARD OUT'!CF72</f>
        <v>56146</v>
      </c>
      <c r="G74" s="91">
        <f t="shared" si="4"/>
        <v>123883</v>
      </c>
      <c r="H74" s="92">
        <f>'S019 JAFURRA OUT'!K72-'S019 JAFURRA IN'!I72</f>
        <v>475</v>
      </c>
      <c r="I74" s="92">
        <f>'S020 DAMMAM OUT'!S72-'S020 DAMMAM IN'!I72</f>
        <v>301</v>
      </c>
      <c r="J74" s="92">
        <f>'S015 JAFFURA OUT'!DE72-'S015 JAFFURA IN'!AG72</f>
        <v>9659</v>
      </c>
      <c r="K74" s="92">
        <f>'S016 JAFFURA OUT'!N72-'S016 JAFFURA IN'!N72</f>
        <v>0</v>
      </c>
      <c r="L74" s="92">
        <f>'S013 MARJAN OUT'!YX72-'S013 MARJAN IN'!PY72</f>
        <v>46138</v>
      </c>
      <c r="M74" s="92">
        <f>'S022 FADHALI OUT'!BW72-'S022 FADHALI IN'!N72</f>
        <v>4690</v>
      </c>
      <c r="N74" s="92">
        <f>'S012 OYUN OUT'!AQ72-'S012 OYUN IN'!K72</f>
        <v>1075</v>
      </c>
      <c r="O74" s="92">
        <f>'JAFFURA-NMP-01 OUT'!Y72-'JAFFURA-NMP-01 IN'!L72</f>
        <v>0</v>
      </c>
      <c r="P74" s="92">
        <f>'RENTAL MATERIAL OUT'!BM72-'RENTAL MATERIAL IN'!M72</f>
        <v>61545</v>
      </c>
      <c r="Q74" s="92">
        <f>'ABU DHABI OUT'!DP72-'ABU DHABI IN'!AY72</f>
        <v>76996</v>
      </c>
      <c r="R74" s="93">
        <f t="shared" si="5"/>
        <v>180029</v>
      </c>
      <c r="S74" s="96">
        <v>17.664999999999999</v>
      </c>
      <c r="T74" s="2">
        <f t="shared" si="3"/>
        <v>257025</v>
      </c>
    </row>
    <row r="75" spans="1:20" ht="16.5" thickTop="1" thickBot="1" x14ac:dyDescent="0.3">
      <c r="A75" s="87">
        <f>SUBTOTAL(3,$B$7:B75)</f>
        <v>69</v>
      </c>
      <c r="B75" s="79">
        <v>3000001216</v>
      </c>
      <c r="C75" s="142" t="s">
        <v>81</v>
      </c>
      <c r="D75" s="79" t="s">
        <v>12</v>
      </c>
      <c r="E75" s="79" t="s">
        <v>629</v>
      </c>
      <c r="F75" s="90">
        <f>'YARD IN'!JU73-'YARD OUT'!CF73</f>
        <v>0</v>
      </c>
      <c r="G75" s="91">
        <f t="shared" si="4"/>
        <v>420</v>
      </c>
      <c r="H75" s="92">
        <f>'S019 JAFURRA OUT'!K73-'S019 JAFURRA IN'!I73</f>
        <v>0</v>
      </c>
      <c r="I75" s="92">
        <f>'S020 DAMMAM OUT'!S73-'S020 DAMMAM IN'!I73</f>
        <v>0</v>
      </c>
      <c r="J75" s="92">
        <f>'S015 JAFFURA OUT'!DE73-'S015 JAFFURA IN'!AG73</f>
        <v>0</v>
      </c>
      <c r="K75" s="92">
        <f>'S016 JAFFURA OUT'!N73-'S016 JAFFURA IN'!N73</f>
        <v>0</v>
      </c>
      <c r="L75" s="92">
        <f>'S013 MARJAN OUT'!YX73-'S013 MARJAN IN'!PY73</f>
        <v>420</v>
      </c>
      <c r="M75" s="92">
        <f>'S022 FADHALI OUT'!BW73-'S022 FADHALI IN'!N73</f>
        <v>0</v>
      </c>
      <c r="N75" s="92">
        <f>'S012 OYUN OUT'!AQ73-'S012 OYUN IN'!K73</f>
        <v>0</v>
      </c>
      <c r="O75" s="92">
        <f>'JAFFURA-NMP-01 OUT'!Y73-'JAFFURA-NMP-01 IN'!L73</f>
        <v>0</v>
      </c>
      <c r="P75" s="92">
        <f>'RENTAL MATERIAL OUT'!BM73-'RENTAL MATERIAL IN'!M73</f>
        <v>0</v>
      </c>
      <c r="Q75" s="92">
        <f>'ABU DHABI OUT'!DP73-'ABU DHABI IN'!AY73</f>
        <v>0</v>
      </c>
      <c r="R75" s="93">
        <f t="shared" si="5"/>
        <v>420</v>
      </c>
      <c r="S75" s="96">
        <v>25.187000000000001</v>
      </c>
      <c r="T75" s="2">
        <f t="shared" si="3"/>
        <v>420</v>
      </c>
    </row>
    <row r="76" spans="1:20" ht="16.5" thickTop="1" thickBot="1" x14ac:dyDescent="0.3">
      <c r="A76" s="87">
        <f>SUBTOTAL(3,$B$7:B76)</f>
        <v>70</v>
      </c>
      <c r="B76" s="79">
        <v>3000001217</v>
      </c>
      <c r="C76" s="142" t="s">
        <v>82</v>
      </c>
      <c r="D76" s="79" t="s">
        <v>12</v>
      </c>
      <c r="E76" s="79" t="s">
        <v>629</v>
      </c>
      <c r="F76" s="90">
        <f>'YARD IN'!JU74-'YARD OUT'!CF74</f>
        <v>5</v>
      </c>
      <c r="G76" s="91">
        <f t="shared" si="4"/>
        <v>60</v>
      </c>
      <c r="H76" s="92">
        <f>'S019 JAFURRA OUT'!K74-'S019 JAFURRA IN'!I74</f>
        <v>0</v>
      </c>
      <c r="I76" s="92">
        <f>'S020 DAMMAM OUT'!S74-'S020 DAMMAM IN'!I74</f>
        <v>0</v>
      </c>
      <c r="J76" s="92">
        <f>'S015 JAFFURA OUT'!DE74-'S015 JAFFURA IN'!AG74</f>
        <v>0</v>
      </c>
      <c r="K76" s="92">
        <f>'S016 JAFFURA OUT'!N74-'S016 JAFFURA IN'!N74</f>
        <v>0</v>
      </c>
      <c r="L76" s="92">
        <f>'S013 MARJAN OUT'!YX74-'S013 MARJAN IN'!PY74</f>
        <v>60</v>
      </c>
      <c r="M76" s="92">
        <f>'S022 FADHALI OUT'!BW74-'S022 FADHALI IN'!N74</f>
        <v>0</v>
      </c>
      <c r="N76" s="92">
        <f>'S012 OYUN OUT'!AQ74-'S012 OYUN IN'!K74</f>
        <v>0</v>
      </c>
      <c r="O76" s="92">
        <f>'JAFFURA-NMP-01 OUT'!Y74-'JAFFURA-NMP-01 IN'!L74</f>
        <v>0</v>
      </c>
      <c r="P76" s="92">
        <f>'RENTAL MATERIAL OUT'!BM74-'RENTAL MATERIAL IN'!M74</f>
        <v>0</v>
      </c>
      <c r="Q76" s="92">
        <f>'ABU DHABI OUT'!DP74-'ABU DHABI IN'!AY74</f>
        <v>450</v>
      </c>
      <c r="R76" s="93">
        <f t="shared" si="5"/>
        <v>65</v>
      </c>
      <c r="S76" s="96">
        <v>18.8</v>
      </c>
      <c r="T76" s="2">
        <f t="shared" si="3"/>
        <v>515</v>
      </c>
    </row>
    <row r="77" spans="1:20" ht="16.5" thickTop="1" thickBot="1" x14ac:dyDescent="0.3">
      <c r="A77" s="87">
        <f>SUBTOTAL(3,$B$7:B77)</f>
        <v>71</v>
      </c>
      <c r="B77" s="79">
        <v>3000000009</v>
      </c>
      <c r="C77" s="142" t="s">
        <v>83</v>
      </c>
      <c r="D77" s="79" t="s">
        <v>12</v>
      </c>
      <c r="E77" s="79" t="s">
        <v>630</v>
      </c>
      <c r="F77" s="90">
        <f>'YARD IN'!JU75-'YARD OUT'!CF75</f>
        <v>0</v>
      </c>
      <c r="G77" s="91">
        <f t="shared" si="4"/>
        <v>983</v>
      </c>
      <c r="H77" s="92">
        <f>'S019 JAFURRA OUT'!K75-'S019 JAFURRA IN'!I75</f>
        <v>0</v>
      </c>
      <c r="I77" s="92">
        <f>'S020 DAMMAM OUT'!S75-'S020 DAMMAM IN'!I75</f>
        <v>0</v>
      </c>
      <c r="J77" s="92">
        <f>'S015 JAFFURA OUT'!DE75-'S015 JAFFURA IN'!AG75</f>
        <v>663</v>
      </c>
      <c r="K77" s="92">
        <f>'S016 JAFFURA OUT'!N75-'S016 JAFFURA IN'!N75</f>
        <v>0</v>
      </c>
      <c r="L77" s="92">
        <f>'S013 MARJAN OUT'!YX75-'S013 MARJAN IN'!PY75</f>
        <v>0</v>
      </c>
      <c r="M77" s="92">
        <f>'S022 FADHALI OUT'!BW75-'S022 FADHALI IN'!N75</f>
        <v>0</v>
      </c>
      <c r="N77" s="92">
        <f>'S012 OYUN OUT'!AQ75-'S012 OYUN IN'!K75</f>
        <v>320</v>
      </c>
      <c r="O77" s="92">
        <f>'JAFFURA-NMP-01 OUT'!Y75-'JAFFURA-NMP-01 IN'!L75</f>
        <v>0</v>
      </c>
      <c r="P77" s="92">
        <f>'RENTAL MATERIAL OUT'!BM75-'RENTAL MATERIAL IN'!M75</f>
        <v>0</v>
      </c>
      <c r="Q77" s="92">
        <f>'ABU DHABI OUT'!DP75-'ABU DHABI IN'!AY75</f>
        <v>0</v>
      </c>
      <c r="R77" s="93">
        <f t="shared" si="5"/>
        <v>983</v>
      </c>
      <c r="S77" s="96">
        <v>15.94</v>
      </c>
    </row>
    <row r="78" spans="1:20" ht="16.5" thickTop="1" thickBot="1" x14ac:dyDescent="0.3">
      <c r="A78" s="87">
        <f>SUBTOTAL(3,$B$7:B78)</f>
        <v>72</v>
      </c>
      <c r="B78" s="79">
        <v>3000000011</v>
      </c>
      <c r="C78" s="142" t="s">
        <v>84</v>
      </c>
      <c r="D78" s="79" t="s">
        <v>12</v>
      </c>
      <c r="E78" s="79" t="s">
        <v>630</v>
      </c>
      <c r="F78" s="90">
        <f>'YARD IN'!JU76-'YARD OUT'!CF76</f>
        <v>415</v>
      </c>
      <c r="G78" s="91">
        <f t="shared" si="4"/>
        <v>141</v>
      </c>
      <c r="H78" s="92">
        <f>'S019 JAFURRA OUT'!K76-'S019 JAFURRA IN'!I76</f>
        <v>0</v>
      </c>
      <c r="I78" s="92">
        <f>'S020 DAMMAM OUT'!S76-'S020 DAMMAM IN'!I76</f>
        <v>0</v>
      </c>
      <c r="J78" s="92">
        <f>'S015 JAFFURA OUT'!DE76-'S015 JAFFURA IN'!AG76</f>
        <v>141</v>
      </c>
      <c r="K78" s="92">
        <f>'S016 JAFFURA OUT'!N76-'S016 JAFFURA IN'!N76</f>
        <v>0</v>
      </c>
      <c r="L78" s="92">
        <f>'S013 MARJAN OUT'!YX76-'S013 MARJAN IN'!PY76</f>
        <v>0</v>
      </c>
      <c r="M78" s="92">
        <f>'S022 FADHALI OUT'!BW76-'S022 FADHALI IN'!N76</f>
        <v>0</v>
      </c>
      <c r="N78" s="92">
        <f>'S012 OYUN OUT'!AQ76-'S012 OYUN IN'!K76</f>
        <v>0</v>
      </c>
      <c r="O78" s="92">
        <f>'JAFFURA-NMP-01 OUT'!Y76-'JAFFURA-NMP-01 IN'!L76</f>
        <v>0</v>
      </c>
      <c r="P78" s="92">
        <f>'RENTAL MATERIAL OUT'!BM76-'RENTAL MATERIAL IN'!M76</f>
        <v>0</v>
      </c>
      <c r="Q78" s="92">
        <f>'ABU DHABI OUT'!DP76-'ABU DHABI IN'!AY76</f>
        <v>0</v>
      </c>
      <c r="R78" s="93">
        <f t="shared" si="5"/>
        <v>556</v>
      </c>
      <c r="S78" s="135">
        <v>28.85</v>
      </c>
    </row>
    <row r="79" spans="1:20" ht="16.5" thickTop="1" thickBot="1" x14ac:dyDescent="0.3">
      <c r="A79" s="87">
        <f>SUBTOTAL(3,$B$7:B79)</f>
        <v>73</v>
      </c>
      <c r="B79" s="79">
        <v>3000000707</v>
      </c>
      <c r="C79" s="142" t="s">
        <v>85</v>
      </c>
      <c r="D79" s="79" t="s">
        <v>12</v>
      </c>
      <c r="E79" s="79" t="s">
        <v>630</v>
      </c>
      <c r="F79" s="90">
        <f>'YARD IN'!JU77-'YARD OUT'!CF77</f>
        <v>0</v>
      </c>
      <c r="G79" s="91">
        <f t="shared" si="4"/>
        <v>230</v>
      </c>
      <c r="H79" s="92">
        <f>'S019 JAFURRA OUT'!K77-'S019 JAFURRA IN'!I77</f>
        <v>0</v>
      </c>
      <c r="I79" s="92">
        <f>'S020 DAMMAM OUT'!S77-'S020 DAMMAM IN'!I77</f>
        <v>0</v>
      </c>
      <c r="J79" s="92">
        <f>'S015 JAFFURA OUT'!DE77-'S015 JAFFURA IN'!AG77</f>
        <v>50</v>
      </c>
      <c r="K79" s="92">
        <f>'S016 JAFFURA OUT'!N77-'S016 JAFFURA IN'!N77</f>
        <v>0</v>
      </c>
      <c r="L79" s="92">
        <f>'S013 MARJAN OUT'!YX77-'S013 MARJAN IN'!PY77</f>
        <v>180</v>
      </c>
      <c r="M79" s="92">
        <f>'S022 FADHALI OUT'!BW77-'S022 FADHALI IN'!N77</f>
        <v>0</v>
      </c>
      <c r="N79" s="92">
        <f>'S012 OYUN OUT'!AQ77-'S012 OYUN IN'!K77</f>
        <v>0</v>
      </c>
      <c r="O79" s="92">
        <f>'JAFFURA-NMP-01 OUT'!Y77-'JAFFURA-NMP-01 IN'!L77</f>
        <v>0</v>
      </c>
      <c r="P79" s="92">
        <f>'RENTAL MATERIAL OUT'!BM77-'RENTAL MATERIAL IN'!M77</f>
        <v>0</v>
      </c>
      <c r="Q79" s="92">
        <f>'ABU DHABI OUT'!DP77-'ABU DHABI IN'!AY77</f>
        <v>314</v>
      </c>
      <c r="R79" s="93">
        <f t="shared" si="5"/>
        <v>230</v>
      </c>
      <c r="S79" s="96">
        <v>0.45</v>
      </c>
    </row>
    <row r="80" spans="1:20" ht="16.5" thickTop="1" thickBot="1" x14ac:dyDescent="0.3">
      <c r="A80" s="87">
        <f>SUBTOTAL(3,$B$7:B80)</f>
        <v>74</v>
      </c>
      <c r="B80" s="79">
        <v>3000000301</v>
      </c>
      <c r="C80" s="142" t="s">
        <v>86</v>
      </c>
      <c r="D80" s="79" t="s">
        <v>12</v>
      </c>
      <c r="E80" s="79" t="s">
        <v>629</v>
      </c>
      <c r="F80" s="90">
        <f>'YARD IN'!JU78-'YARD OUT'!CF78</f>
        <v>14</v>
      </c>
      <c r="G80" s="91">
        <f t="shared" si="4"/>
        <v>397</v>
      </c>
      <c r="H80" s="92">
        <f>'S019 JAFURRA OUT'!K78-'S019 JAFURRA IN'!I78</f>
        <v>0</v>
      </c>
      <c r="I80" s="92">
        <f>'S020 DAMMAM OUT'!S78-'S020 DAMMAM IN'!I78</f>
        <v>0</v>
      </c>
      <c r="J80" s="92">
        <f>'S015 JAFFURA OUT'!DE78-'S015 JAFFURA IN'!AG78</f>
        <v>397</v>
      </c>
      <c r="K80" s="92">
        <f>'S016 JAFFURA OUT'!N78-'S016 JAFFURA IN'!N78</f>
        <v>0</v>
      </c>
      <c r="L80" s="92">
        <f>'S013 MARJAN OUT'!YX78-'S013 MARJAN IN'!PY78</f>
        <v>0</v>
      </c>
      <c r="M80" s="92">
        <f>'S022 FADHALI OUT'!BW78-'S022 FADHALI IN'!N78</f>
        <v>0</v>
      </c>
      <c r="N80" s="92">
        <f>'S012 OYUN OUT'!AQ78-'S012 OYUN IN'!K78</f>
        <v>0</v>
      </c>
      <c r="O80" s="92">
        <f>'JAFFURA-NMP-01 OUT'!Y78-'JAFFURA-NMP-01 IN'!L78</f>
        <v>0</v>
      </c>
      <c r="P80" s="92">
        <f>'RENTAL MATERIAL OUT'!BM78-'RENTAL MATERIAL IN'!M78</f>
        <v>0</v>
      </c>
      <c r="Q80" s="92">
        <f>'ABU DHABI OUT'!DP78-'ABU DHABI IN'!AY78</f>
        <v>51</v>
      </c>
      <c r="R80" s="93">
        <f t="shared" si="5"/>
        <v>411</v>
      </c>
      <c r="S80" s="96">
        <v>2.2650000000000001</v>
      </c>
      <c r="T80" s="2">
        <f t="shared" ref="T80:T90" si="6">+SUM(R80+Q80)</f>
        <v>462</v>
      </c>
    </row>
    <row r="81" spans="1:20" ht="16.5" thickTop="1" thickBot="1" x14ac:dyDescent="0.3">
      <c r="A81" s="87">
        <f>SUBTOTAL(3,$B$7:B81)</f>
        <v>75</v>
      </c>
      <c r="B81" s="79">
        <v>3000000302</v>
      </c>
      <c r="C81" s="142" t="s">
        <v>87</v>
      </c>
      <c r="D81" s="79" t="s">
        <v>12</v>
      </c>
      <c r="E81" s="79" t="s">
        <v>629</v>
      </c>
      <c r="F81" s="90">
        <f>'YARD IN'!JU79-'YARD OUT'!CF79</f>
        <v>777</v>
      </c>
      <c r="G81" s="91">
        <f t="shared" si="4"/>
        <v>733</v>
      </c>
      <c r="H81" s="92">
        <f>'S019 JAFURRA OUT'!K79-'S019 JAFURRA IN'!I79</f>
        <v>0</v>
      </c>
      <c r="I81" s="92">
        <f>'S020 DAMMAM OUT'!S79-'S020 DAMMAM IN'!I79</f>
        <v>40</v>
      </c>
      <c r="J81" s="92">
        <f>'S015 JAFFURA OUT'!DE79-'S015 JAFFURA IN'!AG79</f>
        <v>0</v>
      </c>
      <c r="K81" s="92">
        <f>'S016 JAFFURA OUT'!N79-'S016 JAFFURA IN'!N79</f>
        <v>0</v>
      </c>
      <c r="L81" s="92">
        <f>'S013 MARJAN OUT'!YX79-'S013 MARJAN IN'!PY79</f>
        <v>693</v>
      </c>
      <c r="M81" s="92">
        <f>'S022 FADHALI OUT'!BW79-'S022 FADHALI IN'!N79</f>
        <v>0</v>
      </c>
      <c r="N81" s="92">
        <f>'S012 OYUN OUT'!AQ79-'S012 OYUN IN'!K79</f>
        <v>0</v>
      </c>
      <c r="O81" s="92">
        <f>'JAFFURA-NMP-01 OUT'!Y79-'JAFFURA-NMP-01 IN'!L79</f>
        <v>0</v>
      </c>
      <c r="P81" s="92">
        <f>'RENTAL MATERIAL OUT'!BM79-'RENTAL MATERIAL IN'!M79</f>
        <v>0</v>
      </c>
      <c r="Q81" s="92">
        <f>'ABU DHABI OUT'!DP79-'ABU DHABI IN'!AY79</f>
        <v>601</v>
      </c>
      <c r="R81" s="93">
        <f t="shared" si="5"/>
        <v>1510</v>
      </c>
      <c r="S81" s="96">
        <v>2.88</v>
      </c>
      <c r="T81" s="2">
        <f t="shared" si="6"/>
        <v>2111</v>
      </c>
    </row>
    <row r="82" spans="1:20" ht="16.5" thickTop="1" thickBot="1" x14ac:dyDescent="0.3">
      <c r="A82" s="87">
        <f>SUBTOTAL(3,$B$7:B82)</f>
        <v>76</v>
      </c>
      <c r="B82" s="79">
        <v>3000000303</v>
      </c>
      <c r="C82" s="142" t="s">
        <v>88</v>
      </c>
      <c r="D82" s="79" t="s">
        <v>12</v>
      </c>
      <c r="E82" s="79" t="s">
        <v>629</v>
      </c>
      <c r="F82" s="90">
        <f>'YARD IN'!JU80-'YARD OUT'!CF80</f>
        <v>2826</v>
      </c>
      <c r="G82" s="91">
        <f t="shared" si="4"/>
        <v>2776</v>
      </c>
      <c r="H82" s="92">
        <f>'S019 JAFURRA OUT'!K80-'S019 JAFURRA IN'!I80</f>
        <v>79</v>
      </c>
      <c r="I82" s="92">
        <f>'S020 DAMMAM OUT'!S80-'S020 DAMMAM IN'!I80</f>
        <v>0</v>
      </c>
      <c r="J82" s="92">
        <f>'S015 JAFFURA OUT'!DE80-'S015 JAFFURA IN'!AG80</f>
        <v>2171</v>
      </c>
      <c r="K82" s="92">
        <f>'S016 JAFFURA OUT'!N80-'S016 JAFFURA IN'!N80</f>
        <v>0</v>
      </c>
      <c r="L82" s="92">
        <f>'S013 MARJAN OUT'!YX80-'S013 MARJAN IN'!PY80</f>
        <v>511</v>
      </c>
      <c r="M82" s="92">
        <f>'S022 FADHALI OUT'!BW80-'S022 FADHALI IN'!N80</f>
        <v>0</v>
      </c>
      <c r="N82" s="92">
        <f>'S012 OYUN OUT'!AQ80-'S012 OYUN IN'!K80</f>
        <v>15</v>
      </c>
      <c r="O82" s="92">
        <f>'JAFFURA-NMP-01 OUT'!Y80-'JAFFURA-NMP-01 IN'!L80</f>
        <v>0</v>
      </c>
      <c r="P82" s="92">
        <f>'RENTAL MATERIAL OUT'!BM80-'RENTAL MATERIAL IN'!M80</f>
        <v>0</v>
      </c>
      <c r="Q82" s="92">
        <f>'ABU DHABI OUT'!DP80-'ABU DHABI IN'!AY80</f>
        <v>1606</v>
      </c>
      <c r="R82" s="93">
        <f t="shared" si="5"/>
        <v>5602</v>
      </c>
      <c r="S82" s="96">
        <v>3.35</v>
      </c>
      <c r="T82" s="2">
        <f t="shared" si="6"/>
        <v>7208</v>
      </c>
    </row>
    <row r="83" spans="1:20" ht="16.5" thickTop="1" thickBot="1" x14ac:dyDescent="0.3">
      <c r="A83" s="87">
        <f>SUBTOTAL(3,$B$7:B83)</f>
        <v>77</v>
      </c>
      <c r="B83" s="79">
        <v>3000000304</v>
      </c>
      <c r="C83" s="142" t="s">
        <v>89</v>
      </c>
      <c r="D83" s="79" t="s">
        <v>12</v>
      </c>
      <c r="E83" s="79" t="s">
        <v>629</v>
      </c>
      <c r="F83" s="90">
        <f>'YARD IN'!JU81-'YARD OUT'!CF81</f>
        <v>922</v>
      </c>
      <c r="G83" s="91">
        <f t="shared" si="4"/>
        <v>1883</v>
      </c>
      <c r="H83" s="92">
        <f>'S019 JAFURRA OUT'!K81-'S019 JAFURRA IN'!I81</f>
        <v>1100</v>
      </c>
      <c r="I83" s="92">
        <f>'S020 DAMMAM OUT'!S81-'S020 DAMMAM IN'!I81</f>
        <v>0</v>
      </c>
      <c r="J83" s="92">
        <f>'S015 JAFFURA OUT'!DE81-'S015 JAFFURA IN'!AG81</f>
        <v>555</v>
      </c>
      <c r="K83" s="92">
        <f>'S016 JAFFURA OUT'!N81-'S016 JAFFURA IN'!N81</f>
        <v>0</v>
      </c>
      <c r="L83" s="92">
        <f>'S013 MARJAN OUT'!YX81-'S013 MARJAN IN'!PY81</f>
        <v>161</v>
      </c>
      <c r="M83" s="92">
        <f>'S022 FADHALI OUT'!BW81-'S022 FADHALI IN'!N81</f>
        <v>0</v>
      </c>
      <c r="N83" s="92">
        <f>'S012 OYUN OUT'!AQ81-'S012 OYUN IN'!K81</f>
        <v>67</v>
      </c>
      <c r="O83" s="92">
        <f>'JAFFURA-NMP-01 OUT'!Y81-'JAFFURA-NMP-01 IN'!L81</f>
        <v>0</v>
      </c>
      <c r="P83" s="92">
        <f>'RENTAL MATERIAL OUT'!BM81-'RENTAL MATERIAL IN'!M81</f>
        <v>0</v>
      </c>
      <c r="Q83" s="92">
        <f>'ABU DHABI OUT'!DP81-'ABU DHABI IN'!AY81</f>
        <v>656</v>
      </c>
      <c r="R83" s="93">
        <f t="shared" si="5"/>
        <v>2805</v>
      </c>
      <c r="S83" s="96">
        <v>4.3849999999999998</v>
      </c>
      <c r="T83" s="2">
        <f t="shared" si="6"/>
        <v>3461</v>
      </c>
    </row>
    <row r="84" spans="1:20" ht="16.5" thickTop="1" thickBot="1" x14ac:dyDescent="0.3">
      <c r="A84" s="87">
        <f>SUBTOTAL(3,$B$7:B84)</f>
        <v>78</v>
      </c>
      <c r="B84" s="79">
        <v>3000000305</v>
      </c>
      <c r="C84" s="142" t="s">
        <v>90</v>
      </c>
      <c r="D84" s="79" t="s">
        <v>12</v>
      </c>
      <c r="E84" s="79" t="s">
        <v>629</v>
      </c>
      <c r="F84" s="90">
        <f>'YARD IN'!JU82-'YARD OUT'!CF82</f>
        <v>1087</v>
      </c>
      <c r="G84" s="91">
        <f t="shared" si="4"/>
        <v>486</v>
      </c>
      <c r="H84" s="92">
        <f>'S019 JAFURRA OUT'!K82-'S019 JAFURRA IN'!I82</f>
        <v>0</v>
      </c>
      <c r="I84" s="92">
        <f>'S020 DAMMAM OUT'!S82-'S020 DAMMAM IN'!I82</f>
        <v>250</v>
      </c>
      <c r="J84" s="92">
        <f>'S015 JAFFURA OUT'!DE82-'S015 JAFFURA IN'!AG82</f>
        <v>181</v>
      </c>
      <c r="K84" s="92">
        <f>'S016 JAFFURA OUT'!N82-'S016 JAFFURA IN'!N82</f>
        <v>0</v>
      </c>
      <c r="L84" s="92">
        <f>'S013 MARJAN OUT'!YX82-'S013 MARJAN IN'!PY82</f>
        <v>55</v>
      </c>
      <c r="M84" s="92">
        <f>'S022 FADHALI OUT'!BW82-'S022 FADHALI IN'!N82</f>
        <v>0</v>
      </c>
      <c r="N84" s="92">
        <v>0</v>
      </c>
      <c r="O84" s="92">
        <f>'JAFFURA-NMP-01 OUT'!Y82-'JAFFURA-NMP-01 IN'!L82</f>
        <v>0</v>
      </c>
      <c r="P84" s="92">
        <f>'RENTAL MATERIAL OUT'!BM82-'RENTAL MATERIAL IN'!M82</f>
        <v>0</v>
      </c>
      <c r="Q84" s="92">
        <f>'ABU DHABI OUT'!DP82-'ABU DHABI IN'!AY82</f>
        <v>145</v>
      </c>
      <c r="R84" s="93">
        <f t="shared" si="5"/>
        <v>1573</v>
      </c>
      <c r="S84" s="96">
        <v>4.3600000000000003</v>
      </c>
      <c r="T84" s="2">
        <f t="shared" si="6"/>
        <v>1718</v>
      </c>
    </row>
    <row r="85" spans="1:20" ht="16.5" thickTop="1" thickBot="1" x14ac:dyDescent="0.3">
      <c r="A85" s="87">
        <f>SUBTOTAL(3,$B$7:B85)</f>
        <v>79</v>
      </c>
      <c r="B85" s="79">
        <v>3000000306</v>
      </c>
      <c r="C85" s="142" t="s">
        <v>91</v>
      </c>
      <c r="D85" s="79" t="s">
        <v>12</v>
      </c>
      <c r="E85" s="79" t="s">
        <v>629</v>
      </c>
      <c r="F85" s="90">
        <f>'YARD IN'!JU83-'YARD OUT'!CF83</f>
        <v>546</v>
      </c>
      <c r="G85" s="91">
        <f t="shared" si="4"/>
        <v>2195</v>
      </c>
      <c r="H85" s="92">
        <f>'S019 JAFURRA OUT'!K83-'S019 JAFURRA IN'!I83</f>
        <v>243</v>
      </c>
      <c r="I85" s="92">
        <f>'S020 DAMMAM OUT'!S83-'S020 DAMMAM IN'!I83</f>
        <v>0</v>
      </c>
      <c r="J85" s="92">
        <f>'S015 JAFFURA OUT'!DE83-'S015 JAFFURA IN'!AG83</f>
        <v>730</v>
      </c>
      <c r="K85" s="92">
        <f>'S016 JAFFURA OUT'!N83-'S016 JAFFURA IN'!N83</f>
        <v>0</v>
      </c>
      <c r="L85" s="92">
        <f>'S013 MARJAN OUT'!YX83-'S013 MARJAN IN'!PY83</f>
        <v>1185</v>
      </c>
      <c r="M85" s="92">
        <f>'S022 FADHALI OUT'!BW83-'S022 FADHALI IN'!N83</f>
        <v>0</v>
      </c>
      <c r="N85" s="92">
        <f>'S012 OYUN OUT'!AQ83-'S012 OYUN IN'!K83</f>
        <v>37</v>
      </c>
      <c r="O85" s="92">
        <f>'JAFFURA-NMP-01 OUT'!Y83-'JAFFURA-NMP-01 IN'!L83</f>
        <v>0</v>
      </c>
      <c r="P85" s="92">
        <f>'RENTAL MATERIAL OUT'!BM83-'RENTAL MATERIAL IN'!M83</f>
        <v>0</v>
      </c>
      <c r="Q85" s="92">
        <f>'ABU DHABI OUT'!DP83-'ABU DHABI IN'!AY83</f>
        <v>1232</v>
      </c>
      <c r="R85" s="93">
        <f t="shared" si="5"/>
        <v>2741</v>
      </c>
      <c r="S85" s="96">
        <v>5.1449999999999996</v>
      </c>
      <c r="T85" s="2">
        <f t="shared" si="6"/>
        <v>3973</v>
      </c>
    </row>
    <row r="86" spans="1:20" ht="16.5" thickTop="1" thickBot="1" x14ac:dyDescent="0.3">
      <c r="A86" s="87">
        <f>SUBTOTAL(3,$B$7:B86)</f>
        <v>80</v>
      </c>
      <c r="B86" s="79">
        <v>3000000307</v>
      </c>
      <c r="C86" s="142" t="s">
        <v>92</v>
      </c>
      <c r="D86" s="79" t="s">
        <v>12</v>
      </c>
      <c r="E86" s="79" t="s">
        <v>629</v>
      </c>
      <c r="F86" s="90">
        <f>'YARD IN'!JU84-'YARD OUT'!CF84</f>
        <v>1623</v>
      </c>
      <c r="G86" s="91">
        <f t="shared" si="4"/>
        <v>1</v>
      </c>
      <c r="H86" s="92">
        <f>'S019 JAFURRA OUT'!K84-'S019 JAFURRA IN'!I84</f>
        <v>0</v>
      </c>
      <c r="I86" s="92">
        <f>'S020 DAMMAM OUT'!S84-'S020 DAMMAM IN'!I84</f>
        <v>0</v>
      </c>
      <c r="J86" s="92">
        <v>0</v>
      </c>
      <c r="K86" s="92">
        <f>'S016 JAFFURA OUT'!N84-'S016 JAFFURA IN'!N84</f>
        <v>0</v>
      </c>
      <c r="L86" s="92">
        <v>1</v>
      </c>
      <c r="M86" s="92">
        <f>'S022 FADHALI OUT'!BW84-'S022 FADHALI IN'!N84</f>
        <v>0</v>
      </c>
      <c r="N86" s="92">
        <f>'S012 OYUN OUT'!AQ84-'S012 OYUN IN'!K84</f>
        <v>0</v>
      </c>
      <c r="O86" s="92">
        <f>'JAFFURA-NMP-01 OUT'!Y84-'JAFFURA-NMP-01 IN'!L84</f>
        <v>0</v>
      </c>
      <c r="P86" s="92">
        <f>'RENTAL MATERIAL OUT'!BM84-'RENTAL MATERIAL IN'!M84</f>
        <v>0</v>
      </c>
      <c r="Q86" s="92">
        <f>'ABU DHABI OUT'!DP84-'ABU DHABI IN'!AY84</f>
        <v>1270</v>
      </c>
      <c r="R86" s="93">
        <f t="shared" si="5"/>
        <v>1624</v>
      </c>
      <c r="S86" s="96">
        <v>5.6349999999999998</v>
      </c>
      <c r="T86" s="2">
        <f t="shared" si="6"/>
        <v>2894</v>
      </c>
    </row>
    <row r="87" spans="1:20" ht="16.5" thickTop="1" thickBot="1" x14ac:dyDescent="0.3">
      <c r="A87" s="87">
        <f>SUBTOTAL(3,$B$7:B87)</f>
        <v>81</v>
      </c>
      <c r="B87" s="79">
        <v>3000000308</v>
      </c>
      <c r="C87" s="142" t="s">
        <v>93</v>
      </c>
      <c r="D87" s="79" t="s">
        <v>12</v>
      </c>
      <c r="E87" s="79" t="s">
        <v>629</v>
      </c>
      <c r="F87" s="90">
        <f>'YARD IN'!JU85-'YARD OUT'!CF85</f>
        <v>2658</v>
      </c>
      <c r="G87" s="91">
        <f t="shared" si="4"/>
        <v>2564</v>
      </c>
      <c r="H87" s="92">
        <f>'S019 JAFURRA OUT'!K85-'S019 JAFURRA IN'!I85</f>
        <v>1263</v>
      </c>
      <c r="I87" s="92">
        <f>'S020 DAMMAM OUT'!S85-'S020 DAMMAM IN'!I85</f>
        <v>350</v>
      </c>
      <c r="J87" s="92">
        <f>'S015 JAFFURA OUT'!DE85-'S015 JAFFURA IN'!AG85</f>
        <v>592</v>
      </c>
      <c r="K87" s="92">
        <f>'S016 JAFFURA OUT'!N85-'S016 JAFFURA IN'!N85</f>
        <v>0</v>
      </c>
      <c r="L87" s="92">
        <f>'S013 MARJAN OUT'!YX85-'S013 MARJAN IN'!PY85</f>
        <v>359</v>
      </c>
      <c r="M87" s="92">
        <f>'S022 FADHALI OUT'!BW85-'S022 FADHALI IN'!N85</f>
        <v>0</v>
      </c>
      <c r="N87" s="92">
        <f>'S012 OYUN OUT'!AQ85-'S012 OYUN IN'!K85</f>
        <v>0</v>
      </c>
      <c r="O87" s="92">
        <f>'JAFFURA-NMP-01 OUT'!Y85-'JAFFURA-NMP-01 IN'!L85</f>
        <v>0</v>
      </c>
      <c r="P87" s="92">
        <f>'RENTAL MATERIAL OUT'!BM85-'RENTAL MATERIAL IN'!M85</f>
        <v>0</v>
      </c>
      <c r="Q87" s="92">
        <f>'ABU DHABI OUT'!DP85-'ABU DHABI IN'!AY85</f>
        <v>1808</v>
      </c>
      <c r="R87" s="93">
        <f t="shared" si="5"/>
        <v>5222</v>
      </c>
      <c r="S87" s="96">
        <v>6.33</v>
      </c>
      <c r="T87" s="2">
        <f t="shared" si="6"/>
        <v>7030</v>
      </c>
    </row>
    <row r="88" spans="1:20" ht="16.5" thickTop="1" thickBot="1" x14ac:dyDescent="0.3">
      <c r="A88" s="87">
        <f>SUBTOTAL(3,$B$7:B88)</f>
        <v>82</v>
      </c>
      <c r="B88" s="79">
        <v>3000003396</v>
      </c>
      <c r="C88" s="142" t="s">
        <v>94</v>
      </c>
      <c r="D88" s="79" t="s">
        <v>12</v>
      </c>
      <c r="E88" s="79" t="s">
        <v>629</v>
      </c>
      <c r="F88" s="90">
        <f>'YARD IN'!JU86-'YARD OUT'!CF86</f>
        <v>585</v>
      </c>
      <c r="G88" s="91">
        <f t="shared" si="4"/>
        <v>1135</v>
      </c>
      <c r="H88" s="92">
        <f>'S019 JAFURRA OUT'!K86-'S019 JAFURRA IN'!I86</f>
        <v>0</v>
      </c>
      <c r="I88" s="92">
        <f>'S020 DAMMAM OUT'!S86-'S020 DAMMAM IN'!I86</f>
        <v>0</v>
      </c>
      <c r="J88" s="92">
        <f>'S015 JAFFURA OUT'!DE86-'S015 JAFFURA IN'!AG86</f>
        <v>1101</v>
      </c>
      <c r="K88" s="92">
        <f>'S016 JAFFURA OUT'!N86-'S016 JAFFURA IN'!N86</f>
        <v>0</v>
      </c>
      <c r="L88" s="92">
        <f>'S013 MARJAN OUT'!YX86-'S013 MARJAN IN'!PY86</f>
        <v>34</v>
      </c>
      <c r="M88" s="92">
        <f>'S022 FADHALI OUT'!BW86-'S022 FADHALI IN'!N86</f>
        <v>0</v>
      </c>
      <c r="N88" s="92">
        <f>'S012 OYUN OUT'!AQ86-'S012 OYUN IN'!K86</f>
        <v>0</v>
      </c>
      <c r="O88" s="92">
        <f>'JAFFURA-NMP-01 OUT'!Y86-'JAFFURA-NMP-01 IN'!L86</f>
        <v>0</v>
      </c>
      <c r="P88" s="92">
        <f>'RENTAL MATERIAL OUT'!BM86-'RENTAL MATERIAL IN'!M86</f>
        <v>0</v>
      </c>
      <c r="Q88" s="92">
        <f>'ABU DHABI OUT'!DP86-'ABU DHABI IN'!AY86</f>
        <v>888</v>
      </c>
      <c r="R88" s="93">
        <f t="shared" si="5"/>
        <v>1720</v>
      </c>
      <c r="S88" s="96">
        <v>6.9249999999999998</v>
      </c>
      <c r="T88" s="2">
        <f t="shared" si="6"/>
        <v>2608</v>
      </c>
    </row>
    <row r="89" spans="1:20" ht="16.5" thickTop="1" thickBot="1" x14ac:dyDescent="0.3">
      <c r="A89" s="87">
        <f>SUBTOTAL(3,$B$7:B89)</f>
        <v>83</v>
      </c>
      <c r="B89" s="79">
        <v>3000000309</v>
      </c>
      <c r="C89" s="142" t="s">
        <v>95</v>
      </c>
      <c r="D89" s="79" t="s">
        <v>12</v>
      </c>
      <c r="E89" s="79" t="s">
        <v>629</v>
      </c>
      <c r="F89" s="90">
        <f>'YARD IN'!JU87-'YARD OUT'!CF87</f>
        <v>8130</v>
      </c>
      <c r="G89" s="91">
        <f t="shared" si="4"/>
        <v>7791</v>
      </c>
      <c r="H89" s="92">
        <f>'S019 JAFURRA OUT'!K87-'S019 JAFURRA IN'!I87</f>
        <v>2604</v>
      </c>
      <c r="I89" s="92">
        <f>'S020 DAMMAM OUT'!S87-'S020 DAMMAM IN'!I87</f>
        <v>0</v>
      </c>
      <c r="J89" s="92">
        <f>'S015 JAFFURA OUT'!DE87-'S015 JAFFURA IN'!AG87</f>
        <v>3886</v>
      </c>
      <c r="K89" s="92">
        <f>'S016 JAFFURA OUT'!N87-'S016 JAFFURA IN'!N87</f>
        <v>0</v>
      </c>
      <c r="L89" s="92">
        <f>'S013 MARJAN OUT'!YX87-'S013 MARJAN IN'!PY87</f>
        <v>1006</v>
      </c>
      <c r="M89" s="92">
        <f>'S022 FADHALI OUT'!BW87-'S022 FADHALI IN'!N87</f>
        <v>0</v>
      </c>
      <c r="N89" s="92">
        <f>'S012 OYUN OUT'!AQ87-'S012 OYUN IN'!K87</f>
        <v>295</v>
      </c>
      <c r="O89" s="92">
        <f>'JAFFURA-NMP-01 OUT'!Y87-'JAFFURA-NMP-01 IN'!L87</f>
        <v>0</v>
      </c>
      <c r="P89" s="92">
        <f>'RENTAL MATERIAL OUT'!BM87-'RENTAL MATERIAL IN'!M87</f>
        <v>0</v>
      </c>
      <c r="Q89" s="92">
        <f>'ABU DHABI OUT'!DP87-'ABU DHABI IN'!AY87</f>
        <v>2191</v>
      </c>
      <c r="R89" s="93">
        <f t="shared" si="5"/>
        <v>15921</v>
      </c>
      <c r="S89" s="96">
        <v>9.09</v>
      </c>
      <c r="T89" s="2">
        <f t="shared" si="6"/>
        <v>18112</v>
      </c>
    </row>
    <row r="90" spans="1:20" ht="16.5" thickTop="1" thickBot="1" x14ac:dyDescent="0.3">
      <c r="A90" s="87">
        <f>SUBTOTAL(3,$B$7:B90)</f>
        <v>84</v>
      </c>
      <c r="B90" s="79">
        <v>3000000310</v>
      </c>
      <c r="C90" s="142" t="s">
        <v>96</v>
      </c>
      <c r="D90" s="79" t="s">
        <v>12</v>
      </c>
      <c r="E90" s="79" t="s">
        <v>629</v>
      </c>
      <c r="F90" s="90">
        <f>'YARD IN'!JU88-'YARD OUT'!CF88</f>
        <v>242</v>
      </c>
      <c r="G90" s="91">
        <f t="shared" si="4"/>
        <v>355</v>
      </c>
      <c r="H90" s="92">
        <f>'S019 JAFURRA OUT'!K88-'S019 JAFURRA IN'!I88</f>
        <v>0</v>
      </c>
      <c r="I90" s="92">
        <f>'S020 DAMMAM OUT'!S88-'S020 DAMMAM IN'!I88</f>
        <v>0</v>
      </c>
      <c r="J90" s="92">
        <f>'S015 JAFFURA OUT'!DE88-'S015 JAFFURA IN'!AG88</f>
        <v>23</v>
      </c>
      <c r="K90" s="92">
        <f>'S016 JAFFURA OUT'!N88-'S016 JAFFURA IN'!N88</f>
        <v>0</v>
      </c>
      <c r="L90" s="92">
        <f>'S013 MARJAN OUT'!YX88-'S013 MARJAN IN'!PY88</f>
        <v>242</v>
      </c>
      <c r="M90" s="92">
        <f>'S022 FADHALI OUT'!BW88-'S022 FADHALI IN'!N88</f>
        <v>0</v>
      </c>
      <c r="N90" s="92">
        <f>'S012 OYUN OUT'!AQ88-'S012 OYUN IN'!K88</f>
        <v>90</v>
      </c>
      <c r="O90" s="92">
        <f>'JAFFURA-NMP-01 OUT'!Y88-'JAFFURA-NMP-01 IN'!L88</f>
        <v>0</v>
      </c>
      <c r="P90" s="92">
        <f>'RENTAL MATERIAL OUT'!BM88-'RENTAL MATERIAL IN'!M88</f>
        <v>0</v>
      </c>
      <c r="Q90" s="92">
        <f>'ABU DHABI OUT'!DP88-'ABU DHABI IN'!AY88</f>
        <v>0</v>
      </c>
      <c r="R90" s="93">
        <f t="shared" si="5"/>
        <v>597</v>
      </c>
      <c r="S90" s="96">
        <v>10.31</v>
      </c>
      <c r="T90" s="2">
        <f t="shared" si="6"/>
        <v>597</v>
      </c>
    </row>
    <row r="91" spans="1:20" ht="16.5" thickTop="1" thickBot="1" x14ac:dyDescent="0.3">
      <c r="A91" s="87">
        <f>SUBTOTAL(3,$B$7:B91)</f>
        <v>85</v>
      </c>
      <c r="B91" s="79">
        <v>3000008517</v>
      </c>
      <c r="C91" s="142" t="s">
        <v>97</v>
      </c>
      <c r="D91" s="79" t="s">
        <v>12</v>
      </c>
      <c r="E91" s="79" t="s">
        <v>630</v>
      </c>
      <c r="F91" s="90">
        <f>'YARD IN'!JU89-'YARD OUT'!CF89</f>
        <v>0</v>
      </c>
      <c r="G91" s="91">
        <f t="shared" si="4"/>
        <v>85</v>
      </c>
      <c r="H91" s="92">
        <f>'S019 JAFURRA OUT'!K89-'S019 JAFURRA IN'!I89</f>
        <v>0</v>
      </c>
      <c r="I91" s="92">
        <f>'S020 DAMMAM OUT'!S89-'S020 DAMMAM IN'!I89</f>
        <v>0</v>
      </c>
      <c r="J91" s="92">
        <f>'S015 JAFFURA OUT'!DE89-'S015 JAFFURA IN'!AG89</f>
        <v>85</v>
      </c>
      <c r="K91" s="92">
        <f>'S016 JAFFURA OUT'!N89-'S016 JAFFURA IN'!N89</f>
        <v>0</v>
      </c>
      <c r="L91" s="92">
        <f>'S013 MARJAN OUT'!YX89-'S013 MARJAN IN'!PY89</f>
        <v>0</v>
      </c>
      <c r="M91" s="92">
        <f>'S022 FADHALI OUT'!BW89-'S022 FADHALI IN'!N89</f>
        <v>0</v>
      </c>
      <c r="N91" s="92">
        <f>'S012 OYUN OUT'!AQ89-'S012 OYUN IN'!K89</f>
        <v>0</v>
      </c>
      <c r="O91" s="92">
        <f>'JAFFURA-NMP-01 OUT'!Y89-'JAFFURA-NMP-01 IN'!L89</f>
        <v>0</v>
      </c>
      <c r="P91" s="92">
        <f>'RENTAL MATERIAL OUT'!BM89-'RENTAL MATERIAL IN'!M89</f>
        <v>0</v>
      </c>
      <c r="Q91" s="92">
        <f>'ABU DHABI OUT'!DP89-'ABU DHABI IN'!AY89</f>
        <v>0</v>
      </c>
      <c r="R91" s="93">
        <f t="shared" si="5"/>
        <v>85</v>
      </c>
      <c r="S91" s="96">
        <v>0.97</v>
      </c>
    </row>
    <row r="92" spans="1:20" ht="16.5" thickTop="1" thickBot="1" x14ac:dyDescent="0.3">
      <c r="A92" s="87">
        <f>SUBTOTAL(3,$B$7:B92)</f>
        <v>86</v>
      </c>
      <c r="B92" s="79">
        <v>3000008518</v>
      </c>
      <c r="C92" s="142" t="s">
        <v>98</v>
      </c>
      <c r="D92" s="79" t="s">
        <v>12</v>
      </c>
      <c r="E92" s="79" t="s">
        <v>630</v>
      </c>
      <c r="F92" s="90">
        <f>'YARD IN'!JU90-'YARD OUT'!CF90</f>
        <v>0</v>
      </c>
      <c r="G92" s="91">
        <f t="shared" si="4"/>
        <v>80</v>
      </c>
      <c r="H92" s="92">
        <f>'S019 JAFURRA OUT'!K90-'S019 JAFURRA IN'!I90</f>
        <v>0</v>
      </c>
      <c r="I92" s="92">
        <f>'S020 DAMMAM OUT'!S90-'S020 DAMMAM IN'!I90</f>
        <v>0</v>
      </c>
      <c r="J92" s="92">
        <f>'S015 JAFFURA OUT'!DE90-'S015 JAFFURA IN'!AG90</f>
        <v>80</v>
      </c>
      <c r="K92" s="92">
        <f>'S016 JAFFURA OUT'!N90-'S016 JAFFURA IN'!N90</f>
        <v>0</v>
      </c>
      <c r="L92" s="92">
        <f>'S013 MARJAN OUT'!YX90-'S013 MARJAN IN'!PY90</f>
        <v>0</v>
      </c>
      <c r="M92" s="92">
        <f>'S022 FADHALI OUT'!BW90-'S022 FADHALI IN'!N90</f>
        <v>0</v>
      </c>
      <c r="N92" s="92">
        <f>'S012 OYUN OUT'!AQ90-'S012 OYUN IN'!K90</f>
        <v>0</v>
      </c>
      <c r="O92" s="92">
        <f>'JAFFURA-NMP-01 OUT'!Y90-'JAFFURA-NMP-01 IN'!L90</f>
        <v>0</v>
      </c>
      <c r="P92" s="92">
        <f>'RENTAL MATERIAL OUT'!BM90-'RENTAL MATERIAL IN'!M90</f>
        <v>0</v>
      </c>
      <c r="Q92" s="92">
        <f>'ABU DHABI OUT'!DP90-'ABU DHABI IN'!AY90</f>
        <v>0</v>
      </c>
      <c r="R92" s="93">
        <f t="shared" si="5"/>
        <v>80</v>
      </c>
      <c r="S92" s="96">
        <v>2.38</v>
      </c>
    </row>
    <row r="93" spans="1:20" ht="16.5" thickTop="1" thickBot="1" x14ac:dyDescent="0.3">
      <c r="A93" s="87">
        <f>SUBTOTAL(3,$B$7:B93)</f>
        <v>87</v>
      </c>
      <c r="B93" s="79">
        <v>3000004960</v>
      </c>
      <c r="C93" s="142" t="s">
        <v>99</v>
      </c>
      <c r="D93" s="79" t="s">
        <v>12</v>
      </c>
      <c r="E93" s="79" t="s">
        <v>630</v>
      </c>
      <c r="F93" s="90">
        <f>'YARD IN'!JU91-'YARD OUT'!CF91</f>
        <v>0</v>
      </c>
      <c r="G93" s="91">
        <f t="shared" si="4"/>
        <v>60</v>
      </c>
      <c r="H93" s="92">
        <f>'S019 JAFURRA OUT'!K91-'S019 JAFURRA IN'!I91</f>
        <v>0</v>
      </c>
      <c r="I93" s="92">
        <f>'S020 DAMMAM OUT'!S91-'S020 DAMMAM IN'!I91</f>
        <v>0</v>
      </c>
      <c r="J93" s="92">
        <f>'S015 JAFFURA OUT'!DE91-'S015 JAFFURA IN'!AG91</f>
        <v>60</v>
      </c>
      <c r="K93" s="92">
        <f>'S016 JAFFURA OUT'!N91-'S016 JAFFURA IN'!N91</f>
        <v>0</v>
      </c>
      <c r="L93" s="92">
        <f>'S013 MARJAN OUT'!YX91-'S013 MARJAN IN'!PY91</f>
        <v>0</v>
      </c>
      <c r="M93" s="92">
        <f>'S022 FADHALI OUT'!BW91-'S022 FADHALI IN'!N91</f>
        <v>0</v>
      </c>
      <c r="N93" s="92">
        <f>'S012 OYUN OUT'!AQ91-'S012 OYUN IN'!K91</f>
        <v>0</v>
      </c>
      <c r="O93" s="92">
        <f>'JAFFURA-NMP-01 OUT'!Y91-'JAFFURA-NMP-01 IN'!L91</f>
        <v>0</v>
      </c>
      <c r="P93" s="92">
        <f>'RENTAL MATERIAL OUT'!BM91-'RENTAL MATERIAL IN'!M91</f>
        <v>0</v>
      </c>
      <c r="Q93" s="92">
        <f>'ABU DHABI OUT'!DP91-'ABU DHABI IN'!AY91</f>
        <v>0</v>
      </c>
      <c r="R93" s="93">
        <f t="shared" si="5"/>
        <v>60</v>
      </c>
      <c r="S93" s="96">
        <v>2.8</v>
      </c>
    </row>
    <row r="94" spans="1:20" ht="16.5" thickTop="1" thickBot="1" x14ac:dyDescent="0.3">
      <c r="A94" s="87">
        <f>SUBTOTAL(3,$B$7:B94)</f>
        <v>88</v>
      </c>
      <c r="B94" s="79">
        <v>3000008519</v>
      </c>
      <c r="C94" s="142" t="s">
        <v>100</v>
      </c>
      <c r="D94" s="79" t="s">
        <v>12</v>
      </c>
      <c r="E94" s="79" t="s">
        <v>630</v>
      </c>
      <c r="F94" s="90">
        <f>'YARD IN'!JU92-'YARD OUT'!CF92</f>
        <v>100</v>
      </c>
      <c r="G94" s="91">
        <f t="shared" si="4"/>
        <v>66</v>
      </c>
      <c r="H94" s="92">
        <f>'S019 JAFURRA OUT'!K92-'S019 JAFURRA IN'!I92</f>
        <v>0</v>
      </c>
      <c r="I94" s="92">
        <f>'S020 DAMMAM OUT'!S92-'S020 DAMMAM IN'!I92</f>
        <v>0</v>
      </c>
      <c r="J94" s="92">
        <f>'S015 JAFFURA OUT'!DE92-'S015 JAFFURA IN'!AG92</f>
        <v>66</v>
      </c>
      <c r="K94" s="92">
        <f>'S016 JAFFURA OUT'!N92-'S016 JAFFURA IN'!N92</f>
        <v>0</v>
      </c>
      <c r="L94" s="92">
        <f>'S013 MARJAN OUT'!YX92-'S013 MARJAN IN'!PY92</f>
        <v>0</v>
      </c>
      <c r="M94" s="92">
        <f>'S022 FADHALI OUT'!BW92-'S022 FADHALI IN'!N92</f>
        <v>0</v>
      </c>
      <c r="N94" s="92">
        <f>'S012 OYUN OUT'!AQ92-'S012 OYUN IN'!K92</f>
        <v>0</v>
      </c>
      <c r="O94" s="92">
        <f>'JAFFURA-NMP-01 OUT'!Y92-'JAFFURA-NMP-01 IN'!L92</f>
        <v>0</v>
      </c>
      <c r="P94" s="92">
        <f>'RENTAL MATERIAL OUT'!BM92-'RENTAL MATERIAL IN'!M92</f>
        <v>0</v>
      </c>
      <c r="Q94" s="92">
        <f>'ABU DHABI OUT'!DP92-'ABU DHABI IN'!AY92</f>
        <v>0</v>
      </c>
      <c r="R94" s="93">
        <f t="shared" si="5"/>
        <v>166</v>
      </c>
      <c r="S94" s="135">
        <v>1.04</v>
      </c>
    </row>
    <row r="95" spans="1:20" ht="16.5" thickTop="1" thickBot="1" x14ac:dyDescent="0.3">
      <c r="A95" s="87">
        <f>SUBTOTAL(3,$B$7:B95)</f>
        <v>89</v>
      </c>
      <c r="B95" s="79">
        <v>3000008514</v>
      </c>
      <c r="C95" s="142" t="s">
        <v>101</v>
      </c>
      <c r="D95" s="79" t="s">
        <v>12</v>
      </c>
      <c r="E95" s="79" t="s">
        <v>630</v>
      </c>
      <c r="F95" s="90">
        <f>'YARD IN'!JU93-'YARD OUT'!CF93</f>
        <v>390</v>
      </c>
      <c r="G95" s="91">
        <f t="shared" si="4"/>
        <v>2325</v>
      </c>
      <c r="H95" s="92">
        <f>'S019 JAFURRA OUT'!K93-'S019 JAFURRA IN'!I93</f>
        <v>0</v>
      </c>
      <c r="I95" s="92">
        <f>'S020 DAMMAM OUT'!S93-'S020 DAMMAM IN'!I93</f>
        <v>0</v>
      </c>
      <c r="J95" s="92">
        <f>'S015 JAFFURA OUT'!DE93-'S015 JAFFURA IN'!AG93</f>
        <v>2075</v>
      </c>
      <c r="K95" s="92">
        <f>'S016 JAFFURA OUT'!N93-'S016 JAFFURA IN'!N93</f>
        <v>0</v>
      </c>
      <c r="L95" s="92">
        <f>'S013 MARJAN OUT'!YX93-'S013 MARJAN IN'!PY93</f>
        <v>0</v>
      </c>
      <c r="M95" s="92">
        <f>'S022 FADHALI OUT'!BW93-'S022 FADHALI IN'!N93</f>
        <v>0</v>
      </c>
      <c r="N95" s="92">
        <f>'S012 OYUN OUT'!AQ93-'S012 OYUN IN'!K93</f>
        <v>250</v>
      </c>
      <c r="O95" s="92">
        <f>'JAFFURA-NMP-01 OUT'!Y93-'JAFFURA-NMP-01 IN'!L93</f>
        <v>0</v>
      </c>
      <c r="P95" s="92">
        <f>'RENTAL MATERIAL OUT'!BM93-'RENTAL MATERIAL IN'!M93</f>
        <v>0</v>
      </c>
      <c r="Q95" s="92">
        <f>'ABU DHABI OUT'!DP93-'ABU DHABI IN'!AY93</f>
        <v>0</v>
      </c>
      <c r="R95" s="93">
        <f t="shared" si="5"/>
        <v>2715</v>
      </c>
      <c r="S95" s="135">
        <v>1.6E-2</v>
      </c>
    </row>
    <row r="96" spans="1:20" ht="16.5" thickTop="1" thickBot="1" x14ac:dyDescent="0.3">
      <c r="A96" s="87">
        <f>SUBTOTAL(3,$B$7:B96)</f>
        <v>90</v>
      </c>
      <c r="B96" s="79">
        <v>3000008515</v>
      </c>
      <c r="C96" s="142" t="s">
        <v>102</v>
      </c>
      <c r="D96" s="79" t="s">
        <v>12</v>
      </c>
      <c r="E96" s="79" t="s">
        <v>630</v>
      </c>
      <c r="F96" s="90">
        <f>'YARD IN'!JU94-'YARD OUT'!CF94</f>
        <v>0</v>
      </c>
      <c r="G96" s="91">
        <f t="shared" si="4"/>
        <v>66</v>
      </c>
      <c r="H96" s="92">
        <f>'S019 JAFURRA OUT'!K94-'S019 JAFURRA IN'!I94</f>
        <v>0</v>
      </c>
      <c r="I96" s="92">
        <f>'S020 DAMMAM OUT'!S94-'S020 DAMMAM IN'!I94</f>
        <v>0</v>
      </c>
      <c r="J96" s="92">
        <f>'S015 JAFFURA OUT'!DE94-'S015 JAFFURA IN'!AG94</f>
        <v>66</v>
      </c>
      <c r="K96" s="92">
        <f>'S016 JAFFURA OUT'!N94-'S016 JAFFURA IN'!N94</f>
        <v>0</v>
      </c>
      <c r="L96" s="92">
        <f>'S013 MARJAN OUT'!YX94-'S013 MARJAN IN'!PY94</f>
        <v>0</v>
      </c>
      <c r="M96" s="92">
        <f>'S022 FADHALI OUT'!BW94-'S022 FADHALI IN'!N94</f>
        <v>0</v>
      </c>
      <c r="N96" s="92">
        <f>'S012 OYUN OUT'!AQ94-'S012 OYUN IN'!K94</f>
        <v>0</v>
      </c>
      <c r="O96" s="92">
        <f>'JAFFURA-NMP-01 OUT'!Y94-'JAFFURA-NMP-01 IN'!L94</f>
        <v>0</v>
      </c>
      <c r="P96" s="92">
        <f>'RENTAL MATERIAL OUT'!BM94-'RENTAL MATERIAL IN'!M94</f>
        <v>0</v>
      </c>
      <c r="Q96" s="92">
        <f>'ABU DHABI OUT'!DP94-'ABU DHABI IN'!AY94</f>
        <v>0</v>
      </c>
      <c r="R96" s="93">
        <f t="shared" si="5"/>
        <v>66</v>
      </c>
      <c r="S96" s="96">
        <v>8.2000000000000003E-2</v>
      </c>
    </row>
    <row r="97" spans="1:20" ht="16.5" thickTop="1" thickBot="1" x14ac:dyDescent="0.3">
      <c r="A97" s="87">
        <f>SUBTOTAL(3,$B$7:B97)</f>
        <v>91</v>
      </c>
      <c r="B97" s="79">
        <v>3000008521</v>
      </c>
      <c r="C97" s="142" t="s">
        <v>103</v>
      </c>
      <c r="D97" s="79" t="s">
        <v>12</v>
      </c>
      <c r="E97" s="79" t="s">
        <v>630</v>
      </c>
      <c r="F97" s="90">
        <f>'YARD IN'!JU95-'YARD OUT'!CF95</f>
        <v>0</v>
      </c>
      <c r="G97" s="91">
        <f t="shared" si="4"/>
        <v>80</v>
      </c>
      <c r="H97" s="92">
        <f>'S019 JAFURRA OUT'!K95-'S019 JAFURRA IN'!I95</f>
        <v>0</v>
      </c>
      <c r="I97" s="92">
        <f>'S020 DAMMAM OUT'!S95-'S020 DAMMAM IN'!I95</f>
        <v>0</v>
      </c>
      <c r="J97" s="92">
        <f>'S015 JAFFURA OUT'!DE95-'S015 JAFFURA IN'!AG95</f>
        <v>80</v>
      </c>
      <c r="K97" s="92">
        <f>'S016 JAFFURA OUT'!N95-'S016 JAFFURA IN'!N95</f>
        <v>0</v>
      </c>
      <c r="L97" s="92">
        <f>'S013 MARJAN OUT'!YX95-'S013 MARJAN IN'!PY95</f>
        <v>0</v>
      </c>
      <c r="M97" s="92">
        <f>'S022 FADHALI OUT'!BW95-'S022 FADHALI IN'!N95</f>
        <v>0</v>
      </c>
      <c r="N97" s="92">
        <f>'S012 OYUN OUT'!AQ95-'S012 OYUN IN'!K95</f>
        <v>0</v>
      </c>
      <c r="O97" s="92">
        <f>'JAFFURA-NMP-01 OUT'!Y95-'JAFFURA-NMP-01 IN'!L95</f>
        <v>0</v>
      </c>
      <c r="P97" s="92">
        <f>'RENTAL MATERIAL OUT'!BM95-'RENTAL MATERIAL IN'!M95</f>
        <v>0</v>
      </c>
      <c r="Q97" s="92">
        <f>'ABU DHABI OUT'!DP95-'ABU DHABI IN'!AY95</f>
        <v>0</v>
      </c>
      <c r="R97" s="93">
        <f t="shared" si="5"/>
        <v>80</v>
      </c>
      <c r="S97" s="96">
        <v>0.91</v>
      </c>
    </row>
    <row r="98" spans="1:20" ht="16.5" thickTop="1" thickBot="1" x14ac:dyDescent="0.3">
      <c r="A98" s="87">
        <f>SUBTOTAL(3,$B$7:B98)</f>
        <v>92</v>
      </c>
      <c r="B98" s="79">
        <v>5000000019</v>
      </c>
      <c r="C98" s="142" t="s">
        <v>104</v>
      </c>
      <c r="D98" s="79" t="s">
        <v>12</v>
      </c>
      <c r="E98" s="79" t="s">
        <v>630</v>
      </c>
      <c r="F98" s="90">
        <f>'YARD IN'!JU96-'YARD OUT'!CF96</f>
        <v>0</v>
      </c>
      <c r="G98" s="91">
        <f t="shared" si="4"/>
        <v>0</v>
      </c>
      <c r="H98" s="92">
        <f>'S019 JAFURRA OUT'!K96-'S019 JAFURRA IN'!I96</f>
        <v>0</v>
      </c>
      <c r="I98" s="92">
        <f>'S020 DAMMAM OUT'!S96-'S020 DAMMAM IN'!I96</f>
        <v>0</v>
      </c>
      <c r="J98" s="92">
        <f>'S015 JAFFURA OUT'!DE96-'S015 JAFFURA IN'!AG96</f>
        <v>0</v>
      </c>
      <c r="K98" s="92">
        <f>'S016 JAFFURA OUT'!N96-'S016 JAFFURA IN'!N96</f>
        <v>0</v>
      </c>
      <c r="L98" s="92">
        <f>'S013 MARJAN OUT'!YX96-'S013 MARJAN IN'!PY96</f>
        <v>0</v>
      </c>
      <c r="M98" s="92">
        <f>'S022 FADHALI OUT'!BW96-'S022 FADHALI IN'!N96</f>
        <v>0</v>
      </c>
      <c r="N98" s="92">
        <f>'S012 OYUN OUT'!AQ96-'S012 OYUN IN'!K96</f>
        <v>0</v>
      </c>
      <c r="O98" s="92">
        <f>'JAFFURA-NMP-01 OUT'!Y96-'JAFFURA-NMP-01 IN'!L96</f>
        <v>0</v>
      </c>
      <c r="P98" s="92">
        <f>'RENTAL MATERIAL OUT'!BM96-'RENTAL MATERIAL IN'!M96</f>
        <v>0</v>
      </c>
      <c r="Q98" s="92">
        <f>'ABU DHABI OUT'!DP96-'ABU DHABI IN'!AY96</f>
        <v>0</v>
      </c>
      <c r="R98" s="93">
        <f t="shared" si="5"/>
        <v>0</v>
      </c>
      <c r="S98" s="96"/>
    </row>
    <row r="99" spans="1:20" ht="16.5" thickTop="1" thickBot="1" x14ac:dyDescent="0.3">
      <c r="A99" s="87">
        <f>SUBTOTAL(3,$B$7:B99)</f>
        <v>93</v>
      </c>
      <c r="B99" s="79">
        <v>5000000018</v>
      </c>
      <c r="C99" s="142" t="s">
        <v>105</v>
      </c>
      <c r="D99" s="79" t="s">
        <v>12</v>
      </c>
      <c r="E99" s="79" t="s">
        <v>630</v>
      </c>
      <c r="F99" s="90">
        <f>'YARD IN'!JU97-'YARD OUT'!CF97</f>
        <v>0</v>
      </c>
      <c r="G99" s="91">
        <f t="shared" si="4"/>
        <v>0</v>
      </c>
      <c r="H99" s="92">
        <f>'S019 JAFURRA OUT'!K97-'S019 JAFURRA IN'!I97</f>
        <v>0</v>
      </c>
      <c r="I99" s="92">
        <f>'S020 DAMMAM OUT'!S97-'S020 DAMMAM IN'!I97</f>
        <v>0</v>
      </c>
      <c r="J99" s="92">
        <f>'S015 JAFFURA OUT'!DE97-'S015 JAFFURA IN'!AG97</f>
        <v>0</v>
      </c>
      <c r="K99" s="92">
        <f>'S016 JAFFURA OUT'!N97-'S016 JAFFURA IN'!N97</f>
        <v>0</v>
      </c>
      <c r="L99" s="92">
        <f>'S013 MARJAN OUT'!YX97-'S013 MARJAN IN'!PY97</f>
        <v>0</v>
      </c>
      <c r="M99" s="92">
        <f>'S022 FADHALI OUT'!BW97-'S022 FADHALI IN'!N97</f>
        <v>0</v>
      </c>
      <c r="N99" s="92">
        <f>'S012 OYUN OUT'!AQ97-'S012 OYUN IN'!K97</f>
        <v>0</v>
      </c>
      <c r="O99" s="92">
        <f>'JAFFURA-NMP-01 OUT'!Y97-'JAFFURA-NMP-01 IN'!L97</f>
        <v>0</v>
      </c>
      <c r="P99" s="92">
        <f>'RENTAL MATERIAL OUT'!BM97-'RENTAL MATERIAL IN'!M97</f>
        <v>0</v>
      </c>
      <c r="Q99" s="92">
        <f>'ABU DHABI OUT'!DP97-'ABU DHABI IN'!AY97</f>
        <v>0</v>
      </c>
      <c r="R99" s="93">
        <f t="shared" si="5"/>
        <v>0</v>
      </c>
      <c r="S99" s="96"/>
    </row>
    <row r="100" spans="1:20" ht="16.5" thickTop="1" thickBot="1" x14ac:dyDescent="0.3">
      <c r="A100" s="87">
        <f>SUBTOTAL(3,$B$7:B100)</f>
        <v>94</v>
      </c>
      <c r="B100" s="79">
        <v>3000004956</v>
      </c>
      <c r="C100" s="142" t="s">
        <v>106</v>
      </c>
      <c r="D100" s="79" t="s">
        <v>12</v>
      </c>
      <c r="E100" s="79" t="s">
        <v>630</v>
      </c>
      <c r="F100" s="90">
        <f>'YARD IN'!JU98-'YARD OUT'!CF98</f>
        <v>51</v>
      </c>
      <c r="G100" s="91">
        <f t="shared" si="4"/>
        <v>120</v>
      </c>
      <c r="H100" s="92">
        <f>'S019 JAFURRA OUT'!K98-'S019 JAFURRA IN'!I98</f>
        <v>0</v>
      </c>
      <c r="I100" s="92">
        <f>'S020 DAMMAM OUT'!S98-'S020 DAMMAM IN'!I98</f>
        <v>0</v>
      </c>
      <c r="J100" s="92">
        <f>'S015 JAFFURA OUT'!DE98-'S015 JAFFURA IN'!AG98</f>
        <v>0</v>
      </c>
      <c r="K100" s="92">
        <f>'S016 JAFFURA OUT'!N98-'S016 JAFFURA IN'!N98</f>
        <v>0</v>
      </c>
      <c r="L100" s="92">
        <f>'S013 MARJAN OUT'!YX98-'S013 MARJAN IN'!PY98</f>
        <v>0</v>
      </c>
      <c r="M100" s="92">
        <f>'S022 FADHALI OUT'!BW98-'S022 FADHALI IN'!N98</f>
        <v>0</v>
      </c>
      <c r="N100" s="92">
        <f>'S012 OYUN OUT'!AQ98-'S012 OYUN IN'!K98</f>
        <v>120</v>
      </c>
      <c r="O100" s="92">
        <f>'JAFFURA-NMP-01 OUT'!Y98-'JAFFURA-NMP-01 IN'!L98</f>
        <v>0</v>
      </c>
      <c r="P100" s="92">
        <f>'RENTAL MATERIAL OUT'!BM98-'RENTAL MATERIAL IN'!M98</f>
        <v>0</v>
      </c>
      <c r="Q100" s="92">
        <f>'ABU DHABI OUT'!DP98-'ABU DHABI IN'!AY98</f>
        <v>0</v>
      </c>
      <c r="R100" s="93">
        <f t="shared" si="5"/>
        <v>171</v>
      </c>
      <c r="S100" s="135">
        <v>14.2</v>
      </c>
    </row>
    <row r="101" spans="1:20" ht="16.5" thickTop="1" thickBot="1" x14ac:dyDescent="0.3">
      <c r="A101" s="87">
        <f>SUBTOTAL(3,$B$7:B101)</f>
        <v>95</v>
      </c>
      <c r="B101" s="79">
        <v>3000004954</v>
      </c>
      <c r="C101" s="142" t="s">
        <v>107</v>
      </c>
      <c r="D101" s="79" t="s">
        <v>12</v>
      </c>
      <c r="E101" s="79" t="s">
        <v>630</v>
      </c>
      <c r="F101" s="90">
        <f>'YARD IN'!JU99-'YARD OUT'!CF99</f>
        <v>0</v>
      </c>
      <c r="G101" s="91">
        <f t="shared" si="4"/>
        <v>56</v>
      </c>
      <c r="H101" s="92">
        <f>'S019 JAFURRA OUT'!K99-'S019 JAFURRA IN'!I99</f>
        <v>0</v>
      </c>
      <c r="I101" s="92">
        <f>'S020 DAMMAM OUT'!S99-'S020 DAMMAM IN'!I99</f>
        <v>0</v>
      </c>
      <c r="J101" s="92">
        <f>'S015 JAFFURA OUT'!DE99-'S015 JAFFURA IN'!AG99</f>
        <v>46</v>
      </c>
      <c r="K101" s="92">
        <f>'S016 JAFFURA OUT'!N99-'S016 JAFFURA IN'!N99</f>
        <v>0</v>
      </c>
      <c r="L101" s="92">
        <f>'S013 MARJAN OUT'!YX99-'S013 MARJAN IN'!PY99</f>
        <v>0</v>
      </c>
      <c r="M101" s="92">
        <f>'S022 FADHALI OUT'!BW99-'S022 FADHALI IN'!N99</f>
        <v>0</v>
      </c>
      <c r="N101" s="92">
        <f>'S012 OYUN OUT'!AQ99-'S012 OYUN IN'!K99</f>
        <v>10</v>
      </c>
      <c r="O101" s="92">
        <f>'JAFFURA-NMP-01 OUT'!Y99-'JAFFURA-NMP-01 IN'!L99</f>
        <v>0</v>
      </c>
      <c r="P101" s="92">
        <f>'RENTAL MATERIAL OUT'!BM99-'RENTAL MATERIAL IN'!M99</f>
        <v>0</v>
      </c>
      <c r="Q101" s="92">
        <f>'ABU DHABI OUT'!DP99-'ABU DHABI IN'!AY99</f>
        <v>0</v>
      </c>
      <c r="R101" s="93">
        <f t="shared" si="5"/>
        <v>56</v>
      </c>
      <c r="S101" s="96">
        <v>17.100000000000001</v>
      </c>
    </row>
    <row r="102" spans="1:20" ht="16.5" thickTop="1" thickBot="1" x14ac:dyDescent="0.3">
      <c r="A102" s="87">
        <f>SUBTOTAL(3,$B$7:B102)</f>
        <v>96</v>
      </c>
      <c r="B102" s="79">
        <v>3000005013</v>
      </c>
      <c r="C102" s="142" t="s">
        <v>108</v>
      </c>
      <c r="D102" s="79" t="s">
        <v>12</v>
      </c>
      <c r="E102" s="79" t="s">
        <v>630</v>
      </c>
      <c r="F102" s="90">
        <f>'YARD IN'!JU100-'YARD OUT'!CF100</f>
        <v>42</v>
      </c>
      <c r="G102" s="91">
        <f t="shared" si="4"/>
        <v>0</v>
      </c>
      <c r="H102" s="92">
        <f>'S019 JAFURRA OUT'!K100-'S019 JAFURRA IN'!I100</f>
        <v>0</v>
      </c>
      <c r="I102" s="92">
        <f>'S020 DAMMAM OUT'!S100-'S020 DAMMAM IN'!I100</f>
        <v>0</v>
      </c>
      <c r="J102" s="92">
        <f>'S015 JAFFURA OUT'!DE100-'S015 JAFFURA IN'!AG100</f>
        <v>0</v>
      </c>
      <c r="K102" s="92">
        <f>'S016 JAFFURA OUT'!N100-'S016 JAFFURA IN'!N100</f>
        <v>0</v>
      </c>
      <c r="L102" s="92">
        <f>'S013 MARJAN OUT'!YX100-'S013 MARJAN IN'!PY100</f>
        <v>0</v>
      </c>
      <c r="M102" s="92">
        <f>'S022 FADHALI OUT'!BW100-'S022 FADHALI IN'!N100</f>
        <v>0</v>
      </c>
      <c r="N102" s="92">
        <f>'S012 OYUN OUT'!AQ100-'S012 OYUN IN'!K100</f>
        <v>0</v>
      </c>
      <c r="O102" s="92">
        <f>'JAFFURA-NMP-01 OUT'!Y100-'JAFFURA-NMP-01 IN'!L100</f>
        <v>0</v>
      </c>
      <c r="P102" s="92">
        <f>'RENTAL MATERIAL OUT'!BM100-'RENTAL MATERIAL IN'!M100</f>
        <v>0</v>
      </c>
      <c r="Q102" s="92">
        <f>'ABU DHABI OUT'!DP100-'ABU DHABI IN'!AY100</f>
        <v>0</v>
      </c>
      <c r="R102" s="93">
        <f t="shared" si="5"/>
        <v>42</v>
      </c>
      <c r="S102" s="135">
        <v>22</v>
      </c>
    </row>
    <row r="103" spans="1:20" ht="16.5" thickTop="1" thickBot="1" x14ac:dyDescent="0.3">
      <c r="A103" s="87">
        <f>SUBTOTAL(3,$B$7:B103)</f>
        <v>97</v>
      </c>
      <c r="B103" s="79">
        <v>3000004953</v>
      </c>
      <c r="C103" s="142" t="s">
        <v>109</v>
      </c>
      <c r="D103" s="79" t="s">
        <v>12</v>
      </c>
      <c r="E103" s="79" t="s">
        <v>630</v>
      </c>
      <c r="F103" s="90">
        <f>'YARD IN'!JU101-'YARD OUT'!CF101</f>
        <v>445</v>
      </c>
      <c r="G103" s="91">
        <f t="shared" si="4"/>
        <v>421</v>
      </c>
      <c r="H103" s="92">
        <f>'S019 JAFURRA OUT'!K101-'S019 JAFURRA IN'!I101</f>
        <v>0</v>
      </c>
      <c r="I103" s="92">
        <f>'S020 DAMMAM OUT'!S101-'S020 DAMMAM IN'!I101</f>
        <v>0</v>
      </c>
      <c r="J103" s="92">
        <f>'S015 JAFFURA OUT'!DE101-'S015 JAFFURA IN'!AG101</f>
        <v>421</v>
      </c>
      <c r="K103" s="92">
        <f>'S016 JAFFURA OUT'!N101-'S016 JAFFURA IN'!N101</f>
        <v>0</v>
      </c>
      <c r="L103" s="92">
        <f>'S013 MARJAN OUT'!YX101-'S013 MARJAN IN'!PY101</f>
        <v>0</v>
      </c>
      <c r="M103" s="92">
        <f>'S022 FADHALI OUT'!BW101-'S022 FADHALI IN'!N101</f>
        <v>0</v>
      </c>
      <c r="N103" s="92">
        <f>'S012 OYUN OUT'!AQ101-'S012 OYUN IN'!K101</f>
        <v>0</v>
      </c>
      <c r="O103" s="92">
        <f>'JAFFURA-NMP-01 OUT'!Y101-'JAFFURA-NMP-01 IN'!L101</f>
        <v>0</v>
      </c>
      <c r="P103" s="92">
        <f>'RENTAL MATERIAL OUT'!BM101-'RENTAL MATERIAL IN'!M101</f>
        <v>0</v>
      </c>
      <c r="Q103" s="92">
        <f>'ABU DHABI OUT'!DP101-'ABU DHABI IN'!AY101</f>
        <v>0</v>
      </c>
      <c r="R103" s="93">
        <f t="shared" si="5"/>
        <v>866</v>
      </c>
      <c r="S103" s="135">
        <v>24.9</v>
      </c>
    </row>
    <row r="104" spans="1:20" ht="16.5" thickTop="1" thickBot="1" x14ac:dyDescent="0.3">
      <c r="A104" s="87">
        <f>SUBTOTAL(3,$B$7:B104)</f>
        <v>98</v>
      </c>
      <c r="B104" s="79">
        <v>5000000017</v>
      </c>
      <c r="C104" s="142" t="s">
        <v>110</v>
      </c>
      <c r="D104" s="79" t="s">
        <v>12</v>
      </c>
      <c r="E104" s="79" t="s">
        <v>630</v>
      </c>
      <c r="F104" s="90">
        <f>'YARD IN'!JU102-'YARD OUT'!CF102</f>
        <v>0</v>
      </c>
      <c r="G104" s="91">
        <f t="shared" si="4"/>
        <v>0</v>
      </c>
      <c r="H104" s="92">
        <f>'S019 JAFURRA OUT'!K102-'S019 JAFURRA IN'!I102</f>
        <v>0</v>
      </c>
      <c r="I104" s="92">
        <f>'S020 DAMMAM OUT'!S102-'S020 DAMMAM IN'!I102</f>
        <v>0</v>
      </c>
      <c r="J104" s="92">
        <f>'S015 JAFFURA OUT'!DE102-'S015 JAFFURA IN'!AG102</f>
        <v>0</v>
      </c>
      <c r="K104" s="92">
        <f>'S016 JAFFURA OUT'!N102-'S016 JAFFURA IN'!N102</f>
        <v>0</v>
      </c>
      <c r="L104" s="92">
        <f>'S013 MARJAN OUT'!YX102-'S013 MARJAN IN'!PY102</f>
        <v>0</v>
      </c>
      <c r="M104" s="92">
        <f>'S022 FADHALI OUT'!BW102-'S022 FADHALI IN'!N102</f>
        <v>0</v>
      </c>
      <c r="N104" s="92">
        <f>'S012 OYUN OUT'!AQ102-'S012 OYUN IN'!K102</f>
        <v>0</v>
      </c>
      <c r="O104" s="92">
        <f>'JAFFURA-NMP-01 OUT'!Y102-'JAFFURA-NMP-01 IN'!L102</f>
        <v>0</v>
      </c>
      <c r="P104" s="92">
        <f>'RENTAL MATERIAL OUT'!BM102-'RENTAL MATERIAL IN'!M102</f>
        <v>0</v>
      </c>
      <c r="Q104" s="92">
        <f>'ABU DHABI OUT'!DP102-'ABU DHABI IN'!AY102</f>
        <v>0</v>
      </c>
      <c r="R104" s="93">
        <f t="shared" si="5"/>
        <v>0</v>
      </c>
      <c r="S104" s="96"/>
    </row>
    <row r="105" spans="1:20" ht="16.5" thickTop="1" thickBot="1" x14ac:dyDescent="0.3">
      <c r="A105" s="87">
        <f>SUBTOTAL(3,$B$7:B105)</f>
        <v>99</v>
      </c>
      <c r="B105" s="79">
        <v>3000008526</v>
      </c>
      <c r="C105" s="142" t="s">
        <v>111</v>
      </c>
      <c r="D105" s="79" t="s">
        <v>12</v>
      </c>
      <c r="E105" s="79" t="s">
        <v>630</v>
      </c>
      <c r="F105" s="90">
        <f>'YARD IN'!JU103-'YARD OUT'!CF103</f>
        <v>88</v>
      </c>
      <c r="G105" s="91">
        <f t="shared" si="4"/>
        <v>75</v>
      </c>
      <c r="H105" s="92">
        <f>'S019 JAFURRA OUT'!K103-'S019 JAFURRA IN'!I103</f>
        <v>0</v>
      </c>
      <c r="I105" s="92">
        <f>'S020 DAMMAM OUT'!S103-'S020 DAMMAM IN'!I103</f>
        <v>0</v>
      </c>
      <c r="J105" s="92">
        <f>'S015 JAFFURA OUT'!DE103-'S015 JAFFURA IN'!AG103</f>
        <v>0</v>
      </c>
      <c r="K105" s="92">
        <f>'S016 JAFFURA OUT'!N103-'S016 JAFFURA IN'!N103</f>
        <v>0</v>
      </c>
      <c r="L105" s="92">
        <f>'S013 MARJAN OUT'!YX103-'S013 MARJAN IN'!PY103</f>
        <v>0</v>
      </c>
      <c r="M105" s="92">
        <f>'S022 FADHALI OUT'!BW103-'S022 FADHALI IN'!N103</f>
        <v>0</v>
      </c>
      <c r="N105" s="92">
        <f>'S012 OYUN OUT'!AQ103-'S012 OYUN IN'!K103</f>
        <v>75</v>
      </c>
      <c r="O105" s="92">
        <f>'JAFFURA-NMP-01 OUT'!Y103-'JAFFURA-NMP-01 IN'!L103</f>
        <v>0</v>
      </c>
      <c r="P105" s="92">
        <f>'RENTAL MATERIAL OUT'!BM103-'RENTAL MATERIAL IN'!M103</f>
        <v>0</v>
      </c>
      <c r="Q105" s="92">
        <f>'ABU DHABI OUT'!DP103-'ABU DHABI IN'!AY103</f>
        <v>0</v>
      </c>
      <c r="R105" s="93">
        <f t="shared" si="5"/>
        <v>163</v>
      </c>
      <c r="S105" s="135">
        <v>15.94</v>
      </c>
    </row>
    <row r="106" spans="1:20" ht="16.5" thickTop="1" thickBot="1" x14ac:dyDescent="0.3">
      <c r="A106" s="87">
        <f>SUBTOTAL(3,$B$7:B106)</f>
        <v>100</v>
      </c>
      <c r="B106" s="79">
        <v>3000008516</v>
      </c>
      <c r="C106" s="142" t="s">
        <v>112</v>
      </c>
      <c r="D106" s="79" t="s">
        <v>12</v>
      </c>
      <c r="E106" s="79" t="s">
        <v>630</v>
      </c>
      <c r="F106" s="90">
        <f>'YARD IN'!JU104-'YARD OUT'!CF104</f>
        <v>0</v>
      </c>
      <c r="G106" s="91">
        <f t="shared" si="4"/>
        <v>85</v>
      </c>
      <c r="H106" s="92">
        <f>'S019 JAFURRA OUT'!K104-'S019 JAFURRA IN'!I104</f>
        <v>0</v>
      </c>
      <c r="I106" s="92">
        <f>'S020 DAMMAM OUT'!S104-'S020 DAMMAM IN'!I104</f>
        <v>0</v>
      </c>
      <c r="J106" s="92">
        <f>'S015 JAFFURA OUT'!DE104-'S015 JAFFURA IN'!AG104</f>
        <v>85</v>
      </c>
      <c r="K106" s="92">
        <f>'S016 JAFFURA OUT'!N104-'S016 JAFFURA IN'!N104</f>
        <v>0</v>
      </c>
      <c r="L106" s="92">
        <f>'S013 MARJAN OUT'!YX104-'S013 MARJAN IN'!PY104</f>
        <v>0</v>
      </c>
      <c r="M106" s="92">
        <f>'S022 FADHALI OUT'!BW104-'S022 FADHALI IN'!N104</f>
        <v>0</v>
      </c>
      <c r="N106" s="92">
        <f>'S012 OYUN OUT'!AQ104-'S012 OYUN IN'!K104</f>
        <v>0</v>
      </c>
      <c r="O106" s="92">
        <f>'JAFFURA-NMP-01 OUT'!Y104-'JAFFURA-NMP-01 IN'!L104</f>
        <v>0</v>
      </c>
      <c r="P106" s="92">
        <f>'RENTAL MATERIAL OUT'!BM104-'RENTAL MATERIAL IN'!M104</f>
        <v>0</v>
      </c>
      <c r="Q106" s="92">
        <f>'ABU DHABI OUT'!DP104-'ABU DHABI IN'!AY104</f>
        <v>0</v>
      </c>
      <c r="R106" s="93">
        <f t="shared" si="5"/>
        <v>85</v>
      </c>
      <c r="S106" s="96">
        <v>0.49</v>
      </c>
    </row>
    <row r="107" spans="1:20" ht="16.5" thickTop="1" thickBot="1" x14ac:dyDescent="0.3">
      <c r="A107" s="87">
        <f>SUBTOTAL(3,$B$7:B107)</f>
        <v>101</v>
      </c>
      <c r="B107" s="79">
        <v>3000002333</v>
      </c>
      <c r="C107" s="142" t="s">
        <v>113</v>
      </c>
      <c r="D107" s="79" t="s">
        <v>12</v>
      </c>
      <c r="E107" s="79" t="s">
        <v>630</v>
      </c>
      <c r="F107" s="90">
        <f>'YARD IN'!JU105-'YARD OUT'!CF105</f>
        <v>21</v>
      </c>
      <c r="G107" s="91">
        <f t="shared" si="4"/>
        <v>100</v>
      </c>
      <c r="H107" s="92">
        <f>'S019 JAFURRA OUT'!K105-'S019 JAFURRA IN'!I105</f>
        <v>0</v>
      </c>
      <c r="I107" s="92">
        <f>'S020 DAMMAM OUT'!S105-'S020 DAMMAM IN'!I105</f>
        <v>0</v>
      </c>
      <c r="J107" s="92">
        <f>'S015 JAFFURA OUT'!DE105-'S015 JAFFURA IN'!AG105</f>
        <v>100</v>
      </c>
      <c r="K107" s="92">
        <f>'S016 JAFFURA OUT'!N105-'S016 JAFFURA IN'!N105</f>
        <v>0</v>
      </c>
      <c r="L107" s="92">
        <f>'S013 MARJAN OUT'!YX105-'S013 MARJAN IN'!PY105</f>
        <v>0</v>
      </c>
      <c r="M107" s="92">
        <f>'S022 FADHALI OUT'!BW105-'S022 FADHALI IN'!N105</f>
        <v>0</v>
      </c>
      <c r="N107" s="92">
        <f>'S012 OYUN OUT'!AQ105-'S012 OYUN IN'!K105</f>
        <v>0</v>
      </c>
      <c r="O107" s="92">
        <f>'JAFFURA-NMP-01 OUT'!Y105-'JAFFURA-NMP-01 IN'!L105</f>
        <v>0</v>
      </c>
      <c r="P107" s="92">
        <f>'RENTAL MATERIAL OUT'!BM105-'RENTAL MATERIAL IN'!M105</f>
        <v>0</v>
      </c>
      <c r="Q107" s="92">
        <f>'ABU DHABI OUT'!DP105-'ABU DHABI IN'!AY105</f>
        <v>0</v>
      </c>
      <c r="R107" s="93">
        <f t="shared" si="5"/>
        <v>121</v>
      </c>
      <c r="S107" s="135">
        <v>33.6</v>
      </c>
    </row>
    <row r="108" spans="1:20" ht="16.5" thickTop="1" thickBot="1" x14ac:dyDescent="0.3">
      <c r="A108" s="87">
        <f>SUBTOTAL(3,$B$7:B108)</f>
        <v>102</v>
      </c>
      <c r="B108" s="79">
        <v>3000000840</v>
      </c>
      <c r="C108" s="142" t="s">
        <v>114</v>
      </c>
      <c r="D108" s="79" t="s">
        <v>12</v>
      </c>
      <c r="E108" s="79" t="s">
        <v>629</v>
      </c>
      <c r="F108" s="90">
        <f>'YARD IN'!JU106-'YARD OUT'!CF106</f>
        <v>64652</v>
      </c>
      <c r="G108" s="91">
        <f t="shared" si="4"/>
        <v>207522</v>
      </c>
      <c r="H108" s="92">
        <f>'S019 JAFURRA OUT'!K106-'S019 JAFURRA IN'!I106</f>
        <v>370</v>
      </c>
      <c r="I108" s="92">
        <f>'S020 DAMMAM OUT'!S106-'S020 DAMMAM IN'!I106</f>
        <v>2450</v>
      </c>
      <c r="J108" s="92">
        <f>'S015 JAFFURA OUT'!DE106-'S015 JAFFURA IN'!AG106</f>
        <v>21184</v>
      </c>
      <c r="K108" s="92">
        <f>'S016 JAFFURA OUT'!N106-'S016 JAFFURA IN'!N106</f>
        <v>800</v>
      </c>
      <c r="L108" s="92">
        <f>'S013 MARJAN OUT'!YX106-'S013 MARJAN IN'!PY106</f>
        <v>122744</v>
      </c>
      <c r="M108" s="92">
        <f>'S022 FADHALI OUT'!BW106-'S022 FADHALI IN'!N106</f>
        <v>30980</v>
      </c>
      <c r="N108" s="92">
        <f>'S012 OYUN OUT'!AQ106-'S012 OYUN IN'!K106</f>
        <v>3744</v>
      </c>
      <c r="O108" s="92">
        <f>'JAFFURA-NMP-01 OUT'!Y106-'JAFFURA-NMP-01 IN'!L106</f>
        <v>250</v>
      </c>
      <c r="P108" s="92">
        <f>'RENTAL MATERIAL OUT'!BM106-'RENTAL MATERIAL IN'!M106</f>
        <v>25000</v>
      </c>
      <c r="Q108" s="92">
        <f>'ABU DHABI OUT'!DP106-'ABU DHABI IN'!AY106</f>
        <v>45719</v>
      </c>
      <c r="R108" s="93">
        <f t="shared" si="5"/>
        <v>272174</v>
      </c>
      <c r="S108" s="96">
        <v>0.6</v>
      </c>
      <c r="T108" s="2">
        <f t="shared" ref="T108:T109" si="7">+SUM(R108+Q108)</f>
        <v>317893</v>
      </c>
    </row>
    <row r="109" spans="1:20" ht="16.5" thickTop="1" thickBot="1" x14ac:dyDescent="0.3">
      <c r="A109" s="87">
        <f>SUBTOTAL(3,$B$7:B109)</f>
        <v>103</v>
      </c>
      <c r="B109" s="79">
        <v>3000001222</v>
      </c>
      <c r="C109" s="142" t="s">
        <v>115</v>
      </c>
      <c r="D109" s="79" t="s">
        <v>12</v>
      </c>
      <c r="E109" s="79" t="s">
        <v>629</v>
      </c>
      <c r="F109" s="90">
        <f>'YARD IN'!JU107-'YARD OUT'!CF107</f>
        <v>26</v>
      </c>
      <c r="G109" s="91">
        <f t="shared" si="4"/>
        <v>299</v>
      </c>
      <c r="H109" s="92">
        <f>'S019 JAFURRA OUT'!K107-'S019 JAFURRA IN'!I107</f>
        <v>0</v>
      </c>
      <c r="I109" s="92">
        <f>'S020 DAMMAM OUT'!S107-'S020 DAMMAM IN'!I107</f>
        <v>0</v>
      </c>
      <c r="J109" s="92">
        <f>'S015 JAFFURA OUT'!DE107-'S015 JAFFURA IN'!AG107</f>
        <v>0</v>
      </c>
      <c r="K109" s="92">
        <f>'S016 JAFFURA OUT'!N107-'S016 JAFFURA IN'!N107</f>
        <v>0</v>
      </c>
      <c r="L109" s="92">
        <f>'S013 MARJAN OUT'!YX107-'S013 MARJAN IN'!PY107</f>
        <v>299</v>
      </c>
      <c r="M109" s="92">
        <f>'S022 FADHALI OUT'!BW107-'S022 FADHALI IN'!N107</f>
        <v>0</v>
      </c>
      <c r="N109" s="92">
        <f>'S012 OYUN OUT'!AQ107-'S012 OYUN IN'!K107</f>
        <v>0</v>
      </c>
      <c r="O109" s="92">
        <f>'JAFFURA-NMP-01 OUT'!Y107-'JAFFURA-NMP-01 IN'!L107</f>
        <v>0</v>
      </c>
      <c r="P109" s="92">
        <f>'RENTAL MATERIAL OUT'!BM107-'RENTAL MATERIAL IN'!M107</f>
        <v>0</v>
      </c>
      <c r="Q109" s="92">
        <f>'ABU DHABI OUT'!DP107-'ABU DHABI IN'!AY107</f>
        <v>0</v>
      </c>
      <c r="R109" s="93">
        <f t="shared" si="5"/>
        <v>325</v>
      </c>
      <c r="S109" s="96">
        <v>10.6</v>
      </c>
      <c r="T109" s="2">
        <f t="shared" si="7"/>
        <v>325</v>
      </c>
    </row>
    <row r="110" spans="1:20" ht="16.5" thickTop="1" thickBot="1" x14ac:dyDescent="0.3">
      <c r="A110" s="87">
        <f>SUBTOTAL(3,$B$7:B110)</f>
        <v>104</v>
      </c>
      <c r="B110" s="79">
        <v>5000000008</v>
      </c>
      <c r="C110" s="142" t="s">
        <v>116</v>
      </c>
      <c r="D110" s="79" t="s">
        <v>12</v>
      </c>
      <c r="E110" s="79" t="s">
        <v>630</v>
      </c>
      <c r="F110" s="90">
        <f>'YARD IN'!JU108-'YARD OUT'!CF108</f>
        <v>0</v>
      </c>
      <c r="G110" s="91">
        <f t="shared" si="4"/>
        <v>0</v>
      </c>
      <c r="H110" s="92">
        <f>'S019 JAFURRA OUT'!K108-'S019 JAFURRA IN'!I108</f>
        <v>0</v>
      </c>
      <c r="I110" s="92">
        <f>'S020 DAMMAM OUT'!S108-'S020 DAMMAM IN'!I108</f>
        <v>0</v>
      </c>
      <c r="J110" s="92">
        <f>'S015 JAFFURA OUT'!DE108-'S015 JAFFURA IN'!AG108</f>
        <v>0</v>
      </c>
      <c r="K110" s="92">
        <f>'S016 JAFFURA OUT'!N108-'S016 JAFFURA IN'!N108</f>
        <v>0</v>
      </c>
      <c r="L110" s="92">
        <f>'S013 MARJAN OUT'!YX108-'S013 MARJAN IN'!PY108</f>
        <v>0</v>
      </c>
      <c r="M110" s="92">
        <f>'S022 FADHALI OUT'!BW108-'S022 FADHALI IN'!N108</f>
        <v>0</v>
      </c>
      <c r="N110" s="92">
        <f>'S012 OYUN OUT'!AQ108-'S012 OYUN IN'!K108</f>
        <v>0</v>
      </c>
      <c r="O110" s="92">
        <f>'JAFFURA-NMP-01 OUT'!Y108-'JAFFURA-NMP-01 IN'!L108</f>
        <v>0</v>
      </c>
      <c r="P110" s="92">
        <f>'RENTAL MATERIAL OUT'!BM108-'RENTAL MATERIAL IN'!M108</f>
        <v>0</v>
      </c>
      <c r="Q110" s="92">
        <f>'ABU DHABI OUT'!DP108-'ABU DHABI IN'!AY108</f>
        <v>183</v>
      </c>
      <c r="R110" s="93">
        <f t="shared" si="5"/>
        <v>0</v>
      </c>
      <c r="S110" s="96">
        <v>20.7</v>
      </c>
    </row>
    <row r="111" spans="1:20" ht="16.5" thickTop="1" thickBot="1" x14ac:dyDescent="0.3">
      <c r="A111" s="87">
        <f>SUBTOTAL(3,$B$7:B111)</f>
        <v>105</v>
      </c>
      <c r="B111" s="79">
        <v>3000000849</v>
      </c>
      <c r="C111" s="142" t="s">
        <v>117</v>
      </c>
      <c r="D111" s="79" t="s">
        <v>12</v>
      </c>
      <c r="E111" s="79" t="s">
        <v>629</v>
      </c>
      <c r="F111" s="90">
        <f>'YARD IN'!JU109-'YARD OUT'!CF109</f>
        <v>403508</v>
      </c>
      <c r="G111" s="91">
        <f t="shared" si="4"/>
        <v>719795</v>
      </c>
      <c r="H111" s="92">
        <f>'S019 JAFURRA OUT'!K109-'S019 JAFURRA IN'!I109</f>
        <v>6487</v>
      </c>
      <c r="I111" s="92">
        <f>'S020 DAMMAM OUT'!S109-'S020 DAMMAM IN'!I109</f>
        <v>5328</v>
      </c>
      <c r="J111" s="92">
        <f>'S015 JAFFURA OUT'!DE109-'S015 JAFFURA IN'!AG109</f>
        <v>54761</v>
      </c>
      <c r="K111" s="92">
        <f>'S016 JAFFURA OUT'!N109-'S016 JAFFURA IN'!N109</f>
        <v>144</v>
      </c>
      <c r="L111" s="92">
        <f>'S013 MARJAN OUT'!YX109-'S013 MARJAN IN'!PY109</f>
        <v>493154</v>
      </c>
      <c r="M111" s="92">
        <f>'S022 FADHALI OUT'!BW109-'S022 FADHALI IN'!N109</f>
        <v>112186</v>
      </c>
      <c r="N111" s="92">
        <f>'S012 OYUN OUT'!AQ109-'S012 OYUN IN'!K109</f>
        <v>7235</v>
      </c>
      <c r="O111" s="92">
        <f>'JAFFURA-NMP-01 OUT'!Y109-'JAFFURA-NMP-01 IN'!L109</f>
        <v>500</v>
      </c>
      <c r="P111" s="92">
        <f>'RENTAL MATERIAL OUT'!BM109-'RENTAL MATERIAL IN'!M109</f>
        <v>40000</v>
      </c>
      <c r="Q111" s="92">
        <f>'ABU DHABI OUT'!DP109-'ABU DHABI IN'!AY109</f>
        <v>84513</v>
      </c>
      <c r="R111" s="93">
        <f t="shared" si="5"/>
        <v>1123303</v>
      </c>
      <c r="S111" s="96">
        <v>0.95</v>
      </c>
      <c r="T111" s="2">
        <f t="shared" ref="T111:T121" si="8">+SUM(R111+Q111)</f>
        <v>1207816</v>
      </c>
    </row>
    <row r="112" spans="1:20" ht="16.5" thickTop="1" thickBot="1" x14ac:dyDescent="0.3">
      <c r="A112" s="87">
        <f>SUBTOTAL(3,$B$7:B112)</f>
        <v>106</v>
      </c>
      <c r="B112" s="79">
        <v>1000006668</v>
      </c>
      <c r="C112" s="142" t="s">
        <v>118</v>
      </c>
      <c r="D112" s="79" t="s">
        <v>12</v>
      </c>
      <c r="E112" s="79" t="s">
        <v>629</v>
      </c>
      <c r="F112" s="90">
        <f>'YARD IN'!JU110-'YARD OUT'!CF110</f>
        <v>49</v>
      </c>
      <c r="G112" s="91">
        <f t="shared" si="4"/>
        <v>6</v>
      </c>
      <c r="H112" s="92">
        <f>'S019 JAFURRA OUT'!K110-'S019 JAFURRA IN'!I110</f>
        <v>0</v>
      </c>
      <c r="I112" s="92">
        <f>'S020 DAMMAM OUT'!S110-'S020 DAMMAM IN'!I110</f>
        <v>0</v>
      </c>
      <c r="J112" s="92">
        <f>'S015 JAFFURA OUT'!DE110-'S015 JAFFURA IN'!AG110</f>
        <v>0</v>
      </c>
      <c r="K112" s="92">
        <f>'S016 JAFFURA OUT'!N110-'S016 JAFFURA IN'!N110</f>
        <v>0</v>
      </c>
      <c r="L112" s="92">
        <f>'S013 MARJAN OUT'!YX110-'S013 MARJAN IN'!PY110</f>
        <v>6</v>
      </c>
      <c r="M112" s="92">
        <f>'S022 FADHALI OUT'!BW110-'S022 FADHALI IN'!N110</f>
        <v>0</v>
      </c>
      <c r="N112" s="92">
        <f>'S012 OYUN OUT'!AQ110-'S012 OYUN IN'!K110</f>
        <v>0</v>
      </c>
      <c r="O112" s="92">
        <f>'JAFFURA-NMP-01 OUT'!Y110-'JAFFURA-NMP-01 IN'!L110</f>
        <v>0</v>
      </c>
      <c r="P112" s="92">
        <f>'RENTAL MATERIAL OUT'!BM110-'RENTAL MATERIAL IN'!M110</f>
        <v>0</v>
      </c>
      <c r="Q112" s="92">
        <f>'ABU DHABI OUT'!DP110-'ABU DHABI IN'!AY110</f>
        <v>0</v>
      </c>
      <c r="R112" s="93">
        <f t="shared" si="5"/>
        <v>55</v>
      </c>
      <c r="S112" s="96">
        <v>3.85</v>
      </c>
      <c r="T112" s="2">
        <f t="shared" si="8"/>
        <v>55</v>
      </c>
    </row>
    <row r="113" spans="1:20" ht="16.5" thickTop="1" thickBot="1" x14ac:dyDescent="0.3">
      <c r="A113" s="87">
        <f>SUBTOTAL(3,$B$7:B113)</f>
        <v>107</v>
      </c>
      <c r="B113" s="79">
        <v>3000001196</v>
      </c>
      <c r="C113" s="142" t="s">
        <v>119</v>
      </c>
      <c r="D113" s="79" t="s">
        <v>12</v>
      </c>
      <c r="E113" s="79" t="s">
        <v>629</v>
      </c>
      <c r="F113" s="90">
        <f>'YARD IN'!JU111-'YARD OUT'!CF111</f>
        <v>7978</v>
      </c>
      <c r="G113" s="91">
        <f t="shared" si="4"/>
        <v>924</v>
      </c>
      <c r="H113" s="92">
        <f>'S019 JAFURRA OUT'!K111-'S019 JAFURRA IN'!I111</f>
        <v>0</v>
      </c>
      <c r="I113" s="92">
        <f>'S020 DAMMAM OUT'!S111-'S020 DAMMAM IN'!I111</f>
        <v>100</v>
      </c>
      <c r="J113" s="92">
        <v>132</v>
      </c>
      <c r="K113" s="92">
        <f>'S016 JAFFURA OUT'!N111-'S016 JAFFURA IN'!N111</f>
        <v>0</v>
      </c>
      <c r="L113" s="92">
        <f>'S013 MARJAN OUT'!YX111-'S013 MARJAN IN'!PY111</f>
        <v>584</v>
      </c>
      <c r="M113" s="92">
        <f>'S022 FADHALI OUT'!BW111-'S022 FADHALI IN'!N111</f>
        <v>0</v>
      </c>
      <c r="N113" s="92">
        <f>'S012 OYUN OUT'!AQ111-'S012 OYUN IN'!K111</f>
        <v>108</v>
      </c>
      <c r="O113" s="92">
        <f>'JAFFURA-NMP-01 OUT'!Y111-'JAFFURA-NMP-01 IN'!L111</f>
        <v>0</v>
      </c>
      <c r="P113" s="92">
        <f>'RENTAL MATERIAL OUT'!BM111-'RENTAL MATERIAL IN'!M111</f>
        <v>0</v>
      </c>
      <c r="Q113" s="92">
        <f>'ABU DHABI OUT'!DP111-'ABU DHABI IN'!AY111</f>
        <v>1295</v>
      </c>
      <c r="R113" s="93">
        <f t="shared" si="5"/>
        <v>8902</v>
      </c>
      <c r="S113" s="96">
        <v>0.81</v>
      </c>
      <c r="T113" s="2">
        <f t="shared" si="8"/>
        <v>10197</v>
      </c>
    </row>
    <row r="114" spans="1:20" ht="16.5" thickTop="1" thickBot="1" x14ac:dyDescent="0.3">
      <c r="A114" s="87">
        <f>SUBTOTAL(3,$B$7:B114)</f>
        <v>108</v>
      </c>
      <c r="B114" s="79" t="s">
        <v>120</v>
      </c>
      <c r="C114" s="142" t="s">
        <v>121</v>
      </c>
      <c r="D114" s="79" t="s">
        <v>12</v>
      </c>
      <c r="E114" s="79" t="s">
        <v>629</v>
      </c>
      <c r="F114" s="90">
        <f>'YARD IN'!JU112-'YARD OUT'!CF112</f>
        <v>123</v>
      </c>
      <c r="G114" s="91">
        <f t="shared" si="4"/>
        <v>6240</v>
      </c>
      <c r="H114" s="92">
        <f>'S019 JAFURRA OUT'!K112-'S019 JAFURRA IN'!I112</f>
        <v>905</v>
      </c>
      <c r="I114" s="92">
        <f>'S020 DAMMAM OUT'!S112-'S020 DAMMAM IN'!I112</f>
        <v>100</v>
      </c>
      <c r="J114" s="92">
        <f>'S015 JAFFURA OUT'!DE112-'S015 JAFFURA IN'!AG112</f>
        <v>5132</v>
      </c>
      <c r="K114" s="92">
        <f>'S016 JAFFURA OUT'!N112-'S016 JAFFURA IN'!N112</f>
        <v>0</v>
      </c>
      <c r="L114" s="92">
        <f>'S013 MARJAN OUT'!YX112-'S013 MARJAN IN'!PY112</f>
        <v>0</v>
      </c>
      <c r="M114" s="92">
        <f>'S022 FADHALI OUT'!BW112-'S022 FADHALI IN'!N112</f>
        <v>0</v>
      </c>
      <c r="N114" s="92">
        <f>'S012 OYUN OUT'!AQ112-'S012 OYUN IN'!K112</f>
        <v>103</v>
      </c>
      <c r="O114" s="92">
        <f>'JAFFURA-NMP-01 OUT'!Y112-'JAFFURA-NMP-01 IN'!L112</f>
        <v>0</v>
      </c>
      <c r="P114" s="92">
        <f>'RENTAL MATERIAL OUT'!BM112-'RENTAL MATERIAL IN'!M112</f>
        <v>0</v>
      </c>
      <c r="Q114" s="92">
        <f>'ABU DHABI OUT'!DP112-'ABU DHABI IN'!AY112</f>
        <v>0</v>
      </c>
      <c r="R114" s="93">
        <f t="shared" si="5"/>
        <v>6363</v>
      </c>
      <c r="S114" s="96"/>
      <c r="T114" s="2">
        <f t="shared" si="8"/>
        <v>6363</v>
      </c>
    </row>
    <row r="115" spans="1:20" ht="16.5" thickTop="1" thickBot="1" x14ac:dyDescent="0.3">
      <c r="A115" s="87">
        <f>SUBTOTAL(3,$B$7:B115)</f>
        <v>109</v>
      </c>
      <c r="B115" s="79">
        <v>3000000316</v>
      </c>
      <c r="C115" s="142" t="s">
        <v>122</v>
      </c>
      <c r="D115" s="79" t="s">
        <v>12</v>
      </c>
      <c r="E115" s="79" t="s">
        <v>629</v>
      </c>
      <c r="F115" s="90">
        <f>'YARD IN'!JU113-'YARD OUT'!CF113</f>
        <v>717</v>
      </c>
      <c r="G115" s="91">
        <f>SUM(H115:P115)</f>
        <v>732</v>
      </c>
      <c r="H115" s="92">
        <f>'S019 JAFURRA OUT'!K113-'S019 JAFURRA IN'!I113</f>
        <v>120</v>
      </c>
      <c r="I115" s="92">
        <f>'S020 DAMMAM OUT'!S113-'S020 DAMMAM IN'!I113</f>
        <v>0</v>
      </c>
      <c r="J115" s="92">
        <f>'S015 JAFFURA OUT'!DE113-'S015 JAFFURA IN'!AG113</f>
        <v>388</v>
      </c>
      <c r="K115" s="92">
        <f>'S016 JAFFURA OUT'!N113-'S016 JAFFURA IN'!N113</f>
        <v>0</v>
      </c>
      <c r="L115" s="92">
        <f>'S013 MARJAN OUT'!YX113-'S013 MARJAN IN'!PY113</f>
        <v>224</v>
      </c>
      <c r="M115" s="92">
        <f>'S022 FADHALI OUT'!BW113-'S022 FADHALI IN'!N113</f>
        <v>0</v>
      </c>
      <c r="N115" s="92">
        <f>'S012 OYUN OUT'!AQ113-'S012 OYUN IN'!K113</f>
        <v>0</v>
      </c>
      <c r="O115" s="92">
        <f>'JAFFURA-NMP-01 OUT'!Y113-'JAFFURA-NMP-01 IN'!L113</f>
        <v>0</v>
      </c>
      <c r="P115" s="92">
        <f>'RENTAL MATERIAL OUT'!BM113-'RENTAL MATERIAL IN'!M113</f>
        <v>0</v>
      </c>
      <c r="Q115" s="92">
        <f>'ABU DHABI OUT'!DP113-'ABU DHABI IN'!AY113</f>
        <v>126</v>
      </c>
      <c r="R115" s="93">
        <f t="shared" si="5"/>
        <v>1449</v>
      </c>
      <c r="S115" s="96">
        <v>9.3000000000000007</v>
      </c>
      <c r="T115" s="2">
        <f t="shared" si="8"/>
        <v>1575</v>
      </c>
    </row>
    <row r="116" spans="1:20" ht="16.5" thickTop="1" thickBot="1" x14ac:dyDescent="0.3">
      <c r="A116" s="87">
        <f>SUBTOTAL(3,$B$7:B116)</f>
        <v>110</v>
      </c>
      <c r="B116" s="79">
        <v>3000000312</v>
      </c>
      <c r="C116" s="142" t="s">
        <v>123</v>
      </c>
      <c r="D116" s="79" t="s">
        <v>12</v>
      </c>
      <c r="E116" s="79" t="s">
        <v>629</v>
      </c>
      <c r="F116" s="90">
        <f>'YARD IN'!JU114-'YARD OUT'!CF114</f>
        <v>642</v>
      </c>
      <c r="G116" s="91">
        <f t="shared" si="4"/>
        <v>79</v>
      </c>
      <c r="H116" s="92">
        <f>'S019 JAFURRA OUT'!K114-'S019 JAFURRA IN'!I114</f>
        <v>0</v>
      </c>
      <c r="I116" s="92">
        <f>'S020 DAMMAM OUT'!S114-'S020 DAMMAM IN'!I114</f>
        <v>30</v>
      </c>
      <c r="J116" s="92">
        <v>0</v>
      </c>
      <c r="K116" s="92">
        <f>'S016 JAFFURA OUT'!N114-'S016 JAFFURA IN'!N114</f>
        <v>0</v>
      </c>
      <c r="L116" s="92">
        <f>'S013 MARJAN OUT'!YX114-'S013 MARJAN IN'!PY114</f>
        <v>49</v>
      </c>
      <c r="M116" s="92">
        <f>'S022 FADHALI OUT'!BW114-'S022 FADHALI IN'!N114</f>
        <v>0</v>
      </c>
      <c r="N116" s="92">
        <f>'S012 OYUN OUT'!AQ114-'S012 OYUN IN'!K114</f>
        <v>0</v>
      </c>
      <c r="O116" s="92">
        <f>'JAFFURA-NMP-01 OUT'!Y114-'JAFFURA-NMP-01 IN'!L114</f>
        <v>0</v>
      </c>
      <c r="P116" s="92">
        <f>'RENTAL MATERIAL OUT'!BM114-'RENTAL MATERIAL IN'!M114</f>
        <v>0</v>
      </c>
      <c r="Q116" s="92">
        <f>'ABU DHABI OUT'!DP114-'ABU DHABI IN'!AY114</f>
        <v>443</v>
      </c>
      <c r="R116" s="93">
        <f t="shared" si="5"/>
        <v>721</v>
      </c>
      <c r="S116" s="96">
        <v>4.5599999999999996</v>
      </c>
      <c r="T116" s="2">
        <f t="shared" si="8"/>
        <v>1164</v>
      </c>
    </row>
    <row r="117" spans="1:20" ht="16.5" thickTop="1" thickBot="1" x14ac:dyDescent="0.3">
      <c r="A117" s="87">
        <f>SUBTOTAL(3,$B$7:B117)</f>
        <v>111</v>
      </c>
      <c r="B117" s="79">
        <v>3000000313</v>
      </c>
      <c r="C117" s="142" t="s">
        <v>124</v>
      </c>
      <c r="D117" s="79" t="s">
        <v>12</v>
      </c>
      <c r="E117" s="79" t="s">
        <v>629</v>
      </c>
      <c r="F117" s="90">
        <f>'YARD IN'!JU115-'YARD OUT'!CF115</f>
        <v>582</v>
      </c>
      <c r="G117" s="91">
        <f t="shared" si="4"/>
        <v>126</v>
      </c>
      <c r="H117" s="92">
        <f>'S019 JAFURRA OUT'!K115-'S019 JAFURRA IN'!I115</f>
        <v>0</v>
      </c>
      <c r="I117" s="92">
        <f>'S020 DAMMAM OUT'!S115-'S020 DAMMAM IN'!I115</f>
        <v>0</v>
      </c>
      <c r="J117" s="92">
        <f>'S015 JAFFURA OUT'!DE115-'S015 JAFFURA IN'!AG115</f>
        <v>104</v>
      </c>
      <c r="K117" s="92">
        <f>'S016 JAFFURA OUT'!N115-'S016 JAFFURA IN'!N115</f>
        <v>0</v>
      </c>
      <c r="L117" s="92">
        <f>'S013 MARJAN OUT'!YX115-'S013 MARJAN IN'!PY115</f>
        <v>22</v>
      </c>
      <c r="M117" s="92">
        <f>'S022 FADHALI OUT'!BW115-'S022 FADHALI IN'!N115</f>
        <v>0</v>
      </c>
      <c r="N117" s="92">
        <f>'S012 OYUN OUT'!AQ115-'S012 OYUN IN'!K115</f>
        <v>0</v>
      </c>
      <c r="O117" s="92">
        <f>'JAFFURA-NMP-01 OUT'!Y115-'JAFFURA-NMP-01 IN'!L115</f>
        <v>0</v>
      </c>
      <c r="P117" s="92">
        <f>'RENTAL MATERIAL OUT'!BM115-'RENTAL MATERIAL IN'!M115</f>
        <v>0</v>
      </c>
      <c r="Q117" s="92">
        <f>'ABU DHABI OUT'!DP115-'ABU DHABI IN'!AY115</f>
        <v>42</v>
      </c>
      <c r="R117" s="93">
        <f t="shared" si="5"/>
        <v>708</v>
      </c>
      <c r="S117" s="96">
        <v>6.2149999999999999</v>
      </c>
      <c r="T117" s="2">
        <f t="shared" si="8"/>
        <v>750</v>
      </c>
    </row>
    <row r="118" spans="1:20" ht="16.5" thickTop="1" thickBot="1" x14ac:dyDescent="0.3">
      <c r="A118" s="87">
        <f>SUBTOTAL(3,$B$7:B118)</f>
        <v>112</v>
      </c>
      <c r="B118" s="79">
        <v>3000000314</v>
      </c>
      <c r="C118" s="142" t="s">
        <v>125</v>
      </c>
      <c r="D118" s="79" t="s">
        <v>12</v>
      </c>
      <c r="E118" s="79" t="s">
        <v>629</v>
      </c>
      <c r="F118" s="90">
        <f>'YARD IN'!JU116-'YARD OUT'!CF116</f>
        <v>949</v>
      </c>
      <c r="G118" s="91">
        <f t="shared" si="4"/>
        <v>1243</v>
      </c>
      <c r="H118" s="92">
        <f>'S019 JAFURRA OUT'!K116-'S019 JAFURRA IN'!I116</f>
        <v>683</v>
      </c>
      <c r="I118" s="92">
        <f>'S020 DAMMAM OUT'!S116-'S020 DAMMAM IN'!I116</f>
        <v>55</v>
      </c>
      <c r="J118" s="92">
        <f>'S015 JAFFURA OUT'!DE116-'S015 JAFFURA IN'!AG116</f>
        <v>493</v>
      </c>
      <c r="K118" s="92">
        <f>'S016 JAFFURA OUT'!N116-'S016 JAFFURA IN'!N116</f>
        <v>0</v>
      </c>
      <c r="L118" s="92">
        <v>0</v>
      </c>
      <c r="M118" s="92">
        <f>'S022 FADHALI OUT'!BW116-'S022 FADHALI IN'!N116</f>
        <v>0</v>
      </c>
      <c r="N118" s="92">
        <f>'S012 OYUN OUT'!AQ116-'S012 OYUN IN'!K116</f>
        <v>12</v>
      </c>
      <c r="O118" s="92">
        <f>'JAFFURA-NMP-01 OUT'!Y116-'JAFFURA-NMP-01 IN'!L116</f>
        <v>0</v>
      </c>
      <c r="P118" s="92">
        <f>'RENTAL MATERIAL OUT'!BM116-'RENTAL MATERIAL IN'!M116</f>
        <v>0</v>
      </c>
      <c r="Q118" s="92">
        <f>'ABU DHABI OUT'!DP116-'ABU DHABI IN'!AY116</f>
        <v>313</v>
      </c>
      <c r="R118" s="93">
        <f t="shared" si="5"/>
        <v>2192</v>
      </c>
      <c r="S118" s="96">
        <v>6.64</v>
      </c>
      <c r="T118" s="2">
        <f t="shared" si="8"/>
        <v>2505</v>
      </c>
    </row>
    <row r="119" spans="1:20" ht="16.5" thickTop="1" thickBot="1" x14ac:dyDescent="0.3">
      <c r="A119" s="87">
        <f>SUBTOTAL(3,$B$7:B119)</f>
        <v>113</v>
      </c>
      <c r="B119" s="79">
        <v>3000000315</v>
      </c>
      <c r="C119" s="142" t="s">
        <v>126</v>
      </c>
      <c r="D119" s="79" t="s">
        <v>12</v>
      </c>
      <c r="E119" s="79" t="s">
        <v>629</v>
      </c>
      <c r="F119" s="90">
        <f>'YARD IN'!JU117-'YARD OUT'!CF117</f>
        <v>0</v>
      </c>
      <c r="G119" s="91">
        <f t="shared" si="4"/>
        <v>12</v>
      </c>
      <c r="H119" s="92">
        <f>'S019 JAFURRA OUT'!K117-'S019 JAFURRA IN'!I117</f>
        <v>0</v>
      </c>
      <c r="I119" s="92">
        <f>'S020 DAMMAM OUT'!S117-'S020 DAMMAM IN'!I117</f>
        <v>0</v>
      </c>
      <c r="J119" s="92">
        <f>'S015 JAFFURA OUT'!DE117-'S015 JAFFURA IN'!AG117</f>
        <v>0</v>
      </c>
      <c r="K119" s="92">
        <f>'S016 JAFFURA OUT'!N117-'S016 JAFFURA IN'!N117</f>
        <v>0</v>
      </c>
      <c r="L119" s="92">
        <f>'S013 MARJAN OUT'!YX117-'S013 MARJAN IN'!PY117</f>
        <v>12</v>
      </c>
      <c r="M119" s="92">
        <f>'S022 FADHALI OUT'!BW117-'S022 FADHALI IN'!N117</f>
        <v>0</v>
      </c>
      <c r="N119" s="92">
        <f>'S012 OYUN OUT'!AQ117-'S012 OYUN IN'!K117</f>
        <v>0</v>
      </c>
      <c r="O119" s="92">
        <f>'JAFFURA-NMP-01 OUT'!Y117-'JAFFURA-NMP-01 IN'!L117</f>
        <v>0</v>
      </c>
      <c r="P119" s="92">
        <f>'RENTAL MATERIAL OUT'!BM117-'RENTAL MATERIAL IN'!M117</f>
        <v>0</v>
      </c>
      <c r="Q119" s="92">
        <f>'ABU DHABI OUT'!DP117-'ABU DHABI IN'!AY117</f>
        <v>15</v>
      </c>
      <c r="R119" s="93">
        <f t="shared" si="5"/>
        <v>12</v>
      </c>
      <c r="S119" s="96">
        <v>9.125</v>
      </c>
      <c r="T119" s="2">
        <f t="shared" si="8"/>
        <v>27</v>
      </c>
    </row>
    <row r="120" spans="1:20" ht="16.5" thickTop="1" thickBot="1" x14ac:dyDescent="0.3">
      <c r="A120" s="87">
        <f>SUBTOTAL(3,$B$7:B120)</f>
        <v>114</v>
      </c>
      <c r="B120" s="79">
        <v>3000000317</v>
      </c>
      <c r="C120" s="142" t="s">
        <v>127</v>
      </c>
      <c r="D120" s="79" t="s">
        <v>12</v>
      </c>
      <c r="E120" s="79" t="s">
        <v>629</v>
      </c>
      <c r="F120" s="90">
        <f>'YARD IN'!JU118-'YARD OUT'!CF118</f>
        <v>167</v>
      </c>
      <c r="G120" s="91">
        <f t="shared" si="4"/>
        <v>244</v>
      </c>
      <c r="H120" s="92">
        <f>'S019 JAFURRA OUT'!K118-'S019 JAFURRA IN'!I118</f>
        <v>0</v>
      </c>
      <c r="I120" s="92">
        <f>'S020 DAMMAM OUT'!S118-'S020 DAMMAM IN'!I118</f>
        <v>0</v>
      </c>
      <c r="J120" s="92">
        <f>'S015 JAFFURA OUT'!DE118-'S015 JAFFURA IN'!AG118</f>
        <v>208</v>
      </c>
      <c r="K120" s="92">
        <f>'S016 JAFFURA OUT'!N118-'S016 JAFFURA IN'!N118</f>
        <v>0</v>
      </c>
      <c r="L120" s="92">
        <f>'S013 MARJAN OUT'!YX118-'S013 MARJAN IN'!PY118</f>
        <v>36</v>
      </c>
      <c r="M120" s="92">
        <f>'S022 FADHALI OUT'!BW118-'S022 FADHALI IN'!N118</f>
        <v>0</v>
      </c>
      <c r="N120" s="92">
        <f>'S012 OYUN OUT'!AQ118-'S012 OYUN IN'!K118</f>
        <v>0</v>
      </c>
      <c r="O120" s="92">
        <f>'JAFFURA-NMP-01 OUT'!Y118-'JAFFURA-NMP-01 IN'!L118</f>
        <v>0</v>
      </c>
      <c r="P120" s="92">
        <f>'RENTAL MATERIAL OUT'!BM118-'RENTAL MATERIAL IN'!M118</f>
        <v>0</v>
      </c>
      <c r="Q120" s="92">
        <f>'ABU DHABI OUT'!DP118-'ABU DHABI IN'!AY118</f>
        <v>0</v>
      </c>
      <c r="R120" s="93">
        <f t="shared" si="5"/>
        <v>411</v>
      </c>
      <c r="S120" s="96">
        <v>11.29</v>
      </c>
      <c r="T120" s="2">
        <f t="shared" si="8"/>
        <v>411</v>
      </c>
    </row>
    <row r="121" spans="1:20" ht="16.5" thickTop="1" thickBot="1" x14ac:dyDescent="0.3">
      <c r="A121" s="87">
        <f>SUBTOTAL(3,$B$7:B121)</f>
        <v>115</v>
      </c>
      <c r="B121" s="79">
        <v>3000000318</v>
      </c>
      <c r="C121" s="142" t="s">
        <v>128</v>
      </c>
      <c r="D121" s="79" t="s">
        <v>12</v>
      </c>
      <c r="E121" s="79" t="s">
        <v>629</v>
      </c>
      <c r="F121" s="90">
        <f>'YARD IN'!JU119-'YARD OUT'!CF119</f>
        <v>4273</v>
      </c>
      <c r="G121" s="91">
        <f t="shared" si="4"/>
        <v>3700</v>
      </c>
      <c r="H121" s="92">
        <f>'S019 JAFURRA OUT'!K119-'S019 JAFURRA IN'!I119</f>
        <v>1161</v>
      </c>
      <c r="I121" s="92">
        <f>'S020 DAMMAM OUT'!S119-'S020 DAMMAM IN'!I119</f>
        <v>248</v>
      </c>
      <c r="J121" s="92">
        <f>'S015 JAFFURA OUT'!DE119-'S015 JAFFURA IN'!AG119</f>
        <v>1589</v>
      </c>
      <c r="K121" s="92">
        <f>'S016 JAFFURA OUT'!N119-'S016 JAFFURA IN'!N119</f>
        <v>0</v>
      </c>
      <c r="L121" s="92">
        <f>'S013 MARJAN OUT'!YX119-'S013 MARJAN IN'!PY119</f>
        <v>478</v>
      </c>
      <c r="M121" s="92">
        <f>'S022 FADHALI OUT'!BW119-'S022 FADHALI IN'!N119</f>
        <v>0</v>
      </c>
      <c r="N121" s="92">
        <f>'S012 OYUN OUT'!AQ119-'S012 OYUN IN'!K119</f>
        <v>224</v>
      </c>
      <c r="O121" s="92">
        <f>'JAFFURA-NMP-01 OUT'!Y119-'JAFFURA-NMP-01 IN'!L119</f>
        <v>0</v>
      </c>
      <c r="P121" s="92">
        <f>'RENTAL MATERIAL OUT'!BM119-'RENTAL MATERIAL IN'!M119</f>
        <v>0</v>
      </c>
      <c r="Q121" s="92">
        <f>'ABU DHABI OUT'!DP119-'ABU DHABI IN'!AY119</f>
        <v>2661</v>
      </c>
      <c r="R121" s="93">
        <f t="shared" si="5"/>
        <v>7973</v>
      </c>
      <c r="S121" s="96">
        <v>14.305</v>
      </c>
      <c r="T121" s="2">
        <f t="shared" si="8"/>
        <v>10634</v>
      </c>
    </row>
    <row r="122" spans="1:20" ht="16.5" thickTop="1" thickBot="1" x14ac:dyDescent="0.3">
      <c r="A122" s="87">
        <f>SUBTOTAL(3,$B$7:B122)</f>
        <v>116</v>
      </c>
      <c r="B122" s="79">
        <v>5000000010</v>
      </c>
      <c r="C122" s="142" t="s">
        <v>129</v>
      </c>
      <c r="D122" s="79" t="s">
        <v>12</v>
      </c>
      <c r="E122" s="79" t="s">
        <v>630</v>
      </c>
      <c r="F122" s="90">
        <f>'YARD IN'!JU120-'YARD OUT'!CF120</f>
        <v>144</v>
      </c>
      <c r="G122" s="91">
        <f t="shared" si="4"/>
        <v>0</v>
      </c>
      <c r="H122" s="92">
        <f>'S019 JAFURRA OUT'!K120-'S019 JAFURRA IN'!I120</f>
        <v>0</v>
      </c>
      <c r="I122" s="92">
        <f>'S020 DAMMAM OUT'!S120-'S020 DAMMAM IN'!I120</f>
        <v>0</v>
      </c>
      <c r="J122" s="92">
        <f>'S015 JAFFURA OUT'!DE120-'S015 JAFFURA IN'!AG120</f>
        <v>0</v>
      </c>
      <c r="K122" s="92">
        <f>'S016 JAFFURA OUT'!N120-'S016 JAFFURA IN'!N120</f>
        <v>0</v>
      </c>
      <c r="L122" s="92">
        <f>'S013 MARJAN OUT'!YX120-'S013 MARJAN IN'!PY120</f>
        <v>0</v>
      </c>
      <c r="M122" s="92">
        <f>'S022 FADHALI OUT'!BW120-'S022 FADHALI IN'!N120</f>
        <v>0</v>
      </c>
      <c r="N122" s="92">
        <f>'S012 OYUN OUT'!AQ120-'S012 OYUN IN'!K120</f>
        <v>0</v>
      </c>
      <c r="O122" s="92">
        <f>'JAFFURA-NMP-01 OUT'!Y120-'JAFFURA-NMP-01 IN'!L120</f>
        <v>0</v>
      </c>
      <c r="P122" s="92">
        <f>'RENTAL MATERIAL OUT'!BM120-'RENTAL MATERIAL IN'!M120</f>
        <v>0</v>
      </c>
      <c r="Q122" s="92">
        <f>'ABU DHABI OUT'!DP120-'ABU DHABI IN'!AY120</f>
        <v>0</v>
      </c>
      <c r="R122" s="93">
        <f t="shared" si="5"/>
        <v>144</v>
      </c>
      <c r="S122" s="135"/>
    </row>
    <row r="123" spans="1:20" ht="16.5" thickTop="1" thickBot="1" x14ac:dyDescent="0.3">
      <c r="A123" s="87">
        <f>SUBTOTAL(3,$B$7:B123)</f>
        <v>117</v>
      </c>
      <c r="B123" s="79">
        <v>5000000016</v>
      </c>
      <c r="C123" s="142" t="s">
        <v>130</v>
      </c>
      <c r="D123" s="79" t="s">
        <v>12</v>
      </c>
      <c r="E123" s="79" t="s">
        <v>630</v>
      </c>
      <c r="F123" s="90">
        <f>'YARD IN'!JU121-'YARD OUT'!CF121</f>
        <v>0</v>
      </c>
      <c r="G123" s="91">
        <f t="shared" si="4"/>
        <v>0</v>
      </c>
      <c r="H123" s="92">
        <f>'S019 JAFURRA OUT'!K121-'S019 JAFURRA IN'!I121</f>
        <v>0</v>
      </c>
      <c r="I123" s="92">
        <f>'S020 DAMMAM OUT'!S121-'S020 DAMMAM IN'!I121</f>
        <v>0</v>
      </c>
      <c r="J123" s="92">
        <f>'S015 JAFFURA OUT'!DE121-'S015 JAFFURA IN'!AG121</f>
        <v>0</v>
      </c>
      <c r="K123" s="92">
        <f>'S016 JAFFURA OUT'!N121-'S016 JAFFURA IN'!N121</f>
        <v>0</v>
      </c>
      <c r="L123" s="92">
        <f>'S013 MARJAN OUT'!YX121-'S013 MARJAN IN'!PY121</f>
        <v>0</v>
      </c>
      <c r="M123" s="92">
        <f>'S022 FADHALI OUT'!BW121-'S022 FADHALI IN'!N121</f>
        <v>0</v>
      </c>
      <c r="N123" s="92">
        <f>'S012 OYUN OUT'!AQ121-'S012 OYUN IN'!K121</f>
        <v>0</v>
      </c>
      <c r="O123" s="92">
        <f>'JAFFURA-NMP-01 OUT'!Y121-'JAFFURA-NMP-01 IN'!L121</f>
        <v>0</v>
      </c>
      <c r="P123" s="92">
        <f>'RENTAL MATERIAL OUT'!BM121-'RENTAL MATERIAL IN'!M121</f>
        <v>0</v>
      </c>
      <c r="Q123" s="92">
        <f>'ABU DHABI OUT'!DP121-'ABU DHABI IN'!AY121</f>
        <v>0</v>
      </c>
      <c r="R123" s="93">
        <f t="shared" si="5"/>
        <v>0</v>
      </c>
      <c r="S123" s="96"/>
    </row>
    <row r="124" spans="1:20" ht="16.5" thickTop="1" thickBot="1" x14ac:dyDescent="0.3">
      <c r="A124" s="87">
        <f>SUBTOTAL(3,$B$7:B124)</f>
        <v>118</v>
      </c>
      <c r="B124" s="79">
        <v>5000000015</v>
      </c>
      <c r="C124" s="142" t="s">
        <v>131</v>
      </c>
      <c r="D124" s="79" t="s">
        <v>12</v>
      </c>
      <c r="E124" s="79" t="s">
        <v>630</v>
      </c>
      <c r="F124" s="90">
        <f>'YARD IN'!JU122-'YARD OUT'!CF122</f>
        <v>197</v>
      </c>
      <c r="G124" s="91">
        <f t="shared" si="4"/>
        <v>0</v>
      </c>
      <c r="H124" s="92">
        <f>'S019 JAFURRA OUT'!K122-'S019 JAFURRA IN'!I122</f>
        <v>0</v>
      </c>
      <c r="I124" s="92">
        <f>'S020 DAMMAM OUT'!S122-'S020 DAMMAM IN'!I122</f>
        <v>0</v>
      </c>
      <c r="J124" s="92">
        <f>'S015 JAFFURA OUT'!DE122-'S015 JAFFURA IN'!AG122</f>
        <v>0</v>
      </c>
      <c r="K124" s="92">
        <f>'S016 JAFFURA OUT'!N122-'S016 JAFFURA IN'!N122</f>
        <v>0</v>
      </c>
      <c r="L124" s="92">
        <f>'S013 MARJAN OUT'!YX122-'S013 MARJAN IN'!PY122</f>
        <v>0</v>
      </c>
      <c r="M124" s="92">
        <f>'S022 FADHALI OUT'!BW122-'S022 FADHALI IN'!N122</f>
        <v>0</v>
      </c>
      <c r="N124" s="92">
        <f>'S012 OYUN OUT'!AQ122-'S012 OYUN IN'!K122</f>
        <v>0</v>
      </c>
      <c r="O124" s="92">
        <f>'JAFFURA-NMP-01 OUT'!Y122-'JAFFURA-NMP-01 IN'!L122</f>
        <v>0</v>
      </c>
      <c r="P124" s="92">
        <f>'RENTAL MATERIAL OUT'!BM122-'RENTAL MATERIAL IN'!M122</f>
        <v>0</v>
      </c>
      <c r="Q124" s="92">
        <f>'ABU DHABI OUT'!DP122-'ABU DHABI IN'!AY122</f>
        <v>0</v>
      </c>
      <c r="R124" s="93">
        <f t="shared" si="5"/>
        <v>197</v>
      </c>
      <c r="S124" s="135"/>
    </row>
    <row r="125" spans="1:20" ht="16.5" thickTop="1" thickBot="1" x14ac:dyDescent="0.3">
      <c r="A125" s="87">
        <f>SUBTOTAL(3,$B$7:B125)</f>
        <v>119</v>
      </c>
      <c r="B125" s="79">
        <v>3000002701</v>
      </c>
      <c r="C125" s="142" t="s">
        <v>132</v>
      </c>
      <c r="D125" s="79" t="s">
        <v>12</v>
      </c>
      <c r="E125" s="79" t="s">
        <v>629</v>
      </c>
      <c r="F125" s="90">
        <f>'YARD IN'!JU123-'YARD OUT'!CF123</f>
        <v>8197</v>
      </c>
      <c r="G125" s="91">
        <f t="shared" si="4"/>
        <v>15941</v>
      </c>
      <c r="H125" s="92">
        <f>'S019 JAFURRA OUT'!K123-'S019 JAFURRA IN'!I123</f>
        <v>625</v>
      </c>
      <c r="I125" s="92">
        <f>'S020 DAMMAM OUT'!S123-'S020 DAMMAM IN'!I123</f>
        <v>25</v>
      </c>
      <c r="J125" s="92">
        <f>'S015 JAFFURA OUT'!DE123-'S015 JAFFURA IN'!AG123</f>
        <v>3503</v>
      </c>
      <c r="K125" s="92">
        <f>'S016 JAFFURA OUT'!N123-'S016 JAFFURA IN'!N123</f>
        <v>0</v>
      </c>
      <c r="L125" s="92">
        <f>'S013 MARJAN OUT'!YX123-'S013 MARJAN IN'!PY123</f>
        <v>8635</v>
      </c>
      <c r="M125" s="92">
        <f>'S022 FADHALI OUT'!BW123-'S022 FADHALI IN'!N123</f>
        <v>2603</v>
      </c>
      <c r="N125" s="92">
        <f>'S012 OYUN OUT'!AQ123-'S012 OYUN IN'!K123</f>
        <v>550</v>
      </c>
      <c r="O125" s="92">
        <f>'JAFFURA-NMP-01 OUT'!Y123-'JAFFURA-NMP-01 IN'!L123</f>
        <v>0</v>
      </c>
      <c r="P125" s="92">
        <f>'RENTAL MATERIAL OUT'!BM123-'RENTAL MATERIAL IN'!M123</f>
        <v>0</v>
      </c>
      <c r="Q125" s="92">
        <f>'ABU DHABI OUT'!DP123-'ABU DHABI IN'!AY123</f>
        <v>0</v>
      </c>
      <c r="R125" s="93">
        <f t="shared" si="5"/>
        <v>24138</v>
      </c>
      <c r="S125" s="96">
        <v>2.1549999999999998</v>
      </c>
      <c r="T125" s="2">
        <f t="shared" ref="T125:T137" si="9">+SUM(R125+Q125)</f>
        <v>24138</v>
      </c>
    </row>
    <row r="126" spans="1:20" ht="16.5" thickTop="1" thickBot="1" x14ac:dyDescent="0.3">
      <c r="A126" s="87">
        <f>SUBTOTAL(3,$B$7:B126)</f>
        <v>120</v>
      </c>
      <c r="B126" s="79">
        <v>3000002771</v>
      </c>
      <c r="C126" s="142" t="s">
        <v>133</v>
      </c>
      <c r="D126" s="79" t="s">
        <v>12</v>
      </c>
      <c r="E126" s="79" t="s">
        <v>629</v>
      </c>
      <c r="F126" s="90">
        <f>'YARD IN'!JU124-'YARD OUT'!CF124</f>
        <v>25216</v>
      </c>
      <c r="G126" s="91">
        <f t="shared" si="4"/>
        <v>14339</v>
      </c>
      <c r="H126" s="92">
        <f>'S019 JAFURRA OUT'!K124-'S019 JAFURRA IN'!I124</f>
        <v>0</v>
      </c>
      <c r="I126" s="92">
        <f>'S020 DAMMAM OUT'!S124-'S020 DAMMAM IN'!I124</f>
        <v>215</v>
      </c>
      <c r="J126" s="92">
        <f>'S015 JAFFURA OUT'!DE124-'S015 JAFFURA IN'!AG124</f>
        <v>0</v>
      </c>
      <c r="K126" s="92">
        <f>'S016 JAFFURA OUT'!N124-'S016 JAFFURA IN'!N124</f>
        <v>0</v>
      </c>
      <c r="L126" s="92">
        <f>'S013 MARJAN OUT'!YX124-'S013 MARJAN IN'!PY124</f>
        <v>13474</v>
      </c>
      <c r="M126" s="92">
        <f>'S022 FADHALI OUT'!BW124-'S022 FADHALI IN'!N124</f>
        <v>650</v>
      </c>
      <c r="N126" s="92">
        <v>0</v>
      </c>
      <c r="O126" s="92">
        <f>'JAFFURA-NMP-01 OUT'!Y124-'JAFFURA-NMP-01 IN'!L124</f>
        <v>0</v>
      </c>
      <c r="P126" s="92">
        <f>'RENTAL MATERIAL OUT'!BM124-'RENTAL MATERIAL IN'!M124</f>
        <v>0</v>
      </c>
      <c r="Q126" s="92">
        <f>'ABU DHABI OUT'!DP124-'ABU DHABI IN'!AY124</f>
        <v>134</v>
      </c>
      <c r="R126" s="93">
        <f t="shared" si="5"/>
        <v>39555</v>
      </c>
      <c r="S126" s="96">
        <v>2.46</v>
      </c>
      <c r="T126" s="2">
        <f t="shared" si="9"/>
        <v>39689</v>
      </c>
    </row>
    <row r="127" spans="1:20" ht="16.5" thickTop="1" thickBot="1" x14ac:dyDescent="0.3">
      <c r="A127" s="87">
        <f>SUBTOTAL(3,$B$7:B127)</f>
        <v>121</v>
      </c>
      <c r="B127" s="79">
        <v>3000002777</v>
      </c>
      <c r="C127" s="142" t="s">
        <v>134</v>
      </c>
      <c r="D127" s="79" t="s">
        <v>12</v>
      </c>
      <c r="E127" s="79" t="s">
        <v>629</v>
      </c>
      <c r="F127" s="90">
        <f>'YARD IN'!JU125-'YARD OUT'!CF125</f>
        <v>30718</v>
      </c>
      <c r="G127" s="91">
        <f t="shared" si="4"/>
        <v>21708</v>
      </c>
      <c r="H127" s="92">
        <f>'S019 JAFURRA OUT'!K125-'S019 JAFURRA IN'!I125</f>
        <v>564</v>
      </c>
      <c r="I127" s="92">
        <f>'S020 DAMMAM OUT'!S125-'S020 DAMMAM IN'!I125</f>
        <v>240</v>
      </c>
      <c r="J127" s="92">
        <f>'S015 JAFFURA OUT'!DE125-'S015 JAFFURA IN'!AG125</f>
        <v>1234</v>
      </c>
      <c r="K127" s="92">
        <f>'S016 JAFFURA OUT'!N125-'S016 JAFFURA IN'!N125</f>
        <v>0</v>
      </c>
      <c r="L127" s="92">
        <f>'S013 MARJAN OUT'!YX125-'S013 MARJAN IN'!PY125</f>
        <v>17073</v>
      </c>
      <c r="M127" s="92">
        <f>'S022 FADHALI OUT'!BW125-'S022 FADHALI IN'!N125</f>
        <v>2202</v>
      </c>
      <c r="N127" s="92">
        <f>'S012 OYUN OUT'!AQ125-'S012 OYUN IN'!K125</f>
        <v>395</v>
      </c>
      <c r="O127" s="92">
        <f>'JAFFURA-NMP-01 OUT'!Y125-'JAFFURA-NMP-01 IN'!L125</f>
        <v>0</v>
      </c>
      <c r="P127" s="92">
        <f>'RENTAL MATERIAL OUT'!BM125-'RENTAL MATERIAL IN'!M125</f>
        <v>0</v>
      </c>
      <c r="Q127" s="92">
        <f>'ABU DHABI OUT'!DP125-'ABU DHABI IN'!AY125</f>
        <v>0</v>
      </c>
      <c r="R127" s="93">
        <f t="shared" si="5"/>
        <v>52426</v>
      </c>
      <c r="S127" s="96">
        <v>2.87</v>
      </c>
      <c r="T127" s="2">
        <f t="shared" si="9"/>
        <v>52426</v>
      </c>
    </row>
    <row r="128" spans="1:20" ht="16.5" thickTop="1" thickBot="1" x14ac:dyDescent="0.3">
      <c r="A128" s="87">
        <f>SUBTOTAL(3,$B$7:B128)</f>
        <v>122</v>
      </c>
      <c r="B128" s="79">
        <v>3000002700</v>
      </c>
      <c r="C128" s="142" t="s">
        <v>135</v>
      </c>
      <c r="D128" s="79" t="s">
        <v>12</v>
      </c>
      <c r="E128" s="79" t="s">
        <v>629</v>
      </c>
      <c r="F128" s="90">
        <f>'YARD IN'!JU126-'YARD OUT'!CF126</f>
        <v>15700</v>
      </c>
      <c r="G128" s="91">
        <f t="shared" si="4"/>
        <v>36395</v>
      </c>
      <c r="H128" s="92">
        <f>'S019 JAFURRA OUT'!K126-'S019 JAFURRA IN'!I126</f>
        <v>680</v>
      </c>
      <c r="I128" s="92">
        <f>'S020 DAMMAM OUT'!S126-'S020 DAMMAM IN'!I126</f>
        <v>450</v>
      </c>
      <c r="J128" s="92">
        <f>'S015 JAFFURA OUT'!DE126-'S015 JAFFURA IN'!AG126</f>
        <v>4050</v>
      </c>
      <c r="K128" s="92">
        <f>'S016 JAFFURA OUT'!N126-'S016 JAFFURA IN'!N126</f>
        <v>412</v>
      </c>
      <c r="L128" s="92">
        <f>'S013 MARJAN OUT'!YX126-'S013 MARJAN IN'!PY126</f>
        <v>18924</v>
      </c>
      <c r="M128" s="92">
        <f>'S022 FADHALI OUT'!BW126-'S022 FADHALI IN'!N126</f>
        <v>10921</v>
      </c>
      <c r="N128" s="92">
        <f>'S012 OYUN OUT'!AQ126-'S012 OYUN IN'!K126</f>
        <v>858</v>
      </c>
      <c r="O128" s="92">
        <f>'JAFFURA-NMP-01 OUT'!Y126-'JAFFURA-NMP-01 IN'!L126</f>
        <v>100</v>
      </c>
      <c r="P128" s="92">
        <f>'RENTAL MATERIAL OUT'!BM126-'RENTAL MATERIAL IN'!M126</f>
        <v>0</v>
      </c>
      <c r="Q128" s="92">
        <f>'ABU DHABI OUT'!DP126-'ABU DHABI IN'!AY126</f>
        <v>871</v>
      </c>
      <c r="R128" s="93">
        <f t="shared" si="5"/>
        <v>52095</v>
      </c>
      <c r="S128" s="96">
        <v>4.32</v>
      </c>
      <c r="T128" s="2">
        <f t="shared" si="9"/>
        <v>52966</v>
      </c>
    </row>
    <row r="129" spans="1:20" ht="16.5" thickTop="1" thickBot="1" x14ac:dyDescent="0.3">
      <c r="A129" s="87">
        <f>SUBTOTAL(3,$B$7:B129)</f>
        <v>123</v>
      </c>
      <c r="B129" s="79">
        <v>3000002699</v>
      </c>
      <c r="C129" s="142" t="s">
        <v>136</v>
      </c>
      <c r="D129" s="79" t="s">
        <v>12</v>
      </c>
      <c r="E129" s="79" t="s">
        <v>629</v>
      </c>
      <c r="F129" s="90">
        <f>'YARD IN'!JU127-'YARD OUT'!CF127</f>
        <v>46076</v>
      </c>
      <c r="G129" s="91">
        <f t="shared" si="4"/>
        <v>70298</v>
      </c>
      <c r="H129" s="92">
        <f>'S019 JAFURRA OUT'!K127-'S019 JAFURRA IN'!I127</f>
        <v>1082</v>
      </c>
      <c r="I129" s="92">
        <f>'S020 DAMMAM OUT'!S127-'S020 DAMMAM IN'!I127</f>
        <v>740</v>
      </c>
      <c r="J129" s="92">
        <f>'S015 JAFFURA OUT'!DE127-'S015 JAFFURA IN'!AG127</f>
        <v>9656</v>
      </c>
      <c r="K129" s="92">
        <f>'S016 JAFFURA OUT'!N127-'S016 JAFFURA IN'!N127</f>
        <v>1248</v>
      </c>
      <c r="L129" s="92">
        <f>'S013 MARJAN OUT'!YX127-'S013 MARJAN IN'!PY127</f>
        <v>43486</v>
      </c>
      <c r="M129" s="92">
        <f>'S022 FADHALI OUT'!BW127-'S022 FADHALI IN'!N127</f>
        <v>12776</v>
      </c>
      <c r="N129" s="92">
        <f>'S012 OYUN OUT'!AQ127-'S012 OYUN IN'!K127</f>
        <v>1304</v>
      </c>
      <c r="O129" s="92">
        <f>'JAFFURA-NMP-01 OUT'!Y127-'JAFFURA-NMP-01 IN'!L127</f>
        <v>6</v>
      </c>
      <c r="P129" s="92">
        <f>'RENTAL MATERIAL OUT'!BM127-'RENTAL MATERIAL IN'!M127</f>
        <v>0</v>
      </c>
      <c r="Q129" s="92">
        <f>'ABU DHABI OUT'!DP127-'ABU DHABI IN'!AY127</f>
        <v>1105</v>
      </c>
      <c r="R129" s="93">
        <f t="shared" si="5"/>
        <v>116374</v>
      </c>
      <c r="S129" s="96">
        <v>6.47</v>
      </c>
      <c r="T129" s="2">
        <f t="shared" si="9"/>
        <v>117479</v>
      </c>
    </row>
    <row r="130" spans="1:20" ht="16.5" thickTop="1" thickBot="1" x14ac:dyDescent="0.3">
      <c r="A130" s="87">
        <f>SUBTOTAL(3,$B$7:B130)</f>
        <v>124</v>
      </c>
      <c r="B130" s="79">
        <v>3000002698</v>
      </c>
      <c r="C130" s="142" t="s">
        <v>137</v>
      </c>
      <c r="D130" s="79" t="s">
        <v>12</v>
      </c>
      <c r="E130" s="79" t="s">
        <v>629</v>
      </c>
      <c r="F130" s="90">
        <f>'YARD IN'!JU128-'YARD OUT'!CF128</f>
        <v>45301</v>
      </c>
      <c r="G130" s="91">
        <f t="shared" si="4"/>
        <v>64638</v>
      </c>
      <c r="H130" s="92">
        <f>'S019 JAFURRA OUT'!K128-'S019 JAFURRA IN'!I128</f>
        <v>796</v>
      </c>
      <c r="I130" s="92">
        <f>'S020 DAMMAM OUT'!S128-'S020 DAMMAM IN'!I128</f>
        <v>1028</v>
      </c>
      <c r="J130" s="92">
        <f>'S015 JAFFURA OUT'!DE128-'S015 JAFFURA IN'!AG128</f>
        <v>3077</v>
      </c>
      <c r="K130" s="92">
        <f>'S016 JAFFURA OUT'!N128-'S016 JAFFURA IN'!N128</f>
        <v>1244</v>
      </c>
      <c r="L130" s="92">
        <f>'S013 MARJAN OUT'!YX128-'S013 MARJAN IN'!PY128</f>
        <v>39810</v>
      </c>
      <c r="M130" s="92">
        <f>'S022 FADHALI OUT'!BW128-'S022 FADHALI IN'!N128</f>
        <v>17532</v>
      </c>
      <c r="N130" s="92">
        <f>'S012 OYUN OUT'!AQ128-'S012 OYUN IN'!K128</f>
        <v>1151</v>
      </c>
      <c r="O130" s="92">
        <f>'JAFFURA-NMP-01 OUT'!Y128-'JAFFURA-NMP-01 IN'!L128</f>
        <v>0</v>
      </c>
      <c r="P130" s="92">
        <f>'RENTAL MATERIAL OUT'!BM128-'RENTAL MATERIAL IN'!M128</f>
        <v>0</v>
      </c>
      <c r="Q130" s="92">
        <f>'ABU DHABI OUT'!DP128-'ABU DHABI IN'!AY128</f>
        <v>1158</v>
      </c>
      <c r="R130" s="93">
        <f t="shared" si="5"/>
        <v>109939</v>
      </c>
      <c r="S130" s="96">
        <v>8.48</v>
      </c>
      <c r="T130" s="2">
        <f t="shared" si="9"/>
        <v>111097</v>
      </c>
    </row>
    <row r="131" spans="1:20" ht="16.5" thickTop="1" thickBot="1" x14ac:dyDescent="0.3">
      <c r="A131" s="87">
        <f>SUBTOTAL(3,$B$7:B131)</f>
        <v>125</v>
      </c>
      <c r="B131" s="79">
        <v>1000006677</v>
      </c>
      <c r="C131" s="142" t="s">
        <v>138</v>
      </c>
      <c r="D131" s="79" t="s">
        <v>12</v>
      </c>
      <c r="E131" s="79" t="s">
        <v>629</v>
      </c>
      <c r="F131" s="90">
        <f>'YARD IN'!JU129-'YARD OUT'!CF129</f>
        <v>5071</v>
      </c>
      <c r="G131" s="91">
        <f t="shared" si="4"/>
        <v>29769</v>
      </c>
      <c r="H131" s="92">
        <f>'S019 JAFURRA OUT'!K129-'S019 JAFURRA IN'!I129</f>
        <v>204</v>
      </c>
      <c r="I131" s="92">
        <f>'S020 DAMMAM OUT'!S129-'S020 DAMMAM IN'!I129</f>
        <v>170</v>
      </c>
      <c r="J131" s="92">
        <f>'S015 JAFFURA OUT'!DE129-'S015 JAFFURA IN'!AG129</f>
        <v>3365</v>
      </c>
      <c r="K131" s="92">
        <f>'S016 JAFFURA OUT'!N129-'S016 JAFFURA IN'!N129</f>
        <v>0</v>
      </c>
      <c r="L131" s="92">
        <f>'S013 MARJAN OUT'!YX129-'S013 MARJAN IN'!PY129</f>
        <v>18894</v>
      </c>
      <c r="M131" s="92">
        <f>'S022 FADHALI OUT'!BW129-'S022 FADHALI IN'!N129</f>
        <v>6615</v>
      </c>
      <c r="N131" s="92">
        <f>'S012 OYUN OUT'!AQ129-'S012 OYUN IN'!K129</f>
        <v>446</v>
      </c>
      <c r="O131" s="92">
        <f>'JAFFURA-NMP-01 OUT'!Y129-'JAFFURA-NMP-01 IN'!L129</f>
        <v>75</v>
      </c>
      <c r="P131" s="92">
        <f>'RENTAL MATERIAL OUT'!BM129-'RENTAL MATERIAL IN'!M129</f>
        <v>0</v>
      </c>
      <c r="Q131" s="92">
        <f>'ABU DHABI OUT'!DP129-'ABU DHABI IN'!AY129</f>
        <v>24</v>
      </c>
      <c r="R131" s="93">
        <f t="shared" si="5"/>
        <v>34840</v>
      </c>
      <c r="S131" s="96">
        <v>10.46</v>
      </c>
      <c r="T131" s="2">
        <f t="shared" si="9"/>
        <v>34864</v>
      </c>
    </row>
    <row r="132" spans="1:20" ht="16.5" thickTop="1" thickBot="1" x14ac:dyDescent="0.3">
      <c r="A132" s="87">
        <f>SUBTOTAL(3,$B$7:B132)</f>
        <v>126</v>
      </c>
      <c r="B132" s="79">
        <v>3000002697</v>
      </c>
      <c r="C132" s="142" t="s">
        <v>139</v>
      </c>
      <c r="D132" s="79" t="s">
        <v>12</v>
      </c>
      <c r="E132" s="79" t="s">
        <v>629</v>
      </c>
      <c r="F132" s="90">
        <f>'YARD IN'!JU130-'YARD OUT'!CF130</f>
        <v>6075</v>
      </c>
      <c r="G132" s="91">
        <f t="shared" si="4"/>
        <v>32660</v>
      </c>
      <c r="H132" s="92">
        <f>'S019 JAFURRA OUT'!K130-'S019 JAFURRA IN'!I130</f>
        <v>869</v>
      </c>
      <c r="I132" s="92">
        <f>'S020 DAMMAM OUT'!S130-'S020 DAMMAM IN'!I130</f>
        <v>550</v>
      </c>
      <c r="J132" s="92">
        <f>'S015 JAFFURA OUT'!DE130-'S015 JAFFURA IN'!AG130</f>
        <v>4715</v>
      </c>
      <c r="K132" s="92">
        <f>'S016 JAFFURA OUT'!N130-'S016 JAFFURA IN'!N130</f>
        <v>298</v>
      </c>
      <c r="L132" s="92">
        <f>'S013 MARJAN OUT'!YX130-'S013 MARJAN IN'!PY130</f>
        <v>15922</v>
      </c>
      <c r="M132" s="92">
        <f>'S022 FADHALI OUT'!BW130-'S022 FADHALI IN'!N130</f>
        <v>9140</v>
      </c>
      <c r="N132" s="92">
        <f>'S012 OYUN OUT'!AQ130-'S012 OYUN IN'!K130</f>
        <v>1091</v>
      </c>
      <c r="O132" s="92">
        <f>'JAFFURA-NMP-01 OUT'!Y130-'JAFFURA-NMP-01 IN'!L130</f>
        <v>75</v>
      </c>
      <c r="P132" s="92">
        <f>'RENTAL MATERIAL OUT'!BM130-'RENTAL MATERIAL IN'!M130</f>
        <v>0</v>
      </c>
      <c r="Q132" s="92">
        <f>'ABU DHABI OUT'!DP130-'ABU DHABI IN'!AY130</f>
        <v>560</v>
      </c>
      <c r="R132" s="93">
        <f t="shared" si="5"/>
        <v>38735</v>
      </c>
      <c r="S132" s="96">
        <v>12.75</v>
      </c>
      <c r="T132" s="2">
        <f t="shared" si="9"/>
        <v>39295</v>
      </c>
    </row>
    <row r="133" spans="1:20" ht="16.5" thickTop="1" thickBot="1" x14ac:dyDescent="0.3">
      <c r="A133" s="87">
        <f>SUBTOTAL(3,$B$7:B133)</f>
        <v>127</v>
      </c>
      <c r="B133" s="79">
        <v>1000006676</v>
      </c>
      <c r="C133" s="142" t="s">
        <v>140</v>
      </c>
      <c r="D133" s="79" t="s">
        <v>12</v>
      </c>
      <c r="E133" s="79" t="s">
        <v>629</v>
      </c>
      <c r="F133" s="90">
        <f>'YARD IN'!JU131-'YARD OUT'!CF131</f>
        <v>410</v>
      </c>
      <c r="G133" s="91">
        <f t="shared" si="4"/>
        <v>2950</v>
      </c>
      <c r="H133" s="92">
        <f>'S019 JAFURRA OUT'!K131-'S019 JAFURRA IN'!I131</f>
        <v>307</v>
      </c>
      <c r="I133" s="92">
        <f>'S020 DAMMAM OUT'!S131-'S020 DAMMAM IN'!I131</f>
        <v>0</v>
      </c>
      <c r="J133" s="92">
        <f>'S015 JAFFURA OUT'!DE131-'S015 JAFFURA IN'!AG131</f>
        <v>481</v>
      </c>
      <c r="K133" s="92">
        <f>'S016 JAFFURA OUT'!N131-'S016 JAFFURA IN'!N131</f>
        <v>0</v>
      </c>
      <c r="L133" s="92">
        <f>'S013 MARJAN OUT'!YX131-'S013 MARJAN IN'!PY131</f>
        <v>1791</v>
      </c>
      <c r="M133" s="92">
        <f>'S022 FADHALI OUT'!BW131-'S022 FADHALI IN'!N131</f>
        <v>365</v>
      </c>
      <c r="N133" s="92">
        <f>'S012 OYUN OUT'!AQ131-'S012 OYUN IN'!K131</f>
        <v>6</v>
      </c>
      <c r="O133" s="92">
        <f>'JAFFURA-NMP-01 OUT'!Y131-'JAFFURA-NMP-01 IN'!L131</f>
        <v>0</v>
      </c>
      <c r="P133" s="92">
        <f>'RENTAL MATERIAL OUT'!BM131-'RENTAL MATERIAL IN'!M131</f>
        <v>0</v>
      </c>
      <c r="Q133" s="92">
        <f>'ABU DHABI OUT'!DP131-'ABU DHABI IN'!AY131</f>
        <v>0</v>
      </c>
      <c r="R133" s="93">
        <f t="shared" si="5"/>
        <v>3360</v>
      </c>
      <c r="S133" s="96">
        <v>14.65</v>
      </c>
      <c r="T133" s="2">
        <f t="shared" si="9"/>
        <v>3360</v>
      </c>
    </row>
    <row r="134" spans="1:20" ht="16.5" thickTop="1" thickBot="1" x14ac:dyDescent="0.3">
      <c r="A134" s="87">
        <f>SUBTOTAL(3,$B$7:B134)</f>
        <v>128</v>
      </c>
      <c r="B134" s="79">
        <v>3000002696</v>
      </c>
      <c r="C134" s="142" t="s">
        <v>141</v>
      </c>
      <c r="D134" s="79" t="s">
        <v>12</v>
      </c>
      <c r="E134" s="79" t="s">
        <v>629</v>
      </c>
      <c r="F134" s="90">
        <f>'YARD IN'!JU132-'YARD OUT'!CF132</f>
        <v>7543</v>
      </c>
      <c r="G134" s="91">
        <f t="shared" si="4"/>
        <v>26062</v>
      </c>
      <c r="H134" s="92">
        <f>'S019 JAFURRA OUT'!K132-'S019 JAFURRA IN'!I132</f>
        <v>636</v>
      </c>
      <c r="I134" s="92">
        <f>'S020 DAMMAM OUT'!S132-'S020 DAMMAM IN'!I132</f>
        <v>275</v>
      </c>
      <c r="J134" s="92">
        <f>'S015 JAFFURA OUT'!DE132-'S015 JAFFURA IN'!AG132</f>
        <v>2701</v>
      </c>
      <c r="K134" s="92">
        <f>'S016 JAFFURA OUT'!N132-'S016 JAFFURA IN'!N132</f>
        <v>598</v>
      </c>
      <c r="L134" s="92">
        <f>'S013 MARJAN OUT'!YX132-'S013 MARJAN IN'!PY132</f>
        <v>15907</v>
      </c>
      <c r="M134" s="92">
        <f>'S022 FADHALI OUT'!BW132-'S022 FADHALI IN'!N132</f>
        <v>5000</v>
      </c>
      <c r="N134" s="92">
        <f>'S012 OYUN OUT'!AQ132-'S012 OYUN IN'!K132</f>
        <v>945</v>
      </c>
      <c r="O134" s="92">
        <f>'JAFFURA-NMP-01 OUT'!Y132-'JAFFURA-NMP-01 IN'!L132</f>
        <v>0</v>
      </c>
      <c r="P134" s="92">
        <f>'RENTAL MATERIAL OUT'!BM132-'RENTAL MATERIAL IN'!M132</f>
        <v>0</v>
      </c>
      <c r="Q134" s="92">
        <f>'ABU DHABI OUT'!DP132-'ABU DHABI IN'!AY132</f>
        <v>1250</v>
      </c>
      <c r="R134" s="93">
        <f t="shared" si="5"/>
        <v>33605</v>
      </c>
      <c r="S134" s="96">
        <v>17.079999999999998</v>
      </c>
      <c r="T134" s="2">
        <f t="shared" si="9"/>
        <v>34855</v>
      </c>
    </row>
    <row r="135" spans="1:20" ht="16.5" thickTop="1" thickBot="1" x14ac:dyDescent="0.3">
      <c r="A135" s="87">
        <f>SUBTOTAL(3,$B$7:B135)</f>
        <v>129</v>
      </c>
      <c r="B135" s="79">
        <v>3000002693</v>
      </c>
      <c r="C135" s="142" t="s">
        <v>142</v>
      </c>
      <c r="D135" s="79" t="s">
        <v>12</v>
      </c>
      <c r="E135" s="79" t="s">
        <v>629</v>
      </c>
      <c r="F135" s="90">
        <f>'YARD IN'!JU133-'YARD OUT'!CF133</f>
        <v>27</v>
      </c>
      <c r="G135" s="91">
        <f t="shared" si="4"/>
        <v>67</v>
      </c>
      <c r="H135" s="92">
        <f>'S019 JAFURRA OUT'!K133-'S019 JAFURRA IN'!I133</f>
        <v>0</v>
      </c>
      <c r="I135" s="92">
        <f>'S020 DAMMAM OUT'!S133-'S020 DAMMAM IN'!I133</f>
        <v>0</v>
      </c>
      <c r="J135" s="92">
        <f>'S015 JAFFURA OUT'!DE133-'S015 JAFFURA IN'!AG133</f>
        <v>6</v>
      </c>
      <c r="K135" s="92">
        <f>'S016 JAFFURA OUT'!N133-'S016 JAFFURA IN'!N133</f>
        <v>0</v>
      </c>
      <c r="L135" s="92">
        <f>'S013 MARJAN OUT'!YX133-'S013 MARJAN IN'!PY133</f>
        <v>11</v>
      </c>
      <c r="M135" s="92">
        <f>'S022 FADHALI OUT'!BW133-'S022 FADHALI IN'!N133</f>
        <v>50</v>
      </c>
      <c r="N135" s="92">
        <f>'S012 OYUN OUT'!AQ133-'S012 OYUN IN'!K133</f>
        <v>0</v>
      </c>
      <c r="O135" s="92">
        <f>'JAFFURA-NMP-01 OUT'!Y133-'JAFFURA-NMP-01 IN'!L133</f>
        <v>0</v>
      </c>
      <c r="P135" s="92">
        <f>'RENTAL MATERIAL OUT'!BM133-'RENTAL MATERIAL IN'!M133</f>
        <v>0</v>
      </c>
      <c r="Q135" s="92">
        <f>'ABU DHABI OUT'!DP133-'ABU DHABI IN'!AY133</f>
        <v>0</v>
      </c>
      <c r="R135" s="93">
        <f t="shared" si="5"/>
        <v>94</v>
      </c>
      <c r="S135" s="96">
        <v>20.585000000000001</v>
      </c>
      <c r="T135" s="2">
        <f t="shared" si="9"/>
        <v>94</v>
      </c>
    </row>
    <row r="136" spans="1:20" ht="16.5" thickTop="1" thickBot="1" x14ac:dyDescent="0.3">
      <c r="A136" s="87">
        <f>SUBTOTAL(3,$B$7:B136)</f>
        <v>130</v>
      </c>
      <c r="B136" s="79" t="s">
        <v>143</v>
      </c>
      <c r="C136" s="142" t="s">
        <v>144</v>
      </c>
      <c r="D136" s="79" t="s">
        <v>12</v>
      </c>
      <c r="E136" s="79" t="s">
        <v>629</v>
      </c>
      <c r="F136" s="90">
        <f>'YARD IN'!JU134-'YARD OUT'!CF134</f>
        <v>33</v>
      </c>
      <c r="G136" s="91">
        <f t="shared" ref="G136:G189" si="10">SUM(H136:P136)</f>
        <v>120</v>
      </c>
      <c r="H136" s="92">
        <f>'S019 JAFURRA OUT'!K134-'S019 JAFURRA IN'!I134</f>
        <v>0</v>
      </c>
      <c r="I136" s="92">
        <f>'S020 DAMMAM OUT'!S134-'S020 DAMMAM IN'!I134</f>
        <v>0</v>
      </c>
      <c r="J136" s="92">
        <f>'S015 JAFFURA OUT'!DE134-'S015 JAFFURA IN'!AG134</f>
        <v>120</v>
      </c>
      <c r="K136" s="92">
        <f>'S016 JAFFURA OUT'!N134-'S016 JAFFURA IN'!N134</f>
        <v>0</v>
      </c>
      <c r="L136" s="92">
        <f>'S013 MARJAN OUT'!YX134-'S013 MARJAN IN'!PY134</f>
        <v>0</v>
      </c>
      <c r="M136" s="92">
        <f>'S022 FADHALI OUT'!BW134-'S022 FADHALI IN'!N134</f>
        <v>0</v>
      </c>
      <c r="N136" s="92">
        <f>'S012 OYUN OUT'!AQ134-'S012 OYUN IN'!K134</f>
        <v>0</v>
      </c>
      <c r="O136" s="92">
        <f>'JAFFURA-NMP-01 OUT'!Y134-'JAFFURA-NMP-01 IN'!L134</f>
        <v>0</v>
      </c>
      <c r="P136" s="92">
        <f>'RENTAL MATERIAL OUT'!BM134-'RENTAL MATERIAL IN'!M134</f>
        <v>0</v>
      </c>
      <c r="Q136" s="92">
        <f>'ABU DHABI OUT'!DP134-'ABU DHABI IN'!AY134</f>
        <v>0</v>
      </c>
      <c r="R136" s="93">
        <f t="shared" ref="R136:R189" si="11">SUM(G136+F136)</f>
        <v>153</v>
      </c>
      <c r="S136" s="96">
        <v>23</v>
      </c>
      <c r="T136" s="2">
        <f t="shared" si="9"/>
        <v>153</v>
      </c>
    </row>
    <row r="137" spans="1:20" ht="16.5" thickTop="1" thickBot="1" x14ac:dyDescent="0.3">
      <c r="A137" s="87">
        <f>SUBTOTAL(3,$B$7:B137)</f>
        <v>131</v>
      </c>
      <c r="B137" s="79">
        <v>3000002692</v>
      </c>
      <c r="C137" s="142" t="s">
        <v>145</v>
      </c>
      <c r="D137" s="79" t="s">
        <v>12</v>
      </c>
      <c r="E137" s="79" t="s">
        <v>629</v>
      </c>
      <c r="F137" s="90">
        <f>'YARD IN'!JU135-'YARD OUT'!CF135</f>
        <v>33681</v>
      </c>
      <c r="G137" s="91">
        <f t="shared" si="10"/>
        <v>29695</v>
      </c>
      <c r="H137" s="92">
        <f>'S019 JAFURRA OUT'!K135-'S019 JAFURRA IN'!I135</f>
        <v>735</v>
      </c>
      <c r="I137" s="92">
        <f>'S020 DAMMAM OUT'!S135-'S020 DAMMAM IN'!I135</f>
        <v>210</v>
      </c>
      <c r="J137" s="92">
        <f>'S015 JAFFURA OUT'!DE135-'S015 JAFFURA IN'!AG135</f>
        <v>3909</v>
      </c>
      <c r="K137" s="92">
        <f>'S016 JAFFURA OUT'!N135-'S016 JAFFURA IN'!N135</f>
        <v>0</v>
      </c>
      <c r="L137" s="92">
        <f>'S013 MARJAN OUT'!YX135-'S013 MARJAN IN'!PY135</f>
        <v>21105</v>
      </c>
      <c r="M137" s="92">
        <f>'S022 FADHALI OUT'!BW135-'S022 FADHALI IN'!N135</f>
        <v>3237</v>
      </c>
      <c r="N137" s="92">
        <f>'S012 OYUN OUT'!AQ135-'S012 OYUN IN'!K135</f>
        <v>449</v>
      </c>
      <c r="O137" s="92">
        <f>'JAFFURA-NMP-01 OUT'!Y135-'JAFFURA-NMP-01 IN'!L135</f>
        <v>50</v>
      </c>
      <c r="P137" s="92">
        <f>'RENTAL MATERIAL OUT'!BM135-'RENTAL MATERIAL IN'!M135</f>
        <v>0</v>
      </c>
      <c r="Q137" s="92">
        <f>'ABU DHABI OUT'!DP135-'ABU DHABI IN'!AY135</f>
        <v>12786</v>
      </c>
      <c r="R137" s="93">
        <f t="shared" si="11"/>
        <v>63376</v>
      </c>
      <c r="S137" s="96">
        <v>25.105</v>
      </c>
      <c r="T137" s="2">
        <f t="shared" si="9"/>
        <v>76162</v>
      </c>
    </row>
    <row r="138" spans="1:20" ht="16.5" thickTop="1" thickBot="1" x14ac:dyDescent="0.3">
      <c r="A138" s="87">
        <f>SUBTOTAL(3,$B$7:B138)</f>
        <v>132</v>
      </c>
      <c r="B138" s="79">
        <v>3000002334</v>
      </c>
      <c r="C138" s="142" t="s">
        <v>146</v>
      </c>
      <c r="D138" s="79" t="s">
        <v>12</v>
      </c>
      <c r="E138" s="79" t="s">
        <v>630</v>
      </c>
      <c r="F138" s="90">
        <f>'YARD IN'!JU136-'YARD OUT'!CF136</f>
        <v>0</v>
      </c>
      <c r="G138" s="91">
        <f t="shared" si="10"/>
        <v>105</v>
      </c>
      <c r="H138" s="92">
        <f>'S019 JAFURRA OUT'!K136-'S019 JAFURRA IN'!I136</f>
        <v>0</v>
      </c>
      <c r="I138" s="92">
        <f>'S020 DAMMAM OUT'!S136-'S020 DAMMAM IN'!I136</f>
        <v>0</v>
      </c>
      <c r="J138" s="92">
        <f>'S015 JAFFURA OUT'!DE136-'S015 JAFFURA IN'!AG136</f>
        <v>95</v>
      </c>
      <c r="K138" s="92">
        <f>'S016 JAFFURA OUT'!N136-'S016 JAFFURA IN'!N136</f>
        <v>0</v>
      </c>
      <c r="L138" s="92">
        <f>'S013 MARJAN OUT'!YX136-'S013 MARJAN IN'!PY136</f>
        <v>0</v>
      </c>
      <c r="M138" s="92">
        <f>'S022 FADHALI OUT'!BW136-'S022 FADHALI IN'!N136</f>
        <v>0</v>
      </c>
      <c r="N138" s="92">
        <f>'S012 OYUN OUT'!AQ136-'S012 OYUN IN'!K136</f>
        <v>10</v>
      </c>
      <c r="O138" s="92">
        <f>'JAFFURA-NMP-01 OUT'!Y136-'JAFFURA-NMP-01 IN'!L136</f>
        <v>0</v>
      </c>
      <c r="P138" s="92">
        <f>'RENTAL MATERIAL OUT'!BM136-'RENTAL MATERIAL IN'!M136</f>
        <v>0</v>
      </c>
      <c r="Q138" s="92">
        <f>'ABU DHABI OUT'!DP136-'ABU DHABI IN'!AY136</f>
        <v>0</v>
      </c>
      <c r="R138" s="93">
        <f t="shared" si="11"/>
        <v>105</v>
      </c>
      <c r="S138" s="96">
        <v>17.71</v>
      </c>
    </row>
    <row r="139" spans="1:20" ht="16.5" thickTop="1" thickBot="1" x14ac:dyDescent="0.3">
      <c r="A139" s="87">
        <f>SUBTOTAL(3,$B$7:B139)</f>
        <v>133</v>
      </c>
      <c r="B139" s="79">
        <v>3000003828</v>
      </c>
      <c r="C139" s="142" t="s">
        <v>147</v>
      </c>
      <c r="D139" s="79" t="s">
        <v>12</v>
      </c>
      <c r="E139" s="79" t="s">
        <v>630</v>
      </c>
      <c r="F139" s="90">
        <f>'YARD IN'!JU137-'YARD OUT'!CF137</f>
        <v>0</v>
      </c>
      <c r="G139" s="91">
        <f t="shared" si="10"/>
        <v>30</v>
      </c>
      <c r="H139" s="92">
        <f>'S019 JAFURRA OUT'!K137-'S019 JAFURRA IN'!I137</f>
        <v>0</v>
      </c>
      <c r="I139" s="92">
        <f>'S020 DAMMAM OUT'!S137-'S020 DAMMAM IN'!I137</f>
        <v>0</v>
      </c>
      <c r="J139" s="92">
        <f>'S015 JAFFURA OUT'!DE137-'S015 JAFFURA IN'!AG137</f>
        <v>30</v>
      </c>
      <c r="K139" s="92">
        <f>'S016 JAFFURA OUT'!N137-'S016 JAFFURA IN'!N137</f>
        <v>0</v>
      </c>
      <c r="L139" s="92">
        <f>'S013 MARJAN OUT'!YX137-'S013 MARJAN IN'!PY137</f>
        <v>0</v>
      </c>
      <c r="M139" s="92">
        <f>'S022 FADHALI OUT'!BW137-'S022 FADHALI IN'!N137</f>
        <v>0</v>
      </c>
      <c r="N139" s="92">
        <f>'S012 OYUN OUT'!AQ137-'S012 OYUN IN'!K137</f>
        <v>0</v>
      </c>
      <c r="O139" s="92">
        <f>'JAFFURA-NMP-01 OUT'!Y137-'JAFFURA-NMP-01 IN'!L137</f>
        <v>0</v>
      </c>
      <c r="P139" s="92">
        <f>'RENTAL MATERIAL OUT'!BM137-'RENTAL MATERIAL IN'!M137</f>
        <v>0</v>
      </c>
      <c r="Q139" s="92">
        <f>'ABU DHABI OUT'!DP137-'ABU DHABI IN'!AY137</f>
        <v>0</v>
      </c>
      <c r="R139" s="93">
        <f t="shared" si="11"/>
        <v>30</v>
      </c>
      <c r="S139" s="96">
        <v>23.1</v>
      </c>
    </row>
    <row r="140" spans="1:20" ht="16.5" thickTop="1" thickBot="1" x14ac:dyDescent="0.3">
      <c r="A140" s="87">
        <f>SUBTOTAL(3,$B$7:B140)</f>
        <v>134</v>
      </c>
      <c r="B140" s="79">
        <v>3000000358</v>
      </c>
      <c r="C140" s="142" t="s">
        <v>148</v>
      </c>
      <c r="D140" s="79" t="s">
        <v>12</v>
      </c>
      <c r="E140" s="79" t="s">
        <v>630</v>
      </c>
      <c r="F140" s="90">
        <f>'YARD IN'!JU138-'YARD OUT'!CF138</f>
        <v>0</v>
      </c>
      <c r="G140" s="91">
        <f t="shared" si="10"/>
        <v>60</v>
      </c>
      <c r="H140" s="92">
        <f>'S019 JAFURRA OUT'!K138-'S019 JAFURRA IN'!I138</f>
        <v>0</v>
      </c>
      <c r="I140" s="92">
        <f>'S020 DAMMAM OUT'!S138-'S020 DAMMAM IN'!I138</f>
        <v>0</v>
      </c>
      <c r="J140" s="92">
        <f>'S015 JAFFURA OUT'!DE138-'S015 JAFFURA IN'!AG138</f>
        <v>35</v>
      </c>
      <c r="K140" s="92">
        <f>'S016 JAFFURA OUT'!N138-'S016 JAFFURA IN'!N138</f>
        <v>0</v>
      </c>
      <c r="L140" s="92">
        <f>'S013 MARJAN OUT'!YX138-'S013 MARJAN IN'!PY138</f>
        <v>0</v>
      </c>
      <c r="M140" s="92">
        <f>'S022 FADHALI OUT'!BW138-'S022 FADHALI IN'!N138</f>
        <v>0</v>
      </c>
      <c r="N140" s="92">
        <f>'S012 OYUN OUT'!AQ138-'S012 OYUN IN'!K138</f>
        <v>25</v>
      </c>
      <c r="O140" s="92">
        <f>'JAFFURA-NMP-01 OUT'!Y138-'JAFFURA-NMP-01 IN'!L138</f>
        <v>0</v>
      </c>
      <c r="P140" s="92">
        <f>'RENTAL MATERIAL OUT'!BM138-'RENTAL MATERIAL IN'!M138</f>
        <v>0</v>
      </c>
      <c r="Q140" s="92">
        <f>'ABU DHABI OUT'!DP138-'ABU DHABI IN'!AY138</f>
        <v>0</v>
      </c>
      <c r="R140" s="93">
        <f t="shared" si="11"/>
        <v>60</v>
      </c>
      <c r="S140" s="96">
        <v>26.565000000000001</v>
      </c>
    </row>
    <row r="141" spans="1:20" ht="16.5" thickTop="1" thickBot="1" x14ac:dyDescent="0.3">
      <c r="A141" s="87">
        <f>SUBTOTAL(3,$B$7:B141)</f>
        <v>135</v>
      </c>
      <c r="B141" s="79">
        <v>3000000359</v>
      </c>
      <c r="C141" s="142" t="s">
        <v>149</v>
      </c>
      <c r="D141" s="79" t="s">
        <v>12</v>
      </c>
      <c r="E141" s="79" t="s">
        <v>630</v>
      </c>
      <c r="F141" s="90">
        <f>'YARD IN'!JU139-'YARD OUT'!CF139</f>
        <v>0</v>
      </c>
      <c r="G141" s="91">
        <f t="shared" si="10"/>
        <v>50</v>
      </c>
      <c r="H141" s="92">
        <f>'S019 JAFURRA OUT'!K139-'S019 JAFURRA IN'!I139</f>
        <v>0</v>
      </c>
      <c r="I141" s="92">
        <f>'S020 DAMMAM OUT'!S139-'S020 DAMMAM IN'!I139</f>
        <v>0</v>
      </c>
      <c r="J141" s="92">
        <f>'S015 JAFFURA OUT'!DE139-'S015 JAFFURA IN'!AG139</f>
        <v>25</v>
      </c>
      <c r="K141" s="92">
        <f>'S016 JAFFURA OUT'!N139-'S016 JAFFURA IN'!N139</f>
        <v>0</v>
      </c>
      <c r="L141" s="92">
        <f>'S013 MARJAN OUT'!YX139-'S013 MARJAN IN'!PY139</f>
        <v>0</v>
      </c>
      <c r="M141" s="92">
        <f>'S022 FADHALI OUT'!BW139-'S022 FADHALI IN'!N139</f>
        <v>0</v>
      </c>
      <c r="N141" s="92">
        <f>'S012 OYUN OUT'!AQ139-'S012 OYUN IN'!K139</f>
        <v>25</v>
      </c>
      <c r="O141" s="92">
        <f>'JAFFURA-NMP-01 OUT'!Y139-'JAFFURA-NMP-01 IN'!L139</f>
        <v>0</v>
      </c>
      <c r="P141" s="92">
        <f>'RENTAL MATERIAL OUT'!BM139-'RENTAL MATERIAL IN'!M139</f>
        <v>0</v>
      </c>
      <c r="Q141" s="92">
        <f>'ABU DHABI OUT'!DP139-'ABU DHABI IN'!AY139</f>
        <v>0</v>
      </c>
      <c r="R141" s="93">
        <f t="shared" si="11"/>
        <v>50</v>
      </c>
      <c r="S141" s="96">
        <v>36</v>
      </c>
    </row>
    <row r="142" spans="1:20" ht="16.5" thickTop="1" thickBot="1" x14ac:dyDescent="0.3">
      <c r="A142" s="87">
        <f>SUBTOTAL(3,$B$7:B142)</f>
        <v>136</v>
      </c>
      <c r="B142" s="79">
        <v>3000000361</v>
      </c>
      <c r="C142" s="142" t="s">
        <v>150</v>
      </c>
      <c r="D142" s="79" t="s">
        <v>12</v>
      </c>
      <c r="E142" s="79" t="s">
        <v>630</v>
      </c>
      <c r="F142" s="90">
        <f>'YARD IN'!JU140-'YARD OUT'!CF140</f>
        <v>0</v>
      </c>
      <c r="G142" s="91">
        <f t="shared" si="10"/>
        <v>115</v>
      </c>
      <c r="H142" s="92">
        <f>'S019 JAFURRA OUT'!K140-'S019 JAFURRA IN'!I140</f>
        <v>0</v>
      </c>
      <c r="I142" s="92">
        <f>'S020 DAMMAM OUT'!S140-'S020 DAMMAM IN'!I140</f>
        <v>0</v>
      </c>
      <c r="J142" s="92">
        <f>'S015 JAFFURA OUT'!DE140-'S015 JAFFURA IN'!AG140</f>
        <v>115</v>
      </c>
      <c r="K142" s="92">
        <f>'S016 JAFFURA OUT'!N140-'S016 JAFFURA IN'!N140</f>
        <v>0</v>
      </c>
      <c r="L142" s="92">
        <f>'S013 MARJAN OUT'!YX140-'S013 MARJAN IN'!PY140</f>
        <v>0</v>
      </c>
      <c r="M142" s="92">
        <f>'S022 FADHALI OUT'!BW140-'S022 FADHALI IN'!N140</f>
        <v>0</v>
      </c>
      <c r="N142" s="92">
        <f>'S012 OYUN OUT'!AQ140-'S012 OYUN IN'!K140</f>
        <v>0</v>
      </c>
      <c r="O142" s="92">
        <f>'JAFFURA-NMP-01 OUT'!Y140-'JAFFURA-NMP-01 IN'!L140</f>
        <v>0</v>
      </c>
      <c r="P142" s="92">
        <f>'RENTAL MATERIAL OUT'!BM140-'RENTAL MATERIAL IN'!M140</f>
        <v>0</v>
      </c>
      <c r="Q142" s="92">
        <f>'ABU DHABI OUT'!DP140-'ABU DHABI IN'!AY140</f>
        <v>0</v>
      </c>
      <c r="R142" s="93">
        <f t="shared" si="11"/>
        <v>115</v>
      </c>
      <c r="S142" s="96">
        <v>44.274999999999999</v>
      </c>
    </row>
    <row r="143" spans="1:20" ht="16.5" thickTop="1" thickBot="1" x14ac:dyDescent="0.3">
      <c r="A143" s="87">
        <f>SUBTOTAL(3,$B$7:B143)</f>
        <v>137</v>
      </c>
      <c r="B143" s="79">
        <v>3000000363</v>
      </c>
      <c r="C143" s="142" t="s">
        <v>151</v>
      </c>
      <c r="D143" s="79" t="s">
        <v>12</v>
      </c>
      <c r="E143" s="79" t="s">
        <v>630</v>
      </c>
      <c r="F143" s="90">
        <f>'YARD IN'!JU141-'YARD OUT'!CF141</f>
        <v>2</v>
      </c>
      <c r="G143" s="91">
        <f t="shared" si="10"/>
        <v>158</v>
      </c>
      <c r="H143" s="92">
        <f>'S019 JAFURRA OUT'!K141-'S019 JAFURRA IN'!I141</f>
        <v>0</v>
      </c>
      <c r="I143" s="92">
        <f>'S020 DAMMAM OUT'!S141-'S020 DAMMAM IN'!I141</f>
        <v>0</v>
      </c>
      <c r="J143" s="92">
        <f>'S015 JAFFURA OUT'!DE141-'S015 JAFFURA IN'!AG141</f>
        <v>108</v>
      </c>
      <c r="K143" s="92">
        <f>'S016 JAFFURA OUT'!N141-'S016 JAFFURA IN'!N141</f>
        <v>0</v>
      </c>
      <c r="L143" s="92">
        <f>'S013 MARJAN OUT'!YX141-'S013 MARJAN IN'!PY141</f>
        <v>0</v>
      </c>
      <c r="M143" s="92">
        <f>'S022 FADHALI OUT'!BW141-'S022 FADHALI IN'!N141</f>
        <v>0</v>
      </c>
      <c r="N143" s="92">
        <f>'S012 OYUN OUT'!AQ141-'S012 OYUN IN'!K141</f>
        <v>50</v>
      </c>
      <c r="O143" s="92">
        <f>'JAFFURA-NMP-01 OUT'!Y141-'JAFFURA-NMP-01 IN'!L141</f>
        <v>0</v>
      </c>
      <c r="P143" s="92">
        <f>'RENTAL MATERIAL OUT'!BM141-'RENTAL MATERIAL IN'!M141</f>
        <v>0</v>
      </c>
      <c r="Q143" s="92">
        <f>'ABU DHABI OUT'!DP141-'ABU DHABI IN'!AY141</f>
        <v>0</v>
      </c>
      <c r="R143" s="93">
        <f t="shared" si="11"/>
        <v>160</v>
      </c>
      <c r="S143" s="135">
        <v>62</v>
      </c>
    </row>
    <row r="144" spans="1:20" ht="16.5" thickTop="1" thickBot="1" x14ac:dyDescent="0.3">
      <c r="A144" s="87">
        <f>SUBTOTAL(3,$B$7:B144)</f>
        <v>138</v>
      </c>
      <c r="B144" s="79">
        <v>3000000364</v>
      </c>
      <c r="C144" s="142" t="s">
        <v>152</v>
      </c>
      <c r="D144" s="79" t="s">
        <v>12</v>
      </c>
      <c r="E144" s="79" t="s">
        <v>630</v>
      </c>
      <c r="F144" s="90">
        <f>'YARD IN'!JU142-'YARD OUT'!CF142</f>
        <v>0</v>
      </c>
      <c r="G144" s="91">
        <f t="shared" si="10"/>
        <v>315</v>
      </c>
      <c r="H144" s="92">
        <f>'S019 JAFURRA OUT'!K142-'S019 JAFURRA IN'!I142</f>
        <v>0</v>
      </c>
      <c r="I144" s="92">
        <f>'S020 DAMMAM OUT'!S142-'S020 DAMMAM IN'!I142</f>
        <v>0</v>
      </c>
      <c r="J144" s="92">
        <f>'S015 JAFFURA OUT'!DE142-'S015 JAFFURA IN'!AG142</f>
        <v>280</v>
      </c>
      <c r="K144" s="92">
        <f>'S016 JAFFURA OUT'!N142-'S016 JAFFURA IN'!N142</f>
        <v>0</v>
      </c>
      <c r="L144" s="92">
        <f>'S013 MARJAN OUT'!YX142-'S013 MARJAN IN'!PY142</f>
        <v>0</v>
      </c>
      <c r="M144" s="92">
        <f>'S022 FADHALI OUT'!BW142-'S022 FADHALI IN'!N142</f>
        <v>0</v>
      </c>
      <c r="N144" s="92">
        <f>'S012 OYUN OUT'!AQ142-'S012 OYUN IN'!K142</f>
        <v>35</v>
      </c>
      <c r="O144" s="92">
        <f>'JAFFURA-NMP-01 OUT'!Y142-'JAFFURA-NMP-01 IN'!L142</f>
        <v>0</v>
      </c>
      <c r="P144" s="92">
        <f>'RENTAL MATERIAL OUT'!BM142-'RENTAL MATERIAL IN'!M142</f>
        <v>0</v>
      </c>
      <c r="Q144" s="92">
        <f>'ABU DHABI OUT'!DP142-'ABU DHABI IN'!AY142</f>
        <v>0</v>
      </c>
      <c r="R144" s="93">
        <f t="shared" si="11"/>
        <v>315</v>
      </c>
      <c r="S144" s="96">
        <v>72</v>
      </c>
    </row>
    <row r="145" spans="1:20" ht="16.5" thickTop="1" thickBot="1" x14ac:dyDescent="0.3">
      <c r="A145" s="87">
        <f>SUBTOTAL(3,$B$7:B145)</f>
        <v>139</v>
      </c>
      <c r="B145" s="79">
        <v>3000001229</v>
      </c>
      <c r="C145" s="142" t="s">
        <v>153</v>
      </c>
      <c r="D145" s="79" t="s">
        <v>12</v>
      </c>
      <c r="E145" s="79" t="s">
        <v>629</v>
      </c>
      <c r="F145" s="90">
        <f>'YARD IN'!JU143-'YARD OUT'!CF143</f>
        <v>25016</v>
      </c>
      <c r="G145" s="91">
        <f t="shared" si="10"/>
        <v>75773</v>
      </c>
      <c r="H145" s="92">
        <f>'S019 JAFURRA OUT'!K143-'S019 JAFURRA IN'!I143</f>
        <v>2650</v>
      </c>
      <c r="I145" s="92">
        <f>'S020 DAMMAM OUT'!S143-'S020 DAMMAM IN'!I143</f>
        <v>1200</v>
      </c>
      <c r="J145" s="92">
        <f>'S015 JAFFURA OUT'!DE143-'S015 JAFFURA IN'!AG143</f>
        <v>8964</v>
      </c>
      <c r="K145" s="92">
        <f>'S016 JAFFURA OUT'!N143-'S016 JAFFURA IN'!N143</f>
        <v>0</v>
      </c>
      <c r="L145" s="92">
        <f>'S013 MARJAN OUT'!YX143-'S013 MARJAN IN'!PY143</f>
        <v>42207</v>
      </c>
      <c r="M145" s="92">
        <f>'S022 FADHALI OUT'!BW143-'S022 FADHALI IN'!N143</f>
        <v>14462</v>
      </c>
      <c r="N145" s="92">
        <f>'S012 OYUN OUT'!AQ143-'S012 OYUN IN'!K143</f>
        <v>1798</v>
      </c>
      <c r="O145" s="92">
        <f>'JAFFURA-NMP-01 OUT'!Y143-'JAFFURA-NMP-01 IN'!L143</f>
        <v>250</v>
      </c>
      <c r="P145" s="92">
        <f>'RENTAL MATERIAL OUT'!BM143-'RENTAL MATERIAL IN'!M143</f>
        <v>4242</v>
      </c>
      <c r="Q145" s="92">
        <f>'ABU DHABI OUT'!DP143-'ABU DHABI IN'!AY143</f>
        <v>17825</v>
      </c>
      <c r="R145" s="93">
        <f t="shared" si="11"/>
        <v>100789</v>
      </c>
      <c r="S145" s="96">
        <v>1.1000000000000001</v>
      </c>
      <c r="T145" s="2">
        <f t="shared" ref="T145:T155" si="12">+SUM(R145+Q145)</f>
        <v>118614</v>
      </c>
    </row>
    <row r="146" spans="1:20" ht="16.5" thickTop="1" thickBot="1" x14ac:dyDescent="0.3">
      <c r="A146" s="87">
        <f>SUBTOTAL(3,$B$7:B146)</f>
        <v>140</v>
      </c>
      <c r="B146" s="79">
        <v>3000001060</v>
      </c>
      <c r="C146" s="142" t="s">
        <v>154</v>
      </c>
      <c r="D146" s="79" t="s">
        <v>12</v>
      </c>
      <c r="E146" s="79" t="s">
        <v>629</v>
      </c>
      <c r="F146" s="90">
        <f>'YARD IN'!JU144-'YARD OUT'!CF144</f>
        <v>80</v>
      </c>
      <c r="G146" s="91">
        <f t="shared" si="10"/>
        <v>20</v>
      </c>
      <c r="H146" s="92">
        <f>'S019 JAFURRA OUT'!K144-'S019 JAFURRA IN'!I144</f>
        <v>0</v>
      </c>
      <c r="I146" s="92">
        <f>'S020 DAMMAM OUT'!S144-'S020 DAMMAM IN'!I144</f>
        <v>20</v>
      </c>
      <c r="J146" s="92">
        <f>'S015 JAFFURA OUT'!DE144-'S015 JAFFURA IN'!AG144</f>
        <v>0</v>
      </c>
      <c r="K146" s="92">
        <f>'S016 JAFFURA OUT'!N144-'S016 JAFFURA IN'!N144</f>
        <v>0</v>
      </c>
      <c r="L146" s="92">
        <f>'S013 MARJAN OUT'!YX144-'S013 MARJAN IN'!PY144</f>
        <v>0</v>
      </c>
      <c r="M146" s="92">
        <f>'S022 FADHALI OUT'!BW144-'S022 FADHALI IN'!N144</f>
        <v>0</v>
      </c>
      <c r="N146" s="92">
        <f>'S012 OYUN OUT'!AQ144-'S012 OYUN IN'!K144</f>
        <v>0</v>
      </c>
      <c r="O146" s="92">
        <f>'JAFFURA-NMP-01 OUT'!Y144-'JAFFURA-NMP-01 IN'!L144</f>
        <v>0</v>
      </c>
      <c r="P146" s="92">
        <f>'RENTAL MATERIAL OUT'!BM144-'RENTAL MATERIAL IN'!M144</f>
        <v>0</v>
      </c>
      <c r="Q146" s="92">
        <f>'ABU DHABI OUT'!DP144-'ABU DHABI IN'!AY144</f>
        <v>6</v>
      </c>
      <c r="R146" s="93">
        <f t="shared" si="11"/>
        <v>100</v>
      </c>
      <c r="S146" s="96">
        <v>4.38</v>
      </c>
      <c r="T146" s="2">
        <f t="shared" si="12"/>
        <v>106</v>
      </c>
    </row>
    <row r="147" spans="1:20" ht="16.5" thickTop="1" thickBot="1" x14ac:dyDescent="0.3">
      <c r="A147" s="87">
        <f>SUBTOTAL(3,$B$7:B147)</f>
        <v>141</v>
      </c>
      <c r="B147" s="79">
        <v>3000001061</v>
      </c>
      <c r="C147" s="142" t="s">
        <v>155</v>
      </c>
      <c r="D147" s="79" t="s">
        <v>12</v>
      </c>
      <c r="E147" s="79" t="s">
        <v>629</v>
      </c>
      <c r="F147" s="90">
        <f>'YARD IN'!JU145-'YARD OUT'!CF145</f>
        <v>1020</v>
      </c>
      <c r="G147" s="91">
        <f t="shared" si="10"/>
        <v>1278</v>
      </c>
      <c r="H147" s="92">
        <f>'S019 JAFURRA OUT'!K145-'S019 JAFURRA IN'!I145</f>
        <v>0</v>
      </c>
      <c r="I147" s="92">
        <f>'S020 DAMMAM OUT'!S145-'S020 DAMMAM IN'!I145</f>
        <v>0</v>
      </c>
      <c r="J147" s="92">
        <f>'S015 JAFFURA OUT'!DE145-'S015 JAFFURA IN'!AG145</f>
        <v>1010</v>
      </c>
      <c r="K147" s="92">
        <f>'S016 JAFFURA OUT'!N145-'S016 JAFFURA IN'!N145</f>
        <v>0</v>
      </c>
      <c r="L147" s="92">
        <f>'S013 MARJAN OUT'!YX145-'S013 MARJAN IN'!PY145</f>
        <v>66</v>
      </c>
      <c r="M147" s="92">
        <f>'S022 FADHALI OUT'!BW145-'S022 FADHALI IN'!N145</f>
        <v>0</v>
      </c>
      <c r="N147" s="92">
        <f>'S012 OYUN OUT'!AQ145-'S012 OYUN IN'!K145</f>
        <v>2</v>
      </c>
      <c r="O147" s="92">
        <f>'JAFFURA-NMP-01 OUT'!Y145-'JAFFURA-NMP-01 IN'!L145</f>
        <v>200</v>
      </c>
      <c r="P147" s="92">
        <f>'RENTAL MATERIAL OUT'!BM145-'RENTAL MATERIAL IN'!M145</f>
        <v>0</v>
      </c>
      <c r="Q147" s="92">
        <f>'ABU DHABI OUT'!DP145-'ABU DHABI IN'!AY145</f>
        <v>30</v>
      </c>
      <c r="R147" s="93">
        <f t="shared" si="11"/>
        <v>2298</v>
      </c>
      <c r="S147" s="96">
        <v>4.8099999999999996</v>
      </c>
      <c r="T147" s="2">
        <f t="shared" si="12"/>
        <v>2328</v>
      </c>
    </row>
    <row r="148" spans="1:20" ht="16.5" thickTop="1" thickBot="1" x14ac:dyDescent="0.3">
      <c r="A148" s="87">
        <f>SUBTOTAL(3,$B$7:B148)</f>
        <v>142</v>
      </c>
      <c r="B148" s="79">
        <v>3000001062</v>
      </c>
      <c r="C148" s="142" t="s">
        <v>156</v>
      </c>
      <c r="D148" s="79" t="s">
        <v>12</v>
      </c>
      <c r="E148" s="79" t="s">
        <v>629</v>
      </c>
      <c r="F148" s="90">
        <f>'YARD IN'!JU146-'YARD OUT'!CF146</f>
        <v>1082</v>
      </c>
      <c r="G148" s="91">
        <f t="shared" si="10"/>
        <v>395</v>
      </c>
      <c r="H148" s="92">
        <f>'S019 JAFURRA OUT'!K146-'S019 JAFURRA IN'!I146</f>
        <v>0</v>
      </c>
      <c r="I148" s="92">
        <f>'S020 DAMMAM OUT'!S146-'S020 DAMMAM IN'!I146</f>
        <v>0</v>
      </c>
      <c r="J148" s="92">
        <f>'S015 JAFFURA OUT'!DE146-'S015 JAFFURA IN'!AG146</f>
        <v>347</v>
      </c>
      <c r="K148" s="92">
        <f>'S016 JAFFURA OUT'!N146-'S016 JAFFURA IN'!N146</f>
        <v>0</v>
      </c>
      <c r="L148" s="92">
        <f>'S013 MARJAN OUT'!YX146-'S013 MARJAN IN'!PY146</f>
        <v>12</v>
      </c>
      <c r="M148" s="92">
        <f>'S022 FADHALI OUT'!BW146-'S022 FADHALI IN'!N146</f>
        <v>0</v>
      </c>
      <c r="N148" s="92">
        <f>'S012 OYUN OUT'!AQ146-'S012 OYUN IN'!K146</f>
        <v>36</v>
      </c>
      <c r="O148" s="92">
        <f>'JAFFURA-NMP-01 OUT'!Y146-'JAFFURA-NMP-01 IN'!L146</f>
        <v>0</v>
      </c>
      <c r="P148" s="92">
        <f>'RENTAL MATERIAL OUT'!BM146-'RENTAL MATERIAL IN'!M146</f>
        <v>0</v>
      </c>
      <c r="Q148" s="92">
        <f>'ABU DHABI OUT'!DP146-'ABU DHABI IN'!AY146</f>
        <v>0</v>
      </c>
      <c r="R148" s="93">
        <f t="shared" si="11"/>
        <v>1477</v>
      </c>
      <c r="S148" s="96">
        <v>5.08</v>
      </c>
      <c r="T148" s="2">
        <f t="shared" si="12"/>
        <v>1477</v>
      </c>
    </row>
    <row r="149" spans="1:20" ht="16.5" thickTop="1" thickBot="1" x14ac:dyDescent="0.3">
      <c r="A149" s="87">
        <f>SUBTOTAL(3,$B$7:B149)</f>
        <v>143</v>
      </c>
      <c r="B149" s="79">
        <v>1000006776</v>
      </c>
      <c r="C149" s="142" t="s">
        <v>157</v>
      </c>
      <c r="D149" s="79" t="s">
        <v>12</v>
      </c>
      <c r="E149" s="79" t="s">
        <v>629</v>
      </c>
      <c r="F149" s="90">
        <f>'YARD IN'!JU147-'YARD OUT'!CF147</f>
        <v>470</v>
      </c>
      <c r="G149" s="91">
        <f t="shared" si="10"/>
        <v>30</v>
      </c>
      <c r="H149" s="92">
        <f>'S019 JAFURRA OUT'!K147-'S019 JAFURRA IN'!I147</f>
        <v>0</v>
      </c>
      <c r="I149" s="92">
        <f>'S020 DAMMAM OUT'!S147-'S020 DAMMAM IN'!I147</f>
        <v>30</v>
      </c>
      <c r="J149" s="92">
        <f>'S015 JAFFURA OUT'!DE147-'S015 JAFFURA IN'!AG147</f>
        <v>0</v>
      </c>
      <c r="K149" s="92">
        <f>'S016 JAFFURA OUT'!N147-'S016 JAFFURA IN'!N147</f>
        <v>0</v>
      </c>
      <c r="L149" s="92">
        <f>'S013 MARJAN OUT'!YX147-'S013 MARJAN IN'!PY147</f>
        <v>0</v>
      </c>
      <c r="M149" s="92">
        <f>'S022 FADHALI OUT'!BW147-'S022 FADHALI IN'!N147</f>
        <v>0</v>
      </c>
      <c r="N149" s="92">
        <f>'S012 OYUN OUT'!AQ147-'S012 OYUN IN'!K147</f>
        <v>0</v>
      </c>
      <c r="O149" s="92">
        <f>'JAFFURA-NMP-01 OUT'!Y147-'JAFFURA-NMP-01 IN'!L147</f>
        <v>0</v>
      </c>
      <c r="P149" s="92">
        <f>'RENTAL MATERIAL OUT'!BM147-'RENTAL MATERIAL IN'!M147</f>
        <v>0</v>
      </c>
      <c r="Q149" s="92">
        <f>'ABU DHABI OUT'!DP147-'ABU DHABI IN'!AY147</f>
        <v>28</v>
      </c>
      <c r="R149" s="93">
        <f t="shared" si="11"/>
        <v>500</v>
      </c>
      <c r="S149" s="96">
        <v>5.65</v>
      </c>
      <c r="T149" s="2">
        <f t="shared" si="12"/>
        <v>528</v>
      </c>
    </row>
    <row r="150" spans="1:20" ht="16.5" thickTop="1" thickBot="1" x14ac:dyDescent="0.3">
      <c r="A150" s="87">
        <f>SUBTOTAL(3,$B$7:B150)</f>
        <v>144</v>
      </c>
      <c r="B150" s="79">
        <v>3000002634</v>
      </c>
      <c r="C150" s="142" t="s">
        <v>158</v>
      </c>
      <c r="D150" s="79" t="s">
        <v>12</v>
      </c>
      <c r="E150" s="79" t="s">
        <v>629</v>
      </c>
      <c r="F150" s="90">
        <f>'YARD IN'!JU148-'YARD OUT'!CF148</f>
        <v>270</v>
      </c>
      <c r="G150" s="91">
        <f t="shared" si="10"/>
        <v>760</v>
      </c>
      <c r="H150" s="92">
        <f>'S019 JAFURRA OUT'!K148-'S019 JAFURRA IN'!I148</f>
        <v>0</v>
      </c>
      <c r="I150" s="92">
        <f>'S020 DAMMAM OUT'!S148-'S020 DAMMAM IN'!I148</f>
        <v>0</v>
      </c>
      <c r="J150" s="92">
        <f>'S015 JAFFURA OUT'!DE148-'S015 JAFFURA IN'!AG148</f>
        <v>470</v>
      </c>
      <c r="K150" s="92">
        <f>'S016 JAFFURA OUT'!N148-'S016 JAFFURA IN'!N148</f>
        <v>0</v>
      </c>
      <c r="L150" s="92">
        <f>'S013 MARJAN OUT'!YX148-'S013 MARJAN IN'!PY148</f>
        <v>157</v>
      </c>
      <c r="M150" s="92">
        <f>'S022 FADHALI OUT'!BW148-'S022 FADHALI IN'!N148</f>
        <v>0</v>
      </c>
      <c r="N150" s="92">
        <f>'S012 OYUN OUT'!AQ148-'S012 OYUN IN'!K148</f>
        <v>33</v>
      </c>
      <c r="O150" s="92">
        <f>'JAFFURA-NMP-01 OUT'!Y148-'JAFFURA-NMP-01 IN'!L148</f>
        <v>100</v>
      </c>
      <c r="P150" s="92">
        <f>'RENTAL MATERIAL OUT'!BM148-'RENTAL MATERIAL IN'!M148</f>
        <v>0</v>
      </c>
      <c r="Q150" s="92">
        <f>'ABU DHABI OUT'!DP148-'ABU DHABI IN'!AY148</f>
        <v>0</v>
      </c>
      <c r="R150" s="93">
        <f t="shared" si="11"/>
        <v>1030</v>
      </c>
      <c r="S150" s="96">
        <v>6.5250000000000004</v>
      </c>
      <c r="T150" s="2">
        <f t="shared" si="12"/>
        <v>1030</v>
      </c>
    </row>
    <row r="151" spans="1:20" ht="16.5" thickTop="1" thickBot="1" x14ac:dyDescent="0.3">
      <c r="A151" s="87">
        <f>SUBTOTAL(3,$B$7:B151)</f>
        <v>145</v>
      </c>
      <c r="B151" s="79">
        <v>3000002636</v>
      </c>
      <c r="C151" s="142" t="s">
        <v>159</v>
      </c>
      <c r="D151" s="79" t="s">
        <v>12</v>
      </c>
      <c r="E151" s="79" t="s">
        <v>629</v>
      </c>
      <c r="F151" s="90">
        <f>'YARD IN'!JU149-'YARD OUT'!CF149</f>
        <v>7</v>
      </c>
      <c r="G151" s="91">
        <f t="shared" si="10"/>
        <v>15</v>
      </c>
      <c r="H151" s="92">
        <f>'S019 JAFURRA OUT'!K149-'S019 JAFURRA IN'!I149</f>
        <v>0</v>
      </c>
      <c r="I151" s="92">
        <f>'S020 DAMMAM OUT'!S149-'S020 DAMMAM IN'!I149</f>
        <v>0</v>
      </c>
      <c r="J151" s="92">
        <f>'S015 JAFFURA OUT'!DE149-'S015 JAFFURA IN'!AG149</f>
        <v>0</v>
      </c>
      <c r="K151" s="92">
        <f>'S016 JAFFURA OUT'!N149-'S016 JAFFURA IN'!N149</f>
        <v>0</v>
      </c>
      <c r="L151" s="92">
        <f>'S013 MARJAN OUT'!YX149-'S013 MARJAN IN'!PY149</f>
        <v>15</v>
      </c>
      <c r="M151" s="92">
        <f>'S022 FADHALI OUT'!BW149-'S022 FADHALI IN'!N149</f>
        <v>0</v>
      </c>
      <c r="N151" s="92">
        <f>'S012 OYUN OUT'!AQ149-'S012 OYUN IN'!K149</f>
        <v>0</v>
      </c>
      <c r="O151" s="92">
        <f>'JAFFURA-NMP-01 OUT'!Y149-'JAFFURA-NMP-01 IN'!L149</f>
        <v>0</v>
      </c>
      <c r="P151" s="92">
        <f>'RENTAL MATERIAL OUT'!BM149-'RENTAL MATERIAL IN'!M149</f>
        <v>0</v>
      </c>
      <c r="Q151" s="92">
        <f>'ABU DHABI OUT'!DP149-'ABU DHABI IN'!AY149</f>
        <v>52</v>
      </c>
      <c r="R151" s="93">
        <f t="shared" si="11"/>
        <v>22</v>
      </c>
      <c r="S151" s="96">
        <v>7.67</v>
      </c>
      <c r="T151" s="2">
        <f t="shared" si="12"/>
        <v>74</v>
      </c>
    </row>
    <row r="152" spans="1:20" ht="16.5" thickTop="1" thickBot="1" x14ac:dyDescent="0.3">
      <c r="A152" s="87">
        <f>SUBTOTAL(3,$B$7:B152)</f>
        <v>146</v>
      </c>
      <c r="B152" s="79">
        <v>3000001063</v>
      </c>
      <c r="C152" s="142" t="s">
        <v>160</v>
      </c>
      <c r="D152" s="79" t="s">
        <v>12</v>
      </c>
      <c r="E152" s="79" t="s">
        <v>629</v>
      </c>
      <c r="F152" s="90">
        <f>'YARD IN'!JU150-'YARD OUT'!CF150</f>
        <v>904</v>
      </c>
      <c r="G152" s="91">
        <f t="shared" si="10"/>
        <v>963</v>
      </c>
      <c r="H152" s="92">
        <f>'S019 JAFURRA OUT'!K150-'S019 JAFURRA IN'!I150</f>
        <v>0</v>
      </c>
      <c r="I152" s="92">
        <f>'S020 DAMMAM OUT'!S150-'S020 DAMMAM IN'!I150</f>
        <v>80</v>
      </c>
      <c r="J152" s="92">
        <f>'S015 JAFFURA OUT'!DE150-'S015 JAFFURA IN'!AG150</f>
        <v>605</v>
      </c>
      <c r="K152" s="92">
        <f>'S016 JAFFURA OUT'!N150-'S016 JAFFURA IN'!N150</f>
        <v>0</v>
      </c>
      <c r="L152" s="92">
        <f>'S013 MARJAN OUT'!YX150-'S013 MARJAN IN'!PY150</f>
        <v>123</v>
      </c>
      <c r="M152" s="92">
        <f>'S022 FADHALI OUT'!BW150-'S022 FADHALI IN'!N150</f>
        <v>0</v>
      </c>
      <c r="N152" s="92">
        <f>'S012 OYUN OUT'!AQ150-'S012 OYUN IN'!K150</f>
        <v>0</v>
      </c>
      <c r="O152" s="92">
        <f>'JAFFURA-NMP-01 OUT'!Y150-'JAFFURA-NMP-01 IN'!L150</f>
        <v>155</v>
      </c>
      <c r="P152" s="92">
        <f>'RENTAL MATERIAL OUT'!BM150-'RENTAL MATERIAL IN'!M150</f>
        <v>0</v>
      </c>
      <c r="Q152" s="92">
        <f>'ABU DHABI OUT'!DP150-'ABU DHABI IN'!AY150</f>
        <v>226</v>
      </c>
      <c r="R152" s="93">
        <f t="shared" si="11"/>
        <v>1867</v>
      </c>
      <c r="S152" s="96">
        <v>7.4950000000000001</v>
      </c>
      <c r="T152" s="2">
        <f t="shared" si="12"/>
        <v>2093</v>
      </c>
    </row>
    <row r="153" spans="1:20" ht="16.5" thickTop="1" thickBot="1" x14ac:dyDescent="0.3">
      <c r="A153" s="87">
        <f>SUBTOTAL(3,$B$7:B153)</f>
        <v>147</v>
      </c>
      <c r="B153" s="79">
        <v>3000003972</v>
      </c>
      <c r="C153" s="142" t="s">
        <v>161</v>
      </c>
      <c r="D153" s="79" t="s">
        <v>12</v>
      </c>
      <c r="E153" s="79" t="s">
        <v>629</v>
      </c>
      <c r="F153" s="90">
        <f>'YARD IN'!JU151-'YARD OUT'!CF151</f>
        <v>22</v>
      </c>
      <c r="G153" s="91">
        <f t="shared" si="10"/>
        <v>174</v>
      </c>
      <c r="H153" s="92">
        <f>'S019 JAFURRA OUT'!K151-'S019 JAFURRA IN'!I151</f>
        <v>0</v>
      </c>
      <c r="I153" s="92">
        <f>'S020 DAMMAM OUT'!S151-'S020 DAMMAM IN'!I151</f>
        <v>0</v>
      </c>
      <c r="J153" s="92">
        <f>'S015 JAFFURA OUT'!DE151-'S015 JAFFURA IN'!AG151</f>
        <v>164</v>
      </c>
      <c r="K153" s="92">
        <f>'S016 JAFFURA OUT'!N151-'S016 JAFFURA IN'!N151</f>
        <v>0</v>
      </c>
      <c r="L153" s="92">
        <f>'S013 MARJAN OUT'!YX151-'S013 MARJAN IN'!PY151</f>
        <v>0</v>
      </c>
      <c r="M153" s="92">
        <f>'S022 FADHALI OUT'!BW151-'S022 FADHALI IN'!N151</f>
        <v>0</v>
      </c>
      <c r="N153" s="92">
        <f>'S012 OYUN OUT'!AQ151-'S012 OYUN IN'!K151</f>
        <v>10</v>
      </c>
      <c r="O153" s="92">
        <f>'JAFFURA-NMP-01 OUT'!Y151-'JAFFURA-NMP-01 IN'!L151</f>
        <v>0</v>
      </c>
      <c r="P153" s="92">
        <f>'RENTAL MATERIAL OUT'!BM151-'RENTAL MATERIAL IN'!M151</f>
        <v>0</v>
      </c>
      <c r="Q153" s="92">
        <f>'ABU DHABI OUT'!DP151-'ABU DHABI IN'!AY151</f>
        <v>56</v>
      </c>
      <c r="R153" s="93">
        <f t="shared" si="11"/>
        <v>196</v>
      </c>
      <c r="S153" s="96">
        <v>8.11</v>
      </c>
      <c r="T153" s="2">
        <f t="shared" si="12"/>
        <v>252</v>
      </c>
    </row>
    <row r="154" spans="1:20" ht="16.5" thickTop="1" thickBot="1" x14ac:dyDescent="0.3">
      <c r="A154" s="87">
        <f>SUBTOTAL(3,$B$7:B154)</f>
        <v>148</v>
      </c>
      <c r="B154" s="79">
        <v>3000001064</v>
      </c>
      <c r="C154" s="142" t="s">
        <v>162</v>
      </c>
      <c r="D154" s="79" t="s">
        <v>12</v>
      </c>
      <c r="E154" s="79" t="s">
        <v>629</v>
      </c>
      <c r="F154" s="90">
        <f>'YARD IN'!JU152-'YARD OUT'!CF152</f>
        <v>1439</v>
      </c>
      <c r="G154" s="91">
        <f t="shared" si="10"/>
        <v>514</v>
      </c>
      <c r="H154" s="92">
        <f>'S019 JAFURRA OUT'!K152-'S019 JAFURRA IN'!I152</f>
        <v>140</v>
      </c>
      <c r="I154" s="92">
        <f>'S020 DAMMAM OUT'!S152-'S020 DAMMAM IN'!I152</f>
        <v>0</v>
      </c>
      <c r="J154" s="92">
        <f>'S015 JAFFURA OUT'!DE152-'S015 JAFFURA IN'!AG152</f>
        <v>158</v>
      </c>
      <c r="K154" s="92">
        <f>'S016 JAFFURA OUT'!N152-'S016 JAFFURA IN'!N152</f>
        <v>0</v>
      </c>
      <c r="L154" s="92">
        <f>'S013 MARJAN OUT'!YX152-'S013 MARJAN IN'!PY152</f>
        <v>106</v>
      </c>
      <c r="M154" s="92">
        <f>'S022 FADHALI OUT'!BW152-'S022 FADHALI IN'!N152</f>
        <v>0</v>
      </c>
      <c r="N154" s="92">
        <f>'S012 OYUN OUT'!AQ152-'S012 OYUN IN'!K152</f>
        <v>110</v>
      </c>
      <c r="O154" s="92">
        <f>'JAFFURA-NMP-01 OUT'!Y152-'JAFFURA-NMP-01 IN'!L152</f>
        <v>0</v>
      </c>
      <c r="P154" s="92">
        <f>'RENTAL MATERIAL OUT'!BM152-'RENTAL MATERIAL IN'!M152</f>
        <v>0</v>
      </c>
      <c r="Q154" s="92">
        <f>'ABU DHABI OUT'!DP152-'ABU DHABI IN'!AY152</f>
        <v>349</v>
      </c>
      <c r="R154" s="93">
        <f t="shared" si="11"/>
        <v>1953</v>
      </c>
      <c r="S154" s="96">
        <v>9.8149999999999995</v>
      </c>
      <c r="T154" s="2">
        <f t="shared" si="12"/>
        <v>2302</v>
      </c>
    </row>
    <row r="155" spans="1:20" ht="16.5" thickTop="1" thickBot="1" x14ac:dyDescent="0.3">
      <c r="A155" s="87">
        <f>SUBTOTAL(3,$B$7:B155)</f>
        <v>149</v>
      </c>
      <c r="B155" s="79">
        <v>3000001065</v>
      </c>
      <c r="C155" s="142" t="s">
        <v>163</v>
      </c>
      <c r="D155" s="79" t="s">
        <v>12</v>
      </c>
      <c r="E155" s="79" t="s">
        <v>629</v>
      </c>
      <c r="F155" s="90">
        <f>'YARD IN'!JU153-'YARD OUT'!CF153</f>
        <v>351</v>
      </c>
      <c r="G155" s="91">
        <f t="shared" si="10"/>
        <v>49</v>
      </c>
      <c r="H155" s="92">
        <f>'S019 JAFURRA OUT'!K153-'S019 JAFURRA IN'!I153</f>
        <v>0</v>
      </c>
      <c r="I155" s="92">
        <f>'S020 DAMMAM OUT'!S153-'S020 DAMMAM IN'!I153</f>
        <v>0</v>
      </c>
      <c r="J155" s="92">
        <f>'S015 JAFFURA OUT'!DE153-'S015 JAFFURA IN'!AG153</f>
        <v>0</v>
      </c>
      <c r="K155" s="92">
        <f>'S016 JAFFURA OUT'!N153-'S016 JAFFURA IN'!N153</f>
        <v>0</v>
      </c>
      <c r="L155" s="92">
        <f>'S013 MARJAN OUT'!YX153-'S013 MARJAN IN'!PY153</f>
        <v>24</v>
      </c>
      <c r="M155" s="92">
        <f>'S022 FADHALI OUT'!BW153-'S022 FADHALI IN'!N153</f>
        <v>0</v>
      </c>
      <c r="N155" s="92">
        <f>'S012 OYUN OUT'!AQ153-'S012 OYUN IN'!K153</f>
        <v>25</v>
      </c>
      <c r="O155" s="92">
        <f>'JAFFURA-NMP-01 OUT'!Y153-'JAFFURA-NMP-01 IN'!L153</f>
        <v>0</v>
      </c>
      <c r="P155" s="92">
        <f>'RENTAL MATERIAL OUT'!BM153-'RENTAL MATERIAL IN'!M153</f>
        <v>0</v>
      </c>
      <c r="Q155" s="92">
        <f>'ABU DHABI OUT'!DP153-'ABU DHABI IN'!AY153</f>
        <v>0</v>
      </c>
      <c r="R155" s="93">
        <f t="shared" si="11"/>
        <v>400</v>
      </c>
      <c r="S155" s="96">
        <v>10.19</v>
      </c>
      <c r="T155" s="2">
        <f t="shared" si="12"/>
        <v>400</v>
      </c>
    </row>
    <row r="156" spans="1:20" ht="16.5" thickTop="1" thickBot="1" x14ac:dyDescent="0.3">
      <c r="A156" s="87">
        <f>SUBTOTAL(3,$B$7:B156)</f>
        <v>150</v>
      </c>
      <c r="B156" s="79">
        <v>5000000009</v>
      </c>
      <c r="C156" s="142" t="s">
        <v>164</v>
      </c>
      <c r="D156" s="79" t="s">
        <v>12</v>
      </c>
      <c r="E156" s="79" t="s">
        <v>630</v>
      </c>
      <c r="F156" s="90">
        <f>'YARD IN'!JU154-'YARD OUT'!CF154</f>
        <v>0</v>
      </c>
      <c r="G156" s="91">
        <f t="shared" si="10"/>
        <v>1360</v>
      </c>
      <c r="H156" s="92">
        <f>'S019 JAFURRA OUT'!K154-'S019 JAFURRA IN'!I154</f>
        <v>0</v>
      </c>
      <c r="I156" s="92">
        <f>'S020 DAMMAM OUT'!S154-'S020 DAMMAM IN'!I154</f>
        <v>0</v>
      </c>
      <c r="J156" s="92">
        <f>'S015 JAFFURA OUT'!DE154-'S015 JAFFURA IN'!AG154</f>
        <v>1360</v>
      </c>
      <c r="K156" s="92">
        <f>'S016 JAFFURA OUT'!N154-'S016 JAFFURA IN'!N154</f>
        <v>0</v>
      </c>
      <c r="L156" s="92">
        <f>'S013 MARJAN OUT'!YX154-'S013 MARJAN IN'!PY154</f>
        <v>0</v>
      </c>
      <c r="M156" s="92">
        <f>'S022 FADHALI OUT'!BW154-'S022 FADHALI IN'!N154</f>
        <v>0</v>
      </c>
      <c r="N156" s="92">
        <f>'S012 OYUN OUT'!AQ154-'S012 OYUN IN'!K154</f>
        <v>0</v>
      </c>
      <c r="O156" s="92">
        <f>'JAFFURA-NMP-01 OUT'!Y154-'JAFFURA-NMP-01 IN'!L154</f>
        <v>0</v>
      </c>
      <c r="P156" s="92">
        <f>'RENTAL MATERIAL OUT'!BM154-'RENTAL MATERIAL IN'!M154</f>
        <v>0</v>
      </c>
      <c r="Q156" s="92">
        <f>'ABU DHABI OUT'!DP154-'ABU DHABI IN'!AY154</f>
        <v>0</v>
      </c>
      <c r="R156" s="93">
        <f t="shared" si="11"/>
        <v>1360</v>
      </c>
      <c r="S156" s="96"/>
    </row>
    <row r="157" spans="1:20" ht="16.5" thickTop="1" thickBot="1" x14ac:dyDescent="0.3">
      <c r="A157" s="87">
        <f>SUBTOTAL(3,$B$7:B157)</f>
        <v>151</v>
      </c>
      <c r="B157" s="79">
        <v>5000000003</v>
      </c>
      <c r="C157" s="142" t="s">
        <v>165</v>
      </c>
      <c r="D157" s="79" t="s">
        <v>12</v>
      </c>
      <c r="E157" s="79" t="s">
        <v>630</v>
      </c>
      <c r="F157" s="90">
        <f>'YARD IN'!JU155-'YARD OUT'!CF155</f>
        <v>0</v>
      </c>
      <c r="G157" s="91">
        <f t="shared" si="10"/>
        <v>158</v>
      </c>
      <c r="H157" s="92">
        <f>'S019 JAFURRA OUT'!K155-'S019 JAFURRA IN'!I155</f>
        <v>0</v>
      </c>
      <c r="I157" s="92">
        <f>'S020 DAMMAM OUT'!S155-'S020 DAMMAM IN'!I155</f>
        <v>0</v>
      </c>
      <c r="J157" s="92">
        <f>'S015 JAFFURA OUT'!DE155-'S015 JAFFURA IN'!AG155</f>
        <v>158</v>
      </c>
      <c r="K157" s="92">
        <f>'S016 JAFFURA OUT'!N155-'S016 JAFFURA IN'!N155</f>
        <v>0</v>
      </c>
      <c r="L157" s="92">
        <f>'S013 MARJAN OUT'!YX155-'S013 MARJAN IN'!PY155</f>
        <v>0</v>
      </c>
      <c r="M157" s="92">
        <f>'S022 FADHALI OUT'!BW155-'S022 FADHALI IN'!N155</f>
        <v>0</v>
      </c>
      <c r="N157" s="92">
        <f>'S012 OYUN OUT'!AQ155-'S012 OYUN IN'!K155</f>
        <v>0</v>
      </c>
      <c r="O157" s="92">
        <f>'JAFFURA-NMP-01 OUT'!Y155-'JAFFURA-NMP-01 IN'!L155</f>
        <v>0</v>
      </c>
      <c r="P157" s="92">
        <f>'RENTAL MATERIAL OUT'!BM155-'RENTAL MATERIAL IN'!M155</f>
        <v>0</v>
      </c>
      <c r="Q157" s="92">
        <f>'ABU DHABI OUT'!DP155-'ABU DHABI IN'!AY155</f>
        <v>0</v>
      </c>
      <c r="R157" s="93">
        <f t="shared" si="11"/>
        <v>158</v>
      </c>
      <c r="S157" s="96"/>
    </row>
    <row r="158" spans="1:20" ht="16.5" thickTop="1" thickBot="1" x14ac:dyDescent="0.3">
      <c r="A158" s="87">
        <f>SUBTOTAL(3,$B$7:B158)</f>
        <v>152</v>
      </c>
      <c r="B158" s="79">
        <v>5000000002</v>
      </c>
      <c r="C158" s="142" t="s">
        <v>166</v>
      </c>
      <c r="D158" s="79" t="s">
        <v>12</v>
      </c>
      <c r="E158" s="79" t="s">
        <v>630</v>
      </c>
      <c r="F158" s="90">
        <f>'YARD IN'!JU156-'YARD OUT'!CF156</f>
        <v>0</v>
      </c>
      <c r="G158" s="91">
        <f t="shared" si="10"/>
        <v>14</v>
      </c>
      <c r="H158" s="92">
        <f>'S019 JAFURRA OUT'!K156-'S019 JAFURRA IN'!I156</f>
        <v>0</v>
      </c>
      <c r="I158" s="92">
        <f>'S020 DAMMAM OUT'!S156-'S020 DAMMAM IN'!I156</f>
        <v>0</v>
      </c>
      <c r="J158" s="92">
        <f>'S015 JAFFURA OUT'!DE156-'S015 JAFFURA IN'!AG156</f>
        <v>14</v>
      </c>
      <c r="K158" s="92">
        <f>'S016 JAFFURA OUT'!N156-'S016 JAFFURA IN'!N156</f>
        <v>0</v>
      </c>
      <c r="L158" s="92">
        <f>'S013 MARJAN OUT'!YX156-'S013 MARJAN IN'!PY156</f>
        <v>0</v>
      </c>
      <c r="M158" s="92">
        <f>'S022 FADHALI OUT'!BW156-'S022 FADHALI IN'!N156</f>
        <v>0</v>
      </c>
      <c r="N158" s="92">
        <f>'S012 OYUN OUT'!AQ156-'S012 OYUN IN'!K156</f>
        <v>0</v>
      </c>
      <c r="O158" s="92">
        <f>'JAFFURA-NMP-01 OUT'!Y156-'JAFFURA-NMP-01 IN'!L156</f>
        <v>0</v>
      </c>
      <c r="P158" s="92">
        <f>'RENTAL MATERIAL OUT'!BM156-'RENTAL MATERIAL IN'!M156</f>
        <v>0</v>
      </c>
      <c r="Q158" s="92">
        <f>'ABU DHABI OUT'!DP156-'ABU DHABI IN'!AY156</f>
        <v>0</v>
      </c>
      <c r="R158" s="93">
        <f t="shared" si="11"/>
        <v>14</v>
      </c>
      <c r="S158" s="96"/>
    </row>
    <row r="159" spans="1:20" ht="16.5" thickTop="1" thickBot="1" x14ac:dyDescent="0.3">
      <c r="A159" s="87">
        <f>SUBTOTAL(3,$B$7:B159)</f>
        <v>153</v>
      </c>
      <c r="B159" s="79">
        <v>5000000001</v>
      </c>
      <c r="C159" s="142" t="s">
        <v>167</v>
      </c>
      <c r="D159" s="79" t="s">
        <v>12</v>
      </c>
      <c r="E159" s="79" t="s">
        <v>630</v>
      </c>
      <c r="F159" s="90">
        <f>'YARD IN'!JU157-'YARD OUT'!CF157</f>
        <v>0</v>
      </c>
      <c r="G159" s="91">
        <f t="shared" si="10"/>
        <v>14</v>
      </c>
      <c r="H159" s="92">
        <f>'S019 JAFURRA OUT'!K157-'S019 JAFURRA IN'!I157</f>
        <v>0</v>
      </c>
      <c r="I159" s="92">
        <f>'S020 DAMMAM OUT'!S157-'S020 DAMMAM IN'!I157</f>
        <v>0</v>
      </c>
      <c r="J159" s="92">
        <f>'S015 JAFFURA OUT'!DE157-'S015 JAFFURA IN'!AG157</f>
        <v>14</v>
      </c>
      <c r="K159" s="92">
        <f>'S016 JAFFURA OUT'!N157-'S016 JAFFURA IN'!N157</f>
        <v>0</v>
      </c>
      <c r="L159" s="92">
        <f>'S013 MARJAN OUT'!YX157-'S013 MARJAN IN'!PY157</f>
        <v>0</v>
      </c>
      <c r="M159" s="92">
        <f>'S022 FADHALI OUT'!BW157-'S022 FADHALI IN'!N157</f>
        <v>0</v>
      </c>
      <c r="N159" s="92">
        <f>'S012 OYUN OUT'!AQ157-'S012 OYUN IN'!K157</f>
        <v>0</v>
      </c>
      <c r="O159" s="92">
        <f>'JAFFURA-NMP-01 OUT'!Y157-'JAFFURA-NMP-01 IN'!L157</f>
        <v>0</v>
      </c>
      <c r="P159" s="92">
        <f>'RENTAL MATERIAL OUT'!BM157-'RENTAL MATERIAL IN'!M157</f>
        <v>0</v>
      </c>
      <c r="Q159" s="92">
        <f>'ABU DHABI OUT'!DP157-'ABU DHABI IN'!AY157</f>
        <v>0</v>
      </c>
      <c r="R159" s="93">
        <f t="shared" si="11"/>
        <v>14</v>
      </c>
      <c r="S159" s="96"/>
    </row>
    <row r="160" spans="1:20" ht="16.5" thickTop="1" thickBot="1" x14ac:dyDescent="0.3">
      <c r="A160" s="87">
        <f>SUBTOTAL(3,$B$7:B160)</f>
        <v>154</v>
      </c>
      <c r="B160" s="79">
        <v>1000006666</v>
      </c>
      <c r="C160" s="142" t="s">
        <v>168</v>
      </c>
      <c r="D160" s="79" t="s">
        <v>12</v>
      </c>
      <c r="E160" s="79" t="s">
        <v>629</v>
      </c>
      <c r="F160" s="90">
        <f>'YARD IN'!JU158-'YARD OUT'!CF158</f>
        <v>41</v>
      </c>
      <c r="G160" s="91">
        <f t="shared" si="10"/>
        <v>1827</v>
      </c>
      <c r="H160" s="92">
        <f>'S019 JAFURRA OUT'!K158-'S019 JAFURRA IN'!I158</f>
        <v>0</v>
      </c>
      <c r="I160" s="92">
        <f>'S020 DAMMAM OUT'!S158-'S020 DAMMAM IN'!I158</f>
        <v>0</v>
      </c>
      <c r="J160" s="92">
        <f>'S015 JAFFURA OUT'!DE158-'S015 JAFFURA IN'!AG158</f>
        <v>799</v>
      </c>
      <c r="K160" s="92">
        <f>'S016 JAFFURA OUT'!N158-'S016 JAFFURA IN'!N158</f>
        <v>0</v>
      </c>
      <c r="L160" s="92">
        <f>'S013 MARJAN OUT'!YX158-'S013 MARJAN IN'!PY158</f>
        <v>175</v>
      </c>
      <c r="M160" s="92">
        <f>'S022 FADHALI OUT'!BW158-'S022 FADHALI IN'!N158</f>
        <v>620</v>
      </c>
      <c r="N160" s="92">
        <f>'S012 OYUN OUT'!AQ158-'S012 OYUN IN'!K158</f>
        <v>104</v>
      </c>
      <c r="O160" s="92">
        <f>'JAFFURA-NMP-01 OUT'!Y158-'JAFFURA-NMP-01 IN'!L158</f>
        <v>129</v>
      </c>
      <c r="P160" s="92">
        <f>'RENTAL MATERIAL OUT'!BM158-'RENTAL MATERIAL IN'!M158</f>
        <v>0</v>
      </c>
      <c r="Q160" s="92">
        <f>'ABU DHABI OUT'!DP158-'ABU DHABI IN'!AY158</f>
        <v>1836</v>
      </c>
      <c r="R160" s="93">
        <f t="shared" si="11"/>
        <v>1868</v>
      </c>
      <c r="S160" s="96">
        <v>5</v>
      </c>
      <c r="T160" s="2">
        <f t="shared" ref="T160:T166" si="13">+SUM(R160+Q160)</f>
        <v>3704</v>
      </c>
    </row>
    <row r="161" spans="1:20" ht="16.5" thickTop="1" thickBot="1" x14ac:dyDescent="0.3">
      <c r="A161" s="87">
        <f>SUBTOTAL(3,$B$7:B161)</f>
        <v>155</v>
      </c>
      <c r="B161" s="79">
        <v>4000015675</v>
      </c>
      <c r="C161" s="142" t="s">
        <v>169</v>
      </c>
      <c r="D161" s="79" t="s">
        <v>12</v>
      </c>
      <c r="E161" s="79" t="s">
        <v>629</v>
      </c>
      <c r="F161" s="90">
        <f>'YARD IN'!JU159-'YARD OUT'!CF159</f>
        <v>478</v>
      </c>
      <c r="G161" s="91">
        <f t="shared" si="10"/>
        <v>3923</v>
      </c>
      <c r="H161" s="92">
        <f>'S019 JAFURRA OUT'!K159-'S019 JAFURRA IN'!I159</f>
        <v>0</v>
      </c>
      <c r="I161" s="92">
        <f>'S020 DAMMAM OUT'!S159-'S020 DAMMAM IN'!I159</f>
        <v>20</v>
      </c>
      <c r="J161" s="92">
        <f>'S015 JAFFURA OUT'!DE159-'S015 JAFFURA IN'!AG159</f>
        <v>1231</v>
      </c>
      <c r="K161" s="92">
        <f>'S016 JAFFURA OUT'!N159-'S016 JAFFURA IN'!N159</f>
        <v>200</v>
      </c>
      <c r="L161" s="92">
        <f>'S013 MARJAN OUT'!YX159-'S013 MARJAN IN'!PY159</f>
        <v>1615</v>
      </c>
      <c r="M161" s="92">
        <f>'S022 FADHALI OUT'!BW159-'S022 FADHALI IN'!N159</f>
        <v>824</v>
      </c>
      <c r="N161" s="92">
        <f>'S012 OYUN OUT'!AQ159-'S012 OYUN IN'!K159</f>
        <v>12</v>
      </c>
      <c r="O161" s="92">
        <f>'JAFFURA-NMP-01 OUT'!Y159-'JAFFURA-NMP-01 IN'!L159</f>
        <v>21</v>
      </c>
      <c r="P161" s="92">
        <f>'RENTAL MATERIAL OUT'!BM159-'RENTAL MATERIAL IN'!M159</f>
        <v>0</v>
      </c>
      <c r="Q161" s="92">
        <f>'ABU DHABI OUT'!DP159-'ABU DHABI IN'!AY159</f>
        <v>3</v>
      </c>
      <c r="R161" s="93">
        <f t="shared" si="11"/>
        <v>4401</v>
      </c>
      <c r="S161" s="96">
        <v>7.1</v>
      </c>
      <c r="T161" s="2">
        <f t="shared" si="13"/>
        <v>4404</v>
      </c>
    </row>
    <row r="162" spans="1:20" ht="16.5" thickTop="1" thickBot="1" x14ac:dyDescent="0.3">
      <c r="A162" s="87">
        <f>SUBTOTAL(3,$B$7:B162)</f>
        <v>156</v>
      </c>
      <c r="B162" s="79">
        <v>4000017082</v>
      </c>
      <c r="C162" s="142" t="s">
        <v>170</v>
      </c>
      <c r="D162" s="79" t="s">
        <v>12</v>
      </c>
      <c r="E162" s="79" t="s">
        <v>629</v>
      </c>
      <c r="F162" s="90">
        <f>'YARD IN'!JU160-'YARD OUT'!CF160</f>
        <v>523</v>
      </c>
      <c r="G162" s="91">
        <f t="shared" si="10"/>
        <v>3271</v>
      </c>
      <c r="H162" s="92">
        <f>'S019 JAFURRA OUT'!K160-'S019 JAFURRA IN'!I160</f>
        <v>200</v>
      </c>
      <c r="I162" s="92">
        <f>'S020 DAMMAM OUT'!S160-'S020 DAMMAM IN'!I160</f>
        <v>0</v>
      </c>
      <c r="J162" s="92">
        <f>'S015 JAFFURA OUT'!DE160-'S015 JAFFURA IN'!AG160</f>
        <v>618</v>
      </c>
      <c r="K162" s="92">
        <f>'S016 JAFFURA OUT'!N160-'S016 JAFFURA IN'!N160</f>
        <v>0</v>
      </c>
      <c r="L162" s="92">
        <f>'S013 MARJAN OUT'!YX160-'S013 MARJAN IN'!PY160</f>
        <v>1897</v>
      </c>
      <c r="M162" s="92">
        <f>'S022 FADHALI OUT'!BW160-'S022 FADHALI IN'!N160</f>
        <v>461</v>
      </c>
      <c r="N162" s="92">
        <f>'S012 OYUN OUT'!AQ160-'S012 OYUN IN'!K160</f>
        <v>95</v>
      </c>
      <c r="O162" s="92">
        <f>'JAFFURA-NMP-01 OUT'!Y160-'JAFFURA-NMP-01 IN'!L160</f>
        <v>0</v>
      </c>
      <c r="P162" s="92">
        <f>'RENTAL MATERIAL OUT'!BM160-'RENTAL MATERIAL IN'!M160</f>
        <v>0</v>
      </c>
      <c r="Q162" s="92">
        <f>'ABU DHABI OUT'!DP160-'ABU DHABI IN'!AY160</f>
        <v>500</v>
      </c>
      <c r="R162" s="93">
        <f t="shared" si="11"/>
        <v>3794</v>
      </c>
      <c r="S162" s="96">
        <v>9.4670000000000005</v>
      </c>
      <c r="T162" s="2">
        <f t="shared" si="13"/>
        <v>4294</v>
      </c>
    </row>
    <row r="163" spans="1:20" ht="16.5" thickTop="1" thickBot="1" x14ac:dyDescent="0.3">
      <c r="A163" s="87">
        <f>SUBTOTAL(3,$B$7:B163)</f>
        <v>157</v>
      </c>
      <c r="B163" s="79">
        <v>4000017083</v>
      </c>
      <c r="C163" s="142" t="s">
        <v>171</v>
      </c>
      <c r="D163" s="79" t="s">
        <v>12</v>
      </c>
      <c r="E163" s="79" t="s">
        <v>629</v>
      </c>
      <c r="F163" s="90">
        <f>'YARD IN'!JU161-'YARD OUT'!CF161</f>
        <v>0</v>
      </c>
      <c r="G163" s="91">
        <f t="shared" si="10"/>
        <v>400</v>
      </c>
      <c r="H163" s="92">
        <f>'S019 JAFURRA OUT'!K161-'S019 JAFURRA IN'!I161</f>
        <v>0</v>
      </c>
      <c r="I163" s="92">
        <f>'S020 DAMMAM OUT'!S161-'S020 DAMMAM IN'!I161</f>
        <v>0</v>
      </c>
      <c r="J163" s="92">
        <f>'S015 JAFFURA OUT'!DE161-'S015 JAFFURA IN'!AG161</f>
        <v>151</v>
      </c>
      <c r="K163" s="92">
        <f>'S016 JAFFURA OUT'!N161-'S016 JAFFURA IN'!N161</f>
        <v>0</v>
      </c>
      <c r="L163" s="92">
        <f>'S013 MARJAN OUT'!YX161-'S013 MARJAN IN'!PY161</f>
        <v>199</v>
      </c>
      <c r="M163" s="92">
        <f>'S022 FADHALI OUT'!BW161-'S022 FADHALI IN'!N161</f>
        <v>0</v>
      </c>
      <c r="N163" s="92">
        <f>'S012 OYUN OUT'!AQ161-'S012 OYUN IN'!K161</f>
        <v>50</v>
      </c>
      <c r="O163" s="92">
        <f>'JAFFURA-NMP-01 OUT'!Y161-'JAFFURA-NMP-01 IN'!L161</f>
        <v>0</v>
      </c>
      <c r="P163" s="92">
        <f>'RENTAL MATERIAL OUT'!BM161-'RENTAL MATERIAL IN'!M161</f>
        <v>0</v>
      </c>
      <c r="Q163" s="92">
        <f>'ABU DHABI OUT'!DP161-'ABU DHABI IN'!AY161</f>
        <v>159</v>
      </c>
      <c r="R163" s="93">
        <f t="shared" si="11"/>
        <v>400</v>
      </c>
      <c r="S163" s="96">
        <v>11.833</v>
      </c>
      <c r="T163" s="2">
        <f t="shared" si="13"/>
        <v>559</v>
      </c>
    </row>
    <row r="164" spans="1:20" ht="16.5" thickTop="1" thickBot="1" x14ac:dyDescent="0.3">
      <c r="A164" s="87">
        <f>SUBTOTAL(3,$B$7:B164)</f>
        <v>158</v>
      </c>
      <c r="B164" s="79">
        <v>4000015873</v>
      </c>
      <c r="C164" s="142" t="s">
        <v>172</v>
      </c>
      <c r="D164" s="79" t="s">
        <v>12</v>
      </c>
      <c r="E164" s="79" t="s">
        <v>629</v>
      </c>
      <c r="F164" s="90">
        <f>'YARD IN'!JU162-'YARD OUT'!CF162</f>
        <v>200</v>
      </c>
      <c r="G164" s="91">
        <f t="shared" si="10"/>
        <v>2614</v>
      </c>
      <c r="H164" s="92">
        <f>'S019 JAFURRA OUT'!K162-'S019 JAFURRA IN'!I162</f>
        <v>120</v>
      </c>
      <c r="I164" s="92">
        <f>'S020 DAMMAM OUT'!S162-'S020 DAMMAM IN'!I162</f>
        <v>0</v>
      </c>
      <c r="J164" s="92">
        <f>'S015 JAFFURA OUT'!DE162-'S015 JAFFURA IN'!AG162</f>
        <v>143</v>
      </c>
      <c r="K164" s="92">
        <f>'S016 JAFFURA OUT'!N162-'S016 JAFFURA IN'!N162</f>
        <v>0</v>
      </c>
      <c r="L164" s="92">
        <f>'S013 MARJAN OUT'!YX162-'S013 MARJAN IN'!PY162</f>
        <v>1747</v>
      </c>
      <c r="M164" s="92">
        <f>'S022 FADHALI OUT'!BW162-'S022 FADHALI IN'!N162</f>
        <v>453</v>
      </c>
      <c r="N164" s="92">
        <f>'S012 OYUN OUT'!AQ162-'S012 OYUN IN'!K162</f>
        <v>151</v>
      </c>
      <c r="O164" s="92">
        <f>'JAFFURA-NMP-01 OUT'!Y162-'JAFFURA-NMP-01 IN'!L162</f>
        <v>0</v>
      </c>
      <c r="P164" s="92">
        <f>'RENTAL MATERIAL OUT'!BM162-'RENTAL MATERIAL IN'!M162</f>
        <v>0</v>
      </c>
      <c r="Q164" s="92">
        <f>'ABU DHABI OUT'!DP162-'ABU DHABI IN'!AY162</f>
        <v>70</v>
      </c>
      <c r="R164" s="93">
        <f t="shared" si="11"/>
        <v>2814</v>
      </c>
      <c r="S164" s="96">
        <v>14.2</v>
      </c>
      <c r="T164" s="2">
        <f t="shared" si="13"/>
        <v>2884</v>
      </c>
    </row>
    <row r="165" spans="1:20" ht="16.5" thickTop="1" thickBot="1" x14ac:dyDescent="0.3">
      <c r="A165" s="87">
        <f>SUBTOTAL(3,$B$7:B165)</f>
        <v>159</v>
      </c>
      <c r="B165" s="79">
        <v>4000017084</v>
      </c>
      <c r="C165" s="142" t="s">
        <v>173</v>
      </c>
      <c r="D165" s="79" t="s">
        <v>12</v>
      </c>
      <c r="E165" s="79" t="s">
        <v>629</v>
      </c>
      <c r="F165" s="90">
        <f>'YARD IN'!JU163-'YARD OUT'!CF163</f>
        <v>244</v>
      </c>
      <c r="G165" s="91">
        <f t="shared" si="10"/>
        <v>2206</v>
      </c>
      <c r="H165" s="92">
        <f>'S019 JAFURRA OUT'!K163-'S019 JAFURRA IN'!I163</f>
        <v>40</v>
      </c>
      <c r="I165" s="92">
        <f>'S020 DAMMAM OUT'!S163-'S020 DAMMAM IN'!I163</f>
        <v>30</v>
      </c>
      <c r="J165" s="92">
        <f>'S015 JAFFURA OUT'!DE163-'S015 JAFFURA IN'!AG163</f>
        <v>535</v>
      </c>
      <c r="K165" s="92">
        <f>'S016 JAFFURA OUT'!N163-'S016 JAFFURA IN'!N163</f>
        <v>0</v>
      </c>
      <c r="L165" s="92">
        <f>'S013 MARJAN OUT'!YX163-'S013 MARJAN IN'!PY163</f>
        <v>1227</v>
      </c>
      <c r="M165" s="92">
        <f>'S022 FADHALI OUT'!BW163-'S022 FADHALI IN'!N163</f>
        <v>184</v>
      </c>
      <c r="N165" s="92">
        <f>'S012 OYUN OUT'!AQ163-'S012 OYUN IN'!K163</f>
        <v>190</v>
      </c>
      <c r="O165" s="92">
        <f>'JAFFURA-NMP-01 OUT'!Y163-'JAFFURA-NMP-01 IN'!L163</f>
        <v>0</v>
      </c>
      <c r="P165" s="92">
        <f>'RENTAL MATERIAL OUT'!BM163-'RENTAL MATERIAL IN'!M163</f>
        <v>0</v>
      </c>
      <c r="Q165" s="92">
        <f>'ABU DHABI OUT'!DP163-'ABU DHABI IN'!AY163</f>
        <v>200</v>
      </c>
      <c r="R165" s="93">
        <f t="shared" si="11"/>
        <v>2450</v>
      </c>
      <c r="S165" s="96">
        <v>18.8</v>
      </c>
      <c r="T165" s="2">
        <f t="shared" si="13"/>
        <v>2650</v>
      </c>
    </row>
    <row r="166" spans="1:20" ht="16.5" thickTop="1" thickBot="1" x14ac:dyDescent="0.3">
      <c r="A166" s="87">
        <f>SUBTOTAL(3,$B$7:B166)</f>
        <v>160</v>
      </c>
      <c r="B166" s="79">
        <v>3000003029</v>
      </c>
      <c r="C166" s="142" t="s">
        <v>211</v>
      </c>
      <c r="D166" s="79" t="s">
        <v>12</v>
      </c>
      <c r="E166" s="79" t="s">
        <v>629</v>
      </c>
      <c r="F166" s="90">
        <f>'YARD IN'!JU164-'YARD OUT'!CF164</f>
        <v>101</v>
      </c>
      <c r="G166" s="91">
        <f t="shared" si="10"/>
        <v>6</v>
      </c>
      <c r="H166" s="92">
        <f>'S019 JAFURRA OUT'!K164-'S019 JAFURRA IN'!I164</f>
        <v>0</v>
      </c>
      <c r="I166" s="92">
        <f>'S020 DAMMAM OUT'!S164-'S020 DAMMAM IN'!I164</f>
        <v>0</v>
      </c>
      <c r="J166" s="92">
        <f>'S015 JAFFURA OUT'!DE164-'S015 JAFFURA IN'!AG164</f>
        <v>0</v>
      </c>
      <c r="K166" s="92">
        <f>'S016 JAFFURA OUT'!N164-'S016 JAFFURA IN'!N164</f>
        <v>0</v>
      </c>
      <c r="L166" s="92">
        <v>0</v>
      </c>
      <c r="M166" s="92">
        <f>'S022 FADHALI OUT'!BW164-'S022 FADHALI IN'!N164</f>
        <v>0</v>
      </c>
      <c r="N166" s="92">
        <f>'S012 OYUN OUT'!AQ164-'S012 OYUN IN'!K164</f>
        <v>0</v>
      </c>
      <c r="O166" s="92">
        <f>'JAFFURA-NMP-01 OUT'!Y164-'JAFFURA-NMP-01 IN'!L164</f>
        <v>6</v>
      </c>
      <c r="P166" s="92">
        <f>'RENTAL MATERIAL OUT'!BM164-'RENTAL MATERIAL IN'!M164</f>
        <v>0</v>
      </c>
      <c r="Q166" s="92">
        <f>'ABU DHABI OUT'!DP164-'ABU DHABI IN'!AY164</f>
        <v>0</v>
      </c>
      <c r="R166" s="93">
        <f t="shared" si="11"/>
        <v>107</v>
      </c>
      <c r="S166" s="96">
        <v>5.0199999999999996</v>
      </c>
      <c r="T166" s="2">
        <f t="shared" si="13"/>
        <v>107</v>
      </c>
    </row>
    <row r="167" spans="1:20" ht="16.5" thickTop="1" thickBot="1" x14ac:dyDescent="0.3">
      <c r="A167" s="87">
        <f>SUBTOTAL(3,$B$7:B167)</f>
        <v>161</v>
      </c>
      <c r="B167" s="88" t="s">
        <v>296</v>
      </c>
      <c r="C167" s="140" t="s">
        <v>297</v>
      </c>
      <c r="D167" s="89" t="s">
        <v>12</v>
      </c>
      <c r="E167" s="89" t="s">
        <v>630</v>
      </c>
      <c r="F167" s="90">
        <f>'YARD IN'!JU165-'YARD OUT'!CF165</f>
        <v>0</v>
      </c>
      <c r="G167" s="91">
        <f t="shared" si="10"/>
        <v>1338</v>
      </c>
      <c r="H167" s="92">
        <f>'S019 JAFURRA OUT'!K165-'S019 JAFURRA IN'!I165</f>
        <v>0</v>
      </c>
      <c r="I167" s="92">
        <f>'S020 DAMMAM OUT'!S165-'S020 DAMMAM IN'!I165</f>
        <v>0</v>
      </c>
      <c r="J167" s="92">
        <f>'S015 JAFFURA OUT'!DE165-'S015 JAFFURA IN'!AG165</f>
        <v>1200</v>
      </c>
      <c r="K167" s="92">
        <f>'S016 JAFFURA OUT'!N165-'S016 JAFFURA IN'!N165</f>
        <v>0</v>
      </c>
      <c r="L167" s="92">
        <f>'S013 MARJAN OUT'!YX165-'S013 MARJAN IN'!PY165</f>
        <v>0</v>
      </c>
      <c r="M167" s="92">
        <f>'S022 FADHALI OUT'!BW165-'S022 FADHALI IN'!N165</f>
        <v>0</v>
      </c>
      <c r="N167" s="92">
        <f>'S012 OYUN OUT'!AQ165-'S012 OYUN IN'!K165</f>
        <v>138</v>
      </c>
      <c r="O167" s="92">
        <f>'JAFFURA-NMP-01 OUT'!Y165-'JAFFURA-NMP-01 IN'!L165</f>
        <v>0</v>
      </c>
      <c r="P167" s="92">
        <f>'RENTAL MATERIAL OUT'!BM165-'RENTAL MATERIAL IN'!M165</f>
        <v>0</v>
      </c>
      <c r="Q167" s="92">
        <f>'ABU DHABI OUT'!DP165-'ABU DHABI IN'!AY165</f>
        <v>0</v>
      </c>
      <c r="R167" s="93">
        <f t="shared" si="11"/>
        <v>1338</v>
      </c>
      <c r="S167" s="96">
        <v>5.4</v>
      </c>
    </row>
    <row r="168" spans="1:20" ht="16.5" thickTop="1" thickBot="1" x14ac:dyDescent="0.3">
      <c r="A168" s="87">
        <f>SUBTOTAL(3,$B$7:B168)</f>
        <v>162</v>
      </c>
      <c r="B168" s="88">
        <v>1000006010</v>
      </c>
      <c r="C168" s="140" t="s">
        <v>298</v>
      </c>
      <c r="D168" s="89" t="s">
        <v>12</v>
      </c>
      <c r="E168" s="89" t="s">
        <v>630</v>
      </c>
      <c r="F168" s="90">
        <f>'YARD IN'!JU166-'YARD OUT'!CF166</f>
        <v>0</v>
      </c>
      <c r="G168" s="91">
        <f t="shared" si="10"/>
        <v>50</v>
      </c>
      <c r="H168" s="92">
        <f>'S019 JAFURRA OUT'!K166-'S019 JAFURRA IN'!I166</f>
        <v>0</v>
      </c>
      <c r="I168" s="92">
        <f>'S020 DAMMAM OUT'!S166-'S020 DAMMAM IN'!I166</f>
        <v>0</v>
      </c>
      <c r="J168" s="92">
        <f>'S015 JAFFURA OUT'!DE166-'S015 JAFFURA IN'!AG166</f>
        <v>50</v>
      </c>
      <c r="K168" s="92">
        <f>'S016 JAFFURA OUT'!N166-'S016 JAFFURA IN'!N166</f>
        <v>0</v>
      </c>
      <c r="L168" s="92">
        <f>'S013 MARJAN OUT'!YX166-'S013 MARJAN IN'!PY166</f>
        <v>0</v>
      </c>
      <c r="M168" s="92">
        <f>'S022 FADHALI OUT'!BW166-'S022 FADHALI IN'!N166</f>
        <v>0</v>
      </c>
      <c r="N168" s="92">
        <f>'S012 OYUN OUT'!AQ166-'S012 OYUN IN'!K166</f>
        <v>0</v>
      </c>
      <c r="O168" s="92">
        <f>'JAFFURA-NMP-01 OUT'!Y166-'JAFFURA-NMP-01 IN'!L166</f>
        <v>0</v>
      </c>
      <c r="P168" s="92">
        <f>'RENTAL MATERIAL OUT'!BM166-'RENTAL MATERIAL IN'!M166</f>
        <v>0</v>
      </c>
      <c r="Q168" s="92">
        <f>'ABU DHABI OUT'!DP166-'ABU DHABI IN'!AY166</f>
        <v>0</v>
      </c>
      <c r="R168" s="93">
        <f t="shared" si="11"/>
        <v>50</v>
      </c>
      <c r="S168" s="96">
        <v>4.5</v>
      </c>
    </row>
    <row r="169" spans="1:20" ht="16.5" thickTop="1" thickBot="1" x14ac:dyDescent="0.3">
      <c r="A169" s="87">
        <f>SUBTOTAL(3,$B$7:B169)</f>
        <v>163</v>
      </c>
      <c r="B169" s="88" t="s">
        <v>299</v>
      </c>
      <c r="C169" s="140" t="s">
        <v>300</v>
      </c>
      <c r="D169" s="89" t="s">
        <v>12</v>
      </c>
      <c r="E169" s="79" t="s">
        <v>629</v>
      </c>
      <c r="F169" s="90">
        <f>'YARD IN'!JU167-'YARD OUT'!CF167</f>
        <v>0</v>
      </c>
      <c r="G169" s="91">
        <f t="shared" si="10"/>
        <v>5</v>
      </c>
      <c r="H169" s="92">
        <f>'S019 JAFURRA OUT'!K167-'S019 JAFURRA IN'!I167</f>
        <v>0</v>
      </c>
      <c r="I169" s="92">
        <f>'S020 DAMMAM OUT'!S167-'S020 DAMMAM IN'!I167</f>
        <v>0</v>
      </c>
      <c r="J169" s="92">
        <f>'S015 JAFFURA OUT'!DE167-'S015 JAFFURA IN'!AG167</f>
        <v>5</v>
      </c>
      <c r="K169" s="92">
        <f>'S016 JAFFURA OUT'!N167-'S016 JAFFURA IN'!N167</f>
        <v>0</v>
      </c>
      <c r="L169" s="92">
        <f>'S013 MARJAN OUT'!YX167-'S013 MARJAN IN'!PY167</f>
        <v>0</v>
      </c>
      <c r="M169" s="92">
        <f>'S022 FADHALI OUT'!BW167-'S022 FADHALI IN'!N167</f>
        <v>0</v>
      </c>
      <c r="N169" s="92">
        <f>'S012 OYUN OUT'!AQ167-'S012 OYUN IN'!K167</f>
        <v>0</v>
      </c>
      <c r="O169" s="92">
        <f>'JAFFURA-NMP-01 OUT'!Y167-'JAFFURA-NMP-01 IN'!L167</f>
        <v>0</v>
      </c>
      <c r="P169" s="92">
        <f>'RENTAL MATERIAL OUT'!BM167-'RENTAL MATERIAL IN'!M167</f>
        <v>0</v>
      </c>
      <c r="Q169" s="92">
        <f>'ABU DHABI OUT'!DP167-'ABU DHABI IN'!AY167</f>
        <v>0</v>
      </c>
      <c r="R169" s="93">
        <f t="shared" si="11"/>
        <v>5</v>
      </c>
      <c r="S169" s="96">
        <v>5.3</v>
      </c>
      <c r="T169" s="2">
        <f t="shared" ref="T169:T172" si="14">+SUM(R169+Q169)</f>
        <v>5</v>
      </c>
    </row>
    <row r="170" spans="1:20" ht="16.5" thickTop="1" thickBot="1" x14ac:dyDescent="0.3">
      <c r="A170" s="87">
        <f>SUBTOTAL(3,$B$7:B170)</f>
        <v>164</v>
      </c>
      <c r="B170" s="88" t="s">
        <v>301</v>
      </c>
      <c r="C170" s="140" t="s">
        <v>302</v>
      </c>
      <c r="D170" s="89" t="s">
        <v>12</v>
      </c>
      <c r="E170" s="79" t="s">
        <v>629</v>
      </c>
      <c r="F170" s="90">
        <f>'YARD IN'!JU168-'YARD OUT'!CF168</f>
        <v>5</v>
      </c>
      <c r="G170" s="91">
        <f t="shared" si="10"/>
        <v>77</v>
      </c>
      <c r="H170" s="92">
        <f>'S019 JAFURRA OUT'!K168-'S019 JAFURRA IN'!I168</f>
        <v>0</v>
      </c>
      <c r="I170" s="92">
        <f>'S020 DAMMAM OUT'!S168-'S020 DAMMAM IN'!I168</f>
        <v>0</v>
      </c>
      <c r="J170" s="92">
        <f>'S015 JAFFURA OUT'!DE168-'S015 JAFFURA IN'!AG168</f>
        <v>77</v>
      </c>
      <c r="K170" s="92">
        <f>'S016 JAFFURA OUT'!N168-'S016 JAFFURA IN'!N168</f>
        <v>0</v>
      </c>
      <c r="L170" s="92">
        <f>'S013 MARJAN OUT'!YX168-'S013 MARJAN IN'!PY168</f>
        <v>0</v>
      </c>
      <c r="M170" s="92">
        <f>'S022 FADHALI OUT'!BW168-'S022 FADHALI IN'!N168</f>
        <v>0</v>
      </c>
      <c r="N170" s="92">
        <f>'S012 OYUN OUT'!AQ168-'S012 OYUN IN'!K168</f>
        <v>0</v>
      </c>
      <c r="O170" s="92">
        <f>'JAFFURA-NMP-01 OUT'!Y168-'JAFFURA-NMP-01 IN'!L168</f>
        <v>0</v>
      </c>
      <c r="P170" s="92">
        <f>'RENTAL MATERIAL OUT'!BM168-'RENTAL MATERIAL IN'!M168</f>
        <v>0</v>
      </c>
      <c r="Q170" s="92">
        <f>'ABU DHABI OUT'!DP168-'ABU DHABI IN'!AY168</f>
        <v>0</v>
      </c>
      <c r="R170" s="93">
        <f t="shared" si="11"/>
        <v>82</v>
      </c>
      <c r="S170" s="96">
        <v>7.04</v>
      </c>
      <c r="T170" s="2">
        <f t="shared" si="14"/>
        <v>82</v>
      </c>
    </row>
    <row r="171" spans="1:20" ht="16.5" thickTop="1" thickBot="1" x14ac:dyDescent="0.3">
      <c r="A171" s="87">
        <f>SUBTOTAL(3,$B$7:B171)</f>
        <v>165</v>
      </c>
      <c r="B171" s="88" t="s">
        <v>303</v>
      </c>
      <c r="C171" s="140" t="s">
        <v>304</v>
      </c>
      <c r="D171" s="89" t="s">
        <v>12</v>
      </c>
      <c r="E171" s="79" t="s">
        <v>629</v>
      </c>
      <c r="F171" s="90">
        <f>'YARD IN'!JU169-'YARD OUT'!CF169</f>
        <v>0</v>
      </c>
      <c r="G171" s="91">
        <f t="shared" si="10"/>
        <v>100</v>
      </c>
      <c r="H171" s="92">
        <f>'S019 JAFURRA OUT'!K169-'S019 JAFURRA IN'!I169</f>
        <v>0</v>
      </c>
      <c r="I171" s="92">
        <f>'S020 DAMMAM OUT'!S169-'S020 DAMMAM IN'!I169</f>
        <v>0</v>
      </c>
      <c r="J171" s="92">
        <f>'S015 JAFFURA OUT'!DE169-'S015 JAFFURA IN'!AG169</f>
        <v>100</v>
      </c>
      <c r="K171" s="92">
        <f>'S016 JAFFURA OUT'!N169-'S016 JAFFURA IN'!N169</f>
        <v>0</v>
      </c>
      <c r="L171" s="92">
        <f>'S013 MARJAN OUT'!YX169-'S013 MARJAN IN'!PY169</f>
        <v>0</v>
      </c>
      <c r="M171" s="92">
        <f>'S022 FADHALI OUT'!BW169-'S022 FADHALI IN'!N169</f>
        <v>0</v>
      </c>
      <c r="N171" s="92">
        <f>'S012 OYUN OUT'!AQ169-'S012 OYUN IN'!K169</f>
        <v>0</v>
      </c>
      <c r="O171" s="92">
        <f>'JAFFURA-NMP-01 OUT'!Y169-'JAFFURA-NMP-01 IN'!L169</f>
        <v>0</v>
      </c>
      <c r="P171" s="92">
        <f>'RENTAL MATERIAL OUT'!BM169-'RENTAL MATERIAL IN'!M169</f>
        <v>0</v>
      </c>
      <c r="Q171" s="92">
        <f>'ABU DHABI OUT'!DP169-'ABU DHABI IN'!AY169</f>
        <v>0</v>
      </c>
      <c r="R171" s="93">
        <f t="shared" si="11"/>
        <v>100</v>
      </c>
      <c r="S171" s="96">
        <v>14.08</v>
      </c>
      <c r="T171" s="2">
        <f t="shared" si="14"/>
        <v>100</v>
      </c>
    </row>
    <row r="172" spans="1:20" ht="16.5" thickTop="1" thickBot="1" x14ac:dyDescent="0.3">
      <c r="A172" s="87">
        <f>SUBTOTAL(3,$B$7:B172)</f>
        <v>166</v>
      </c>
      <c r="B172" s="88" t="s">
        <v>305</v>
      </c>
      <c r="C172" s="140" t="s">
        <v>306</v>
      </c>
      <c r="D172" s="89" t="s">
        <v>12</v>
      </c>
      <c r="E172" s="79" t="s">
        <v>629</v>
      </c>
      <c r="F172" s="90">
        <f>'YARD IN'!JU170-'YARD OUT'!CF170</f>
        <v>0</v>
      </c>
      <c r="G172" s="91">
        <f t="shared" si="10"/>
        <v>40</v>
      </c>
      <c r="H172" s="92">
        <f>'S019 JAFURRA OUT'!K170-'S019 JAFURRA IN'!I170</f>
        <v>0</v>
      </c>
      <c r="I172" s="92">
        <f>'S020 DAMMAM OUT'!S170-'S020 DAMMAM IN'!I170</f>
        <v>0</v>
      </c>
      <c r="J172" s="92">
        <f>'S015 JAFFURA OUT'!DE170-'S015 JAFFURA IN'!AG170</f>
        <v>40</v>
      </c>
      <c r="K172" s="92">
        <f>'S016 JAFFURA OUT'!N170-'S016 JAFFURA IN'!N170</f>
        <v>0</v>
      </c>
      <c r="L172" s="92">
        <f>'S013 MARJAN OUT'!YX170-'S013 MARJAN IN'!PY170</f>
        <v>0</v>
      </c>
      <c r="M172" s="92">
        <f>'S022 FADHALI OUT'!BW170-'S022 FADHALI IN'!N170</f>
        <v>0</v>
      </c>
      <c r="N172" s="92">
        <f>'S012 OYUN OUT'!AQ170-'S012 OYUN IN'!K170</f>
        <v>0</v>
      </c>
      <c r="O172" s="92">
        <f>'JAFFURA-NMP-01 OUT'!Y170-'JAFFURA-NMP-01 IN'!L170</f>
        <v>0</v>
      </c>
      <c r="P172" s="92">
        <f>'RENTAL MATERIAL OUT'!BM170-'RENTAL MATERIAL IN'!M170</f>
        <v>0</v>
      </c>
      <c r="Q172" s="92">
        <f>'ABU DHABI OUT'!DP170-'ABU DHABI IN'!AY170</f>
        <v>0</v>
      </c>
      <c r="R172" s="93">
        <f t="shared" si="11"/>
        <v>40</v>
      </c>
      <c r="S172" s="96">
        <v>17.600000000000001</v>
      </c>
      <c r="T172" s="2">
        <f t="shared" si="14"/>
        <v>40</v>
      </c>
    </row>
    <row r="173" spans="1:20" ht="16.5" thickTop="1" thickBot="1" x14ac:dyDescent="0.3">
      <c r="A173" s="87">
        <f>SUBTOTAL(3,$B$7:B173)</f>
        <v>167</v>
      </c>
      <c r="B173" s="88" t="s">
        <v>628</v>
      </c>
      <c r="C173" s="140" t="s">
        <v>446</v>
      </c>
      <c r="D173" s="89" t="s">
        <v>12</v>
      </c>
      <c r="E173" s="89" t="s">
        <v>630</v>
      </c>
      <c r="F173" s="90">
        <f>'YARD IN'!JU171-'YARD OUT'!CF171</f>
        <v>0</v>
      </c>
      <c r="G173" s="91">
        <f t="shared" si="10"/>
        <v>25</v>
      </c>
      <c r="H173" s="92">
        <f>'S019 JAFURRA OUT'!K171-'S019 JAFURRA IN'!I171</f>
        <v>0</v>
      </c>
      <c r="I173" s="92">
        <f>'S020 DAMMAM OUT'!S171-'S020 DAMMAM IN'!I171</f>
        <v>0</v>
      </c>
      <c r="J173" s="92">
        <f>'S015 JAFFURA OUT'!DE171-'S015 JAFFURA IN'!AG171</f>
        <v>0</v>
      </c>
      <c r="K173" s="92">
        <f>'S016 JAFFURA OUT'!N171-'S016 JAFFURA IN'!N171</f>
        <v>0</v>
      </c>
      <c r="L173" s="92">
        <f>'S013 MARJAN OUT'!YX171-'S013 MARJAN IN'!PY171</f>
        <v>0</v>
      </c>
      <c r="M173" s="92">
        <f>'S022 FADHALI OUT'!BW171-'S022 FADHALI IN'!N171</f>
        <v>0</v>
      </c>
      <c r="N173" s="92">
        <f>'S012 OYUN OUT'!AQ171-'S012 OYUN IN'!K171</f>
        <v>25</v>
      </c>
      <c r="O173" s="92">
        <f>'JAFFURA-NMP-01 OUT'!Y171-'JAFFURA-NMP-01 IN'!L171</f>
        <v>0</v>
      </c>
      <c r="P173" s="92">
        <f>'RENTAL MATERIAL OUT'!BM171-'RENTAL MATERIAL IN'!M171</f>
        <v>0</v>
      </c>
      <c r="Q173" s="92">
        <f>'ABU DHABI OUT'!DP171-'ABU DHABI IN'!AY171</f>
        <v>0</v>
      </c>
      <c r="R173" s="93">
        <f t="shared" si="11"/>
        <v>25</v>
      </c>
      <c r="S173" s="96">
        <v>31</v>
      </c>
    </row>
    <row r="174" spans="1:20" ht="16.5" thickTop="1" thickBot="1" x14ac:dyDescent="0.3">
      <c r="A174" s="87">
        <f>SUBTOTAL(3,$B$7:B174)</f>
        <v>168</v>
      </c>
      <c r="B174" s="88" t="s">
        <v>447</v>
      </c>
      <c r="C174" s="140" t="s">
        <v>448</v>
      </c>
      <c r="D174" s="89" t="s">
        <v>12</v>
      </c>
      <c r="E174" s="89" t="s">
        <v>630</v>
      </c>
      <c r="F174" s="90">
        <f>'YARD IN'!JU172-'YARD OUT'!CF172</f>
        <v>0</v>
      </c>
      <c r="G174" s="91">
        <f t="shared" si="10"/>
        <v>100</v>
      </c>
      <c r="H174" s="92">
        <f>'S019 JAFURRA OUT'!K172-'S019 JAFURRA IN'!I172</f>
        <v>0</v>
      </c>
      <c r="I174" s="92">
        <f>'S020 DAMMAM OUT'!S172-'S020 DAMMAM IN'!I172</f>
        <v>0</v>
      </c>
      <c r="J174" s="92">
        <f>'S015 JAFFURA OUT'!DE172-'S015 JAFFURA IN'!AG172</f>
        <v>0</v>
      </c>
      <c r="K174" s="92">
        <f>'S016 JAFFURA OUT'!N172-'S016 JAFFURA IN'!N172</f>
        <v>0</v>
      </c>
      <c r="L174" s="92">
        <f>'S013 MARJAN OUT'!YX172-'S013 MARJAN IN'!PY172</f>
        <v>0</v>
      </c>
      <c r="M174" s="92">
        <f>'S022 FADHALI OUT'!BW172-'S022 FADHALI IN'!N172</f>
        <v>0</v>
      </c>
      <c r="N174" s="92">
        <f>'S012 OYUN OUT'!AQ172-'S012 OYUN IN'!K172</f>
        <v>100</v>
      </c>
      <c r="O174" s="92">
        <f>'JAFFURA-NMP-01 OUT'!Y172-'JAFFURA-NMP-01 IN'!L172</f>
        <v>0</v>
      </c>
      <c r="P174" s="92">
        <f>'RENTAL MATERIAL OUT'!BM172-'RENTAL MATERIAL IN'!M172</f>
        <v>0</v>
      </c>
      <c r="Q174" s="92">
        <f>'ABU DHABI OUT'!DP172-'ABU DHABI IN'!AY172</f>
        <v>0</v>
      </c>
      <c r="R174" s="93">
        <f t="shared" si="11"/>
        <v>100</v>
      </c>
      <c r="S174" s="96">
        <v>5.3</v>
      </c>
    </row>
    <row r="175" spans="1:20" ht="16.5" thickTop="1" thickBot="1" x14ac:dyDescent="0.3">
      <c r="A175" s="87">
        <f>SUBTOTAL(3,$B$7:B175)</f>
        <v>169</v>
      </c>
      <c r="B175" s="88" t="s">
        <v>35</v>
      </c>
      <c r="C175" s="140" t="s">
        <v>449</v>
      </c>
      <c r="D175" s="89" t="s">
        <v>12</v>
      </c>
      <c r="E175" s="89" t="s">
        <v>630</v>
      </c>
      <c r="F175" s="90">
        <f>'YARD IN'!JU173-'YARD OUT'!CF173</f>
        <v>0</v>
      </c>
      <c r="G175" s="91">
        <f t="shared" si="10"/>
        <v>30</v>
      </c>
      <c r="H175" s="92">
        <f>'S019 JAFURRA OUT'!K173-'S019 JAFURRA IN'!I173</f>
        <v>0</v>
      </c>
      <c r="I175" s="92">
        <f>'S020 DAMMAM OUT'!S173-'S020 DAMMAM IN'!I173</f>
        <v>0</v>
      </c>
      <c r="J175" s="92">
        <f>'S015 JAFFURA OUT'!DE173-'S015 JAFFURA IN'!AG173</f>
        <v>0</v>
      </c>
      <c r="K175" s="92">
        <f>'S016 JAFFURA OUT'!N173-'S016 JAFFURA IN'!N173</f>
        <v>0</v>
      </c>
      <c r="L175" s="92">
        <f>'S013 MARJAN OUT'!YX173-'S013 MARJAN IN'!PY173</f>
        <v>0</v>
      </c>
      <c r="M175" s="92">
        <f>'S022 FADHALI OUT'!BW173-'S022 FADHALI IN'!N173</f>
        <v>0</v>
      </c>
      <c r="N175" s="92">
        <f>'S012 OYUN OUT'!AQ173-'S012 OYUN IN'!K173</f>
        <v>30</v>
      </c>
      <c r="O175" s="92">
        <f>'JAFFURA-NMP-01 OUT'!Y173-'JAFFURA-NMP-01 IN'!L173</f>
        <v>0</v>
      </c>
      <c r="P175" s="92">
        <f>'RENTAL MATERIAL OUT'!BM173-'RENTAL MATERIAL IN'!M173</f>
        <v>0</v>
      </c>
      <c r="Q175" s="92">
        <f>'ABU DHABI OUT'!DP173-'ABU DHABI IN'!AY173</f>
        <v>0</v>
      </c>
      <c r="R175" s="93">
        <f t="shared" si="11"/>
        <v>30</v>
      </c>
      <c r="S175" s="96"/>
    </row>
    <row r="176" spans="1:20" ht="16.5" thickTop="1" thickBot="1" x14ac:dyDescent="0.3">
      <c r="A176" s="87">
        <f>SUBTOTAL(3,$B$7:B176)</f>
        <v>170</v>
      </c>
      <c r="B176" s="87" t="s">
        <v>35</v>
      </c>
      <c r="C176" s="140" t="s">
        <v>450</v>
      </c>
      <c r="D176" s="89" t="s">
        <v>12</v>
      </c>
      <c r="E176" s="89" t="s">
        <v>630</v>
      </c>
      <c r="F176" s="90">
        <f>'YARD IN'!JU174-'YARD OUT'!CF174</f>
        <v>68</v>
      </c>
      <c r="G176" s="91">
        <f t="shared" si="10"/>
        <v>2</v>
      </c>
      <c r="H176" s="92">
        <f>'S019 JAFURRA OUT'!K174-'S019 JAFURRA IN'!I174</f>
        <v>0</v>
      </c>
      <c r="I176" s="92">
        <f>'S020 DAMMAM OUT'!S174-'S020 DAMMAM IN'!I174</f>
        <v>0</v>
      </c>
      <c r="J176" s="92">
        <f>'S015 JAFFURA OUT'!DE174-'S015 JAFFURA IN'!AG174</f>
        <v>0</v>
      </c>
      <c r="K176" s="92">
        <f>'S016 JAFFURA OUT'!N174-'S016 JAFFURA IN'!N174</f>
        <v>0</v>
      </c>
      <c r="L176" s="92">
        <f>'S013 MARJAN OUT'!YX174-'S013 MARJAN IN'!PY174</f>
        <v>0</v>
      </c>
      <c r="M176" s="92">
        <f>'S022 FADHALI OUT'!BW174-'S022 FADHALI IN'!N174</f>
        <v>0</v>
      </c>
      <c r="N176" s="92">
        <f>'S012 OYUN OUT'!AQ174-'S012 OYUN IN'!K174</f>
        <v>2</v>
      </c>
      <c r="O176" s="92">
        <f>'JAFFURA-NMP-01 OUT'!Y174-'JAFFURA-NMP-01 IN'!L174</f>
        <v>0</v>
      </c>
      <c r="P176" s="92">
        <f>'RENTAL MATERIAL OUT'!BM174-'RENTAL MATERIAL IN'!M174</f>
        <v>0</v>
      </c>
      <c r="Q176" s="92">
        <f>'ABU DHABI OUT'!DP174-'ABU DHABI IN'!AY174</f>
        <v>0</v>
      </c>
      <c r="R176" s="93">
        <f t="shared" si="11"/>
        <v>70</v>
      </c>
      <c r="S176" s="135">
        <v>2.9</v>
      </c>
    </row>
    <row r="177" spans="1:20" ht="16.5" thickTop="1" thickBot="1" x14ac:dyDescent="0.3">
      <c r="A177" s="87">
        <f>SUBTOTAL(3,$B$7:B177)</f>
        <v>171</v>
      </c>
      <c r="B177" s="87" t="s">
        <v>35</v>
      </c>
      <c r="C177" s="140" t="s">
        <v>510</v>
      </c>
      <c r="D177" s="89" t="s">
        <v>12</v>
      </c>
      <c r="E177" s="79" t="s">
        <v>629</v>
      </c>
      <c r="F177" s="90">
        <f>'YARD IN'!JU175-'YARD OUT'!CF175</f>
        <v>0</v>
      </c>
      <c r="G177" s="91">
        <f t="shared" si="10"/>
        <v>0</v>
      </c>
      <c r="H177" s="92">
        <f>'S019 JAFURRA OUT'!K175-'S019 JAFURRA IN'!I175</f>
        <v>0</v>
      </c>
      <c r="I177" s="92">
        <f>'S020 DAMMAM OUT'!S175-'S020 DAMMAM IN'!I175</f>
        <v>0</v>
      </c>
      <c r="J177" s="92">
        <f>'S015 JAFFURA OUT'!DE175-'S015 JAFFURA IN'!AG175</f>
        <v>0</v>
      </c>
      <c r="K177" s="92">
        <f>'S016 JAFFURA OUT'!N175-'S016 JAFFURA IN'!N175</f>
        <v>0</v>
      </c>
      <c r="L177" s="92">
        <f>'S013 MARJAN OUT'!YX175-'S013 MARJAN IN'!PY175</f>
        <v>0</v>
      </c>
      <c r="M177" s="92">
        <f>'S022 FADHALI OUT'!BW175-'S022 FADHALI IN'!N175</f>
        <v>0</v>
      </c>
      <c r="N177" s="92">
        <f>'S012 OYUN OUT'!AQ175-'S012 OYUN IN'!K175</f>
        <v>0</v>
      </c>
      <c r="O177" s="92">
        <f>'JAFFURA-NMP-01 OUT'!Y175-'JAFFURA-NMP-01 IN'!L175</f>
        <v>0</v>
      </c>
      <c r="P177" s="92">
        <f>'RENTAL MATERIAL OUT'!BM175-'RENTAL MATERIAL IN'!M175</f>
        <v>0</v>
      </c>
      <c r="Q177" s="92">
        <f>'ABU DHABI OUT'!DP175-'ABU DHABI IN'!AY175</f>
        <v>0</v>
      </c>
      <c r="R177" s="93">
        <f t="shared" si="11"/>
        <v>0</v>
      </c>
      <c r="S177" s="96">
        <v>12.03</v>
      </c>
      <c r="T177" s="2">
        <f t="shared" ref="T177:T181" si="15">+SUM(R177+Q177)</f>
        <v>0</v>
      </c>
    </row>
    <row r="178" spans="1:20" ht="16.5" thickTop="1" thickBot="1" x14ac:dyDescent="0.3">
      <c r="A178" s="87">
        <f>SUBTOTAL(3,$B$7:B178)</f>
        <v>172</v>
      </c>
      <c r="B178" s="87" t="s">
        <v>35</v>
      </c>
      <c r="C178" s="140" t="s">
        <v>516</v>
      </c>
      <c r="D178" s="89" t="s">
        <v>12</v>
      </c>
      <c r="E178" s="79" t="s">
        <v>629</v>
      </c>
      <c r="F178" s="90">
        <f>'YARD IN'!JU176-'YARD OUT'!CF176</f>
        <v>60</v>
      </c>
      <c r="G178" s="91">
        <f t="shared" si="10"/>
        <v>142</v>
      </c>
      <c r="H178" s="92">
        <f>'S019 JAFURRA OUT'!K176-'S019 JAFURRA IN'!I176</f>
        <v>0</v>
      </c>
      <c r="I178" s="92">
        <f>'S020 DAMMAM OUT'!S176-'S020 DAMMAM IN'!I176</f>
        <v>50</v>
      </c>
      <c r="J178" s="92">
        <f>'S015 JAFFURA OUT'!DE176-'S015 JAFFURA IN'!AG176</f>
        <v>0</v>
      </c>
      <c r="K178" s="92">
        <f>'S016 JAFFURA OUT'!N176-'S016 JAFFURA IN'!N176</f>
        <v>0</v>
      </c>
      <c r="L178" s="92">
        <f>'S013 MARJAN OUT'!YX176-'S013 MARJAN IN'!PY176</f>
        <v>0</v>
      </c>
      <c r="M178" s="92">
        <f>'S022 FADHALI OUT'!BW176-'S022 FADHALI IN'!N176</f>
        <v>50</v>
      </c>
      <c r="N178" s="92">
        <f>'S012 OYUN OUT'!AQ176-'S012 OYUN IN'!K176</f>
        <v>42</v>
      </c>
      <c r="O178" s="92">
        <f>'JAFFURA-NMP-01 OUT'!Y176-'JAFFURA-NMP-01 IN'!L176</f>
        <v>0</v>
      </c>
      <c r="P178" s="92">
        <f>'RENTAL MATERIAL OUT'!BM176-'RENTAL MATERIAL IN'!M176</f>
        <v>0</v>
      </c>
      <c r="Q178" s="92">
        <f>'ABU DHABI OUT'!DP176-'ABU DHABI IN'!AY176</f>
        <v>0</v>
      </c>
      <c r="R178" s="93">
        <f t="shared" si="11"/>
        <v>202</v>
      </c>
      <c r="S178" s="96">
        <v>3.53</v>
      </c>
      <c r="T178" s="2">
        <f t="shared" si="15"/>
        <v>202</v>
      </c>
    </row>
    <row r="179" spans="1:20" ht="16.5" thickTop="1" thickBot="1" x14ac:dyDescent="0.3">
      <c r="A179" s="87">
        <f>SUBTOTAL(3,$B$7:B179)</f>
        <v>173</v>
      </c>
      <c r="B179" s="87" t="s">
        <v>35</v>
      </c>
      <c r="C179" s="140" t="s">
        <v>600</v>
      </c>
      <c r="D179" s="89" t="s">
        <v>12</v>
      </c>
      <c r="E179" s="79" t="s">
        <v>629</v>
      </c>
      <c r="F179" s="90">
        <f>'YARD IN'!JU177-'YARD OUT'!CF177</f>
        <v>0</v>
      </c>
      <c r="G179" s="91">
        <f t="shared" si="10"/>
        <v>0</v>
      </c>
      <c r="H179" s="92">
        <f>'S019 JAFURRA OUT'!K177-'S019 JAFURRA IN'!I177</f>
        <v>0</v>
      </c>
      <c r="I179" s="92">
        <f>'S020 DAMMAM OUT'!S177-'S020 DAMMAM IN'!I177</f>
        <v>0</v>
      </c>
      <c r="J179" s="92">
        <f>'S015 JAFFURA OUT'!DE177-'S015 JAFFURA IN'!AG177</f>
        <v>0</v>
      </c>
      <c r="K179" s="92">
        <f>'S016 JAFFURA OUT'!N177-'S016 JAFFURA IN'!N177</f>
        <v>0</v>
      </c>
      <c r="L179" s="92">
        <f>'S013 MARJAN OUT'!YX177-'S013 MARJAN IN'!PY177</f>
        <v>0</v>
      </c>
      <c r="M179" s="92">
        <f>'S022 FADHALI OUT'!BW177-'S022 FADHALI IN'!N177</f>
        <v>0</v>
      </c>
      <c r="N179" s="92">
        <f>'S012 OYUN OUT'!AQ177-'S012 OYUN IN'!K177</f>
        <v>0</v>
      </c>
      <c r="O179" s="92">
        <f>'JAFFURA-NMP-01 OUT'!Y177-'JAFFURA-NMP-01 IN'!L177</f>
        <v>0</v>
      </c>
      <c r="P179" s="92">
        <f>'RENTAL MATERIAL OUT'!BM177-'RENTAL MATERIAL IN'!M177</f>
        <v>0</v>
      </c>
      <c r="Q179" s="92">
        <f>'ABU DHABI OUT'!DP177-'ABU DHABI IN'!AY177</f>
        <v>0</v>
      </c>
      <c r="R179" s="93">
        <f t="shared" si="11"/>
        <v>0</v>
      </c>
      <c r="S179" s="96">
        <v>12.36</v>
      </c>
      <c r="T179" s="2">
        <f t="shared" si="15"/>
        <v>0</v>
      </c>
    </row>
    <row r="180" spans="1:20" ht="16.5" thickTop="1" thickBot="1" x14ac:dyDescent="0.3">
      <c r="A180" s="87">
        <f>SUBTOTAL(3,$B$7:B180)</f>
        <v>174</v>
      </c>
      <c r="B180" s="87" t="s">
        <v>35</v>
      </c>
      <c r="C180" s="140" t="s">
        <v>601</v>
      </c>
      <c r="D180" s="89" t="s">
        <v>12</v>
      </c>
      <c r="E180" s="79" t="s">
        <v>629</v>
      </c>
      <c r="F180" s="90">
        <f>'YARD IN'!JU178-'YARD OUT'!CF178</f>
        <v>0</v>
      </c>
      <c r="G180" s="91">
        <f t="shared" si="10"/>
        <v>0</v>
      </c>
      <c r="H180" s="92">
        <f>'S019 JAFURRA OUT'!K178-'S019 JAFURRA IN'!I178</f>
        <v>0</v>
      </c>
      <c r="I180" s="92">
        <f>'S020 DAMMAM OUT'!S178-'S020 DAMMAM IN'!I178</f>
        <v>0</v>
      </c>
      <c r="J180" s="92">
        <f>'S015 JAFFURA OUT'!DE178-'S015 JAFFURA IN'!AG178</f>
        <v>0</v>
      </c>
      <c r="K180" s="92">
        <f>'S016 JAFFURA OUT'!N178-'S016 JAFFURA IN'!N178</f>
        <v>0</v>
      </c>
      <c r="L180" s="92">
        <f>'S013 MARJAN OUT'!YX178-'S013 MARJAN IN'!PY178</f>
        <v>0</v>
      </c>
      <c r="M180" s="92">
        <f>'S022 FADHALI OUT'!BW178-'S022 FADHALI IN'!N178</f>
        <v>0</v>
      </c>
      <c r="N180" s="92">
        <f>'S012 OYUN OUT'!AQ178-'S012 OYUN IN'!K178</f>
        <v>0</v>
      </c>
      <c r="O180" s="92">
        <f>'JAFFURA-NMP-01 OUT'!Y178-'JAFFURA-NMP-01 IN'!L178</f>
        <v>0</v>
      </c>
      <c r="P180" s="92">
        <f>'RENTAL MATERIAL OUT'!BM178-'RENTAL MATERIAL IN'!M178</f>
        <v>0</v>
      </c>
      <c r="Q180" s="92">
        <f>'ABU DHABI OUT'!DP178-'ABU DHABI IN'!AY178</f>
        <v>0</v>
      </c>
      <c r="R180" s="93">
        <f t="shared" si="11"/>
        <v>0</v>
      </c>
      <c r="S180" s="96">
        <v>8.83</v>
      </c>
      <c r="T180" s="2">
        <f t="shared" si="15"/>
        <v>0</v>
      </c>
    </row>
    <row r="181" spans="1:20" ht="16.5" thickTop="1" thickBot="1" x14ac:dyDescent="0.3">
      <c r="A181" s="87">
        <f>SUBTOTAL(3,$B$7:B181)</f>
        <v>175</v>
      </c>
      <c r="B181" s="87" t="s">
        <v>35</v>
      </c>
      <c r="C181" s="140" t="s">
        <v>1383</v>
      </c>
      <c r="D181" s="89" t="s">
        <v>12</v>
      </c>
      <c r="E181" s="79" t="s">
        <v>629</v>
      </c>
      <c r="F181" s="90">
        <f>'YARD IN'!JU179-'YARD OUT'!CF179</f>
        <v>1</v>
      </c>
      <c r="G181" s="91">
        <f t="shared" si="10"/>
        <v>0</v>
      </c>
      <c r="H181" s="92">
        <f>'S019 JAFURRA OUT'!K179-'S019 JAFURRA IN'!I179</f>
        <v>0</v>
      </c>
      <c r="I181" s="92">
        <f>'S020 DAMMAM OUT'!S179-'S020 DAMMAM IN'!I179</f>
        <v>0</v>
      </c>
      <c r="J181" s="92">
        <v>0</v>
      </c>
      <c r="K181" s="92">
        <f>'S016 JAFFURA OUT'!N179-'S016 JAFFURA IN'!N179</f>
        <v>0</v>
      </c>
      <c r="L181" s="92">
        <f>'S013 MARJAN OUT'!YX179-'S013 MARJAN IN'!PY179</f>
        <v>0</v>
      </c>
      <c r="M181" s="92">
        <f>'S022 FADHALI OUT'!BW179-'S022 FADHALI IN'!N179</f>
        <v>0</v>
      </c>
      <c r="N181" s="92">
        <f>'S012 OYUN OUT'!AQ179-'S012 OYUN IN'!K179</f>
        <v>0</v>
      </c>
      <c r="O181" s="92">
        <f>'JAFFURA-NMP-01 OUT'!Y179-'JAFFURA-NMP-01 IN'!L179</f>
        <v>0</v>
      </c>
      <c r="P181" s="92">
        <f>'RENTAL MATERIAL OUT'!BM179-'RENTAL MATERIAL IN'!M179</f>
        <v>0</v>
      </c>
      <c r="Q181" s="92">
        <f>'ABU DHABI OUT'!DP179-'ABU DHABI IN'!AY179</f>
        <v>0</v>
      </c>
      <c r="R181" s="93">
        <f t="shared" si="11"/>
        <v>1</v>
      </c>
      <c r="S181" s="95"/>
      <c r="T181" s="2">
        <f t="shared" si="15"/>
        <v>1</v>
      </c>
    </row>
    <row r="182" spans="1:20" ht="16.5" thickTop="1" thickBot="1" x14ac:dyDescent="0.3">
      <c r="A182" s="87">
        <f>SUBTOTAL(3,$B$7:B182)</f>
        <v>176</v>
      </c>
      <c r="B182" s="87" t="s">
        <v>35</v>
      </c>
      <c r="C182" s="140" t="s">
        <v>1557</v>
      </c>
      <c r="D182" s="89" t="s">
        <v>12</v>
      </c>
      <c r="E182" s="79" t="s">
        <v>630</v>
      </c>
      <c r="F182" s="90">
        <f>'YARD IN'!JU180-'YARD OUT'!CF180</f>
        <v>95</v>
      </c>
      <c r="G182" s="91">
        <f t="shared" si="10"/>
        <v>0</v>
      </c>
      <c r="H182" s="92">
        <f>'S019 JAFURRA OUT'!K180-'S019 JAFURRA IN'!I180</f>
        <v>0</v>
      </c>
      <c r="I182" s="92">
        <f>'S020 DAMMAM OUT'!S180-'S020 DAMMAM IN'!I180</f>
        <v>0</v>
      </c>
      <c r="J182" s="92">
        <f>'S015 JAFFURA OUT'!DE180-'S015 JAFFURA IN'!AG180</f>
        <v>0</v>
      </c>
      <c r="K182" s="92">
        <f>'S016 JAFFURA OUT'!N180-'S016 JAFFURA IN'!N180</f>
        <v>0</v>
      </c>
      <c r="L182" s="92">
        <f>'S013 MARJAN OUT'!YX180-'S013 MARJAN IN'!PY180</f>
        <v>0</v>
      </c>
      <c r="M182" s="92">
        <f>'S022 FADHALI OUT'!BW180-'S022 FADHALI IN'!N180</f>
        <v>0</v>
      </c>
      <c r="N182" s="92">
        <f>'S012 OYUN OUT'!AQ180-'S012 OYUN IN'!K180</f>
        <v>0</v>
      </c>
      <c r="O182" s="92">
        <f>'JAFFURA-NMP-01 OUT'!Y180-'JAFFURA-NMP-01 IN'!L180</f>
        <v>0</v>
      </c>
      <c r="P182" s="92">
        <f>'RENTAL MATERIAL OUT'!BM180-'RENTAL MATERIAL IN'!M180</f>
        <v>0</v>
      </c>
      <c r="Q182" s="92">
        <f>'ABU DHABI OUT'!DP180-'ABU DHABI IN'!AY180</f>
        <v>0</v>
      </c>
      <c r="R182" s="93">
        <f t="shared" si="11"/>
        <v>95</v>
      </c>
      <c r="S182" s="133">
        <v>28.85</v>
      </c>
    </row>
    <row r="183" spans="1:20" ht="16.5" thickTop="1" thickBot="1" x14ac:dyDescent="0.3">
      <c r="A183" s="87">
        <f>SUBTOTAL(3,$B$7:B183)</f>
        <v>177</v>
      </c>
      <c r="B183" s="87">
        <v>3000000008</v>
      </c>
      <c r="C183" s="140" t="s">
        <v>1565</v>
      </c>
      <c r="D183" s="89" t="s">
        <v>12</v>
      </c>
      <c r="E183" s="79" t="s">
        <v>630</v>
      </c>
      <c r="F183" s="90">
        <f>'YARD IN'!JU181-'YARD OUT'!CF181</f>
        <v>444</v>
      </c>
      <c r="G183" s="91">
        <f t="shared" si="10"/>
        <v>0</v>
      </c>
      <c r="H183" s="92">
        <f>'S019 JAFURRA OUT'!K181-'S019 JAFURRA IN'!I181</f>
        <v>0</v>
      </c>
      <c r="I183" s="92">
        <f>'S020 DAMMAM OUT'!S181-'S020 DAMMAM IN'!I181</f>
        <v>0</v>
      </c>
      <c r="J183" s="92">
        <f>'S015 JAFFURA OUT'!DE181-'S015 JAFFURA IN'!AG181</f>
        <v>0</v>
      </c>
      <c r="K183" s="92">
        <f>'S016 JAFFURA OUT'!N181-'S016 JAFFURA IN'!N181</f>
        <v>0</v>
      </c>
      <c r="L183" s="92">
        <f>'S013 MARJAN OUT'!YX181-'S013 MARJAN IN'!PY181</f>
        <v>0</v>
      </c>
      <c r="M183" s="92">
        <f>'S022 FADHALI OUT'!BW181-'S022 FADHALI IN'!N181</f>
        <v>0</v>
      </c>
      <c r="N183" s="92">
        <f>'S012 OYUN OUT'!AQ181-'S012 OYUN IN'!K181</f>
        <v>0</v>
      </c>
      <c r="O183" s="92">
        <f>'JAFFURA-NMP-01 OUT'!Y181-'JAFFURA-NMP-01 IN'!L181</f>
        <v>0</v>
      </c>
      <c r="P183" s="92">
        <f>'RENTAL MATERIAL OUT'!BM181-'RENTAL MATERIAL IN'!M181</f>
        <v>0</v>
      </c>
      <c r="Q183" s="92">
        <f>'ABU DHABI OUT'!DP181-'ABU DHABI IN'!AY181</f>
        <v>0</v>
      </c>
      <c r="R183" s="93">
        <f t="shared" si="11"/>
        <v>444</v>
      </c>
      <c r="S183" s="133">
        <v>12.61</v>
      </c>
    </row>
    <row r="184" spans="1:20" ht="16.5" thickTop="1" thickBot="1" x14ac:dyDescent="0.3">
      <c r="A184" s="87">
        <f>SUBTOTAL(3,$B$7:B184)</f>
        <v>178</v>
      </c>
      <c r="B184" s="87" t="s">
        <v>35</v>
      </c>
      <c r="C184" s="140" t="s">
        <v>1662</v>
      </c>
      <c r="D184" s="89" t="s">
        <v>12</v>
      </c>
      <c r="E184" s="79" t="s">
        <v>630</v>
      </c>
      <c r="F184" s="90">
        <f>'YARD IN'!JU182-'YARD OUT'!CF182</f>
        <v>251</v>
      </c>
      <c r="G184" s="91">
        <f t="shared" si="10"/>
        <v>0</v>
      </c>
      <c r="H184" s="92">
        <f>'S019 JAFURRA OUT'!K182-'S019 JAFURRA IN'!I182</f>
        <v>0</v>
      </c>
      <c r="I184" s="92">
        <f>'S020 DAMMAM OUT'!S182-'S020 DAMMAM IN'!I182</f>
        <v>0</v>
      </c>
      <c r="J184" s="92">
        <f>'S015 JAFFURA OUT'!DE182-'S015 JAFFURA IN'!AG182</f>
        <v>0</v>
      </c>
      <c r="K184" s="92">
        <f>'S016 JAFFURA OUT'!N182-'S016 JAFFURA IN'!N182</f>
        <v>0</v>
      </c>
      <c r="L184" s="92">
        <f>'S013 MARJAN OUT'!YX182-'S013 MARJAN IN'!PY182</f>
        <v>0</v>
      </c>
      <c r="M184" s="92">
        <f>'S022 FADHALI OUT'!BW182-'S022 FADHALI IN'!N182</f>
        <v>0</v>
      </c>
      <c r="N184" s="92">
        <f>'S012 OYUN OUT'!AQ182-'S012 OYUN IN'!K182</f>
        <v>0</v>
      </c>
      <c r="O184" s="92">
        <f>'JAFFURA-NMP-01 OUT'!Y182-'JAFFURA-NMP-01 IN'!L182</f>
        <v>0</v>
      </c>
      <c r="P184" s="92">
        <f>'RENTAL MATERIAL OUT'!BM182-'RENTAL MATERIAL IN'!M182</f>
        <v>0</v>
      </c>
      <c r="Q184" s="92">
        <f>'ABU DHABI OUT'!DP182-'ABU DHABI IN'!AY182</f>
        <v>0</v>
      </c>
      <c r="R184" s="93">
        <f t="shared" si="11"/>
        <v>251</v>
      </c>
      <c r="S184" s="133">
        <v>0.7</v>
      </c>
    </row>
    <row r="185" spans="1:20" ht="16.5" thickTop="1" thickBot="1" x14ac:dyDescent="0.3">
      <c r="A185" s="87">
        <f>SUBTOTAL(3,$B$7:B185)</f>
        <v>179</v>
      </c>
      <c r="B185" s="87" t="s">
        <v>35</v>
      </c>
      <c r="C185" s="140" t="s">
        <v>1574</v>
      </c>
      <c r="D185" s="89" t="s">
        <v>12</v>
      </c>
      <c r="E185" s="79" t="s">
        <v>630</v>
      </c>
      <c r="F185" s="90">
        <f>'YARD IN'!JU183-'YARD OUT'!CF183</f>
        <v>196</v>
      </c>
      <c r="G185" s="91">
        <f t="shared" si="10"/>
        <v>0</v>
      </c>
      <c r="H185" s="92">
        <f>'S019 JAFURRA OUT'!K183-'S019 JAFURRA IN'!I183</f>
        <v>0</v>
      </c>
      <c r="I185" s="92">
        <f>'S020 DAMMAM OUT'!S183-'S020 DAMMAM IN'!I183</f>
        <v>0</v>
      </c>
      <c r="J185" s="92">
        <f>'S015 JAFFURA OUT'!DE183-'S015 JAFFURA IN'!AG183</f>
        <v>0</v>
      </c>
      <c r="K185" s="92">
        <f>'S016 JAFFURA OUT'!N183-'S016 JAFFURA IN'!N183</f>
        <v>0</v>
      </c>
      <c r="L185" s="92">
        <f>'S013 MARJAN OUT'!YX183-'S013 MARJAN IN'!PY183</f>
        <v>0</v>
      </c>
      <c r="M185" s="92">
        <f>'S022 FADHALI OUT'!BW183-'S022 FADHALI IN'!N183</f>
        <v>0</v>
      </c>
      <c r="N185" s="92">
        <f>'S012 OYUN OUT'!AQ183-'S012 OYUN IN'!K183</f>
        <v>0</v>
      </c>
      <c r="O185" s="92">
        <f>'JAFFURA-NMP-01 OUT'!Y183-'JAFFURA-NMP-01 IN'!L183</f>
        <v>0</v>
      </c>
      <c r="P185" s="92">
        <f>'RENTAL MATERIAL OUT'!BM183-'RENTAL MATERIAL IN'!M183</f>
        <v>0</v>
      </c>
      <c r="Q185" s="92">
        <f>'ABU DHABI OUT'!DP183-'ABU DHABI IN'!AY183</f>
        <v>0</v>
      </c>
      <c r="R185" s="93">
        <f t="shared" si="11"/>
        <v>196</v>
      </c>
    </row>
    <row r="186" spans="1:20" ht="16.5" thickTop="1" thickBot="1" x14ac:dyDescent="0.3">
      <c r="A186" s="87">
        <f>SUBTOTAL(3,$B$7:B186)</f>
        <v>180</v>
      </c>
      <c r="B186" s="87">
        <v>1000014673</v>
      </c>
      <c r="C186" s="140" t="s">
        <v>1575</v>
      </c>
      <c r="D186" s="89" t="s">
        <v>12</v>
      </c>
      <c r="E186" s="79" t="s">
        <v>630</v>
      </c>
      <c r="F186" s="90">
        <f>'YARD IN'!JU184-'YARD OUT'!CF184</f>
        <v>0</v>
      </c>
      <c r="G186" s="91">
        <f t="shared" si="10"/>
        <v>0</v>
      </c>
      <c r="H186" s="92">
        <f>'S019 JAFURRA OUT'!K184-'S019 JAFURRA IN'!I184</f>
        <v>0</v>
      </c>
      <c r="I186" s="92">
        <f>'S020 DAMMAM OUT'!S184-'S020 DAMMAM IN'!I184</f>
        <v>0</v>
      </c>
      <c r="J186" s="92">
        <f>'S015 JAFFURA OUT'!DE184-'S015 JAFFURA IN'!AG184</f>
        <v>0</v>
      </c>
      <c r="K186" s="92">
        <f>'S016 JAFFURA OUT'!N184-'S016 JAFFURA IN'!N184</f>
        <v>0</v>
      </c>
      <c r="L186" s="92">
        <f>'S013 MARJAN OUT'!YX184-'S013 MARJAN IN'!PY184</f>
        <v>0</v>
      </c>
      <c r="M186" s="92">
        <f>'S022 FADHALI OUT'!BW184-'S022 FADHALI IN'!N184</f>
        <v>0</v>
      </c>
      <c r="N186" s="92">
        <f>'S012 OYUN OUT'!AQ184-'S012 OYUN IN'!K184</f>
        <v>0</v>
      </c>
      <c r="O186" s="92">
        <f>'JAFFURA-NMP-01 OUT'!Y184-'JAFFURA-NMP-01 IN'!L184</f>
        <v>0</v>
      </c>
      <c r="P186" s="92">
        <f>'RENTAL MATERIAL OUT'!BM184-'RENTAL MATERIAL IN'!M184</f>
        <v>0</v>
      </c>
      <c r="Q186" s="92">
        <f>'ABU DHABI OUT'!DP184-'ABU DHABI IN'!AY184</f>
        <v>0</v>
      </c>
      <c r="R186" s="93">
        <f t="shared" si="11"/>
        <v>0</v>
      </c>
      <c r="S186" s="95"/>
    </row>
    <row r="187" spans="1:20" ht="16.5" thickTop="1" thickBot="1" x14ac:dyDescent="0.3">
      <c r="A187" s="87">
        <f>SUBTOTAL(3,$B$7:B187)</f>
        <v>181</v>
      </c>
      <c r="B187" s="87">
        <v>4000021502</v>
      </c>
      <c r="C187" s="140" t="s">
        <v>1576</v>
      </c>
      <c r="D187" s="89" t="s">
        <v>12</v>
      </c>
      <c r="E187" s="79" t="s">
        <v>630</v>
      </c>
      <c r="F187" s="90">
        <f>'YARD IN'!JU185-'YARD OUT'!CF185</f>
        <v>216</v>
      </c>
      <c r="G187" s="91">
        <f t="shared" si="10"/>
        <v>0</v>
      </c>
      <c r="H187" s="92">
        <f>'S019 JAFURRA OUT'!K185-'S019 JAFURRA IN'!I185</f>
        <v>0</v>
      </c>
      <c r="I187" s="92">
        <f>'S020 DAMMAM OUT'!S185-'S020 DAMMAM IN'!I185</f>
        <v>0</v>
      </c>
      <c r="J187" s="92">
        <f>'S015 JAFFURA OUT'!DE185-'S015 JAFFURA IN'!AG185</f>
        <v>0</v>
      </c>
      <c r="K187" s="92">
        <f>'S016 JAFFURA OUT'!N185-'S016 JAFFURA IN'!N185</f>
        <v>0</v>
      </c>
      <c r="L187" s="92">
        <f>'S013 MARJAN OUT'!YX185-'S013 MARJAN IN'!PY185</f>
        <v>0</v>
      </c>
      <c r="M187" s="92">
        <f>'S022 FADHALI OUT'!BW185-'S022 FADHALI IN'!N185</f>
        <v>0</v>
      </c>
      <c r="N187" s="92">
        <f>'S012 OYUN OUT'!AQ185-'S012 OYUN IN'!K185</f>
        <v>0</v>
      </c>
      <c r="O187" s="92">
        <f>'JAFFURA-NMP-01 OUT'!Y185-'JAFFURA-NMP-01 IN'!L185</f>
        <v>0</v>
      </c>
      <c r="P187" s="92">
        <f>'RENTAL MATERIAL OUT'!BM185-'RENTAL MATERIAL IN'!M185</f>
        <v>0</v>
      </c>
      <c r="Q187" s="92">
        <f>'ABU DHABI OUT'!DP185-'ABU DHABI IN'!AY185</f>
        <v>0</v>
      </c>
      <c r="R187" s="93">
        <f t="shared" si="11"/>
        <v>216</v>
      </c>
    </row>
    <row r="188" spans="1:20" ht="16.5" thickTop="1" thickBot="1" x14ac:dyDescent="0.3">
      <c r="A188" s="87">
        <f>SUBTOTAL(3,$B$7:B188)</f>
        <v>182</v>
      </c>
      <c r="B188" s="87">
        <v>3000002696</v>
      </c>
      <c r="C188" s="140" t="s">
        <v>1580</v>
      </c>
      <c r="D188" s="89" t="s">
        <v>12</v>
      </c>
      <c r="E188" s="79" t="s">
        <v>629</v>
      </c>
      <c r="F188" s="90">
        <f>'YARD IN'!JU186-'YARD OUT'!CF186</f>
        <v>11</v>
      </c>
      <c r="G188" s="91">
        <f t="shared" si="10"/>
        <v>0</v>
      </c>
      <c r="H188" s="92">
        <f>'S019 JAFURRA OUT'!K186-'S019 JAFURRA IN'!I186</f>
        <v>0</v>
      </c>
      <c r="I188" s="92">
        <f>'S020 DAMMAM OUT'!S186-'S020 DAMMAM IN'!I186</f>
        <v>0</v>
      </c>
      <c r="J188" s="92">
        <f>'S015 JAFFURA OUT'!DE186-'S015 JAFFURA IN'!AG186</f>
        <v>0</v>
      </c>
      <c r="K188" s="92">
        <f>'S016 JAFFURA OUT'!N186-'S016 JAFFURA IN'!N186</f>
        <v>0</v>
      </c>
      <c r="L188" s="92">
        <f>'S013 MARJAN OUT'!YX186-'S013 MARJAN IN'!PY186</f>
        <v>0</v>
      </c>
      <c r="M188" s="92">
        <f>'S022 FADHALI OUT'!BW186-'S022 FADHALI IN'!N186</f>
        <v>0</v>
      </c>
      <c r="N188" s="92">
        <f>'S012 OYUN OUT'!AQ186-'S012 OYUN IN'!K186</f>
        <v>0</v>
      </c>
      <c r="O188" s="92">
        <f>'JAFFURA-NMP-01 OUT'!Y186-'JAFFURA-NMP-01 IN'!L186</f>
        <v>0</v>
      </c>
      <c r="P188" s="92">
        <f>'RENTAL MATERIAL OUT'!BM186-'RENTAL MATERIAL IN'!M186</f>
        <v>0</v>
      </c>
      <c r="Q188" s="92">
        <f>'ABU DHABI OUT'!DP186-'ABU DHABI IN'!AY186</f>
        <v>0</v>
      </c>
      <c r="R188" s="93">
        <f t="shared" si="11"/>
        <v>11</v>
      </c>
      <c r="T188" s="2">
        <f t="shared" ref="T188:T189" si="16">+SUM(R188+Q188)</f>
        <v>11</v>
      </c>
    </row>
    <row r="189" spans="1:20" ht="16.5" thickTop="1" thickBot="1" x14ac:dyDescent="0.3">
      <c r="A189" s="87">
        <f>SUBTOTAL(3,$B$7:B189)</f>
        <v>183</v>
      </c>
      <c r="B189" s="87">
        <v>3000000707</v>
      </c>
      <c r="C189" s="140" t="s">
        <v>1618</v>
      </c>
      <c r="D189" s="89" t="s">
        <v>12</v>
      </c>
      <c r="E189" s="79" t="s">
        <v>629</v>
      </c>
      <c r="F189" s="90">
        <f>'YARD IN'!JU187-'YARD OUT'!CF187</f>
        <v>0</v>
      </c>
      <c r="G189" s="91">
        <f t="shared" si="10"/>
        <v>52</v>
      </c>
      <c r="H189" s="92">
        <f>'S019 JAFURRA OUT'!K187-'S019 JAFURRA IN'!I187</f>
        <v>0</v>
      </c>
      <c r="I189" s="92">
        <f>'S020 DAMMAM OUT'!S187-'S020 DAMMAM IN'!I187</f>
        <v>0</v>
      </c>
      <c r="J189" s="92">
        <f>'S015 JAFFURA OUT'!DE187-'S015 JAFFURA IN'!AG187</f>
        <v>0</v>
      </c>
      <c r="K189" s="92">
        <f>'S016 JAFFURA OUT'!N187-'S016 JAFFURA IN'!N187</f>
        <v>0</v>
      </c>
      <c r="L189" s="92">
        <f>'S013 MARJAN OUT'!YX187-'S013 MARJAN IN'!PY187</f>
        <v>0</v>
      </c>
      <c r="M189" s="92">
        <f>'S022 FADHALI OUT'!BW187-'S022 FADHALI IN'!N187</f>
        <v>0</v>
      </c>
      <c r="N189" s="92">
        <f>'S012 OYUN OUT'!AQ187-'S012 OYUN IN'!K187</f>
        <v>52</v>
      </c>
      <c r="O189" s="92">
        <f>'JAFFURA-NMP-01 OUT'!Y187-'JAFFURA-NMP-01 IN'!L187</f>
        <v>0</v>
      </c>
      <c r="P189" s="92">
        <f>'RENTAL MATERIAL OUT'!BM187-'RENTAL MATERIAL IN'!M187</f>
        <v>0</v>
      </c>
      <c r="Q189" s="92">
        <f>'ABU DHABI OUT'!DP187-'ABU DHABI IN'!AY187</f>
        <v>0</v>
      </c>
      <c r="R189" s="93">
        <f t="shared" si="11"/>
        <v>52</v>
      </c>
      <c r="T189" s="2">
        <f t="shared" si="16"/>
        <v>52</v>
      </c>
    </row>
    <row r="190" spans="1:20" ht="15.75" thickTop="1" x14ac:dyDescent="0.25">
      <c r="B190" s="2"/>
      <c r="C190" s="2"/>
      <c r="F190" s="2"/>
    </row>
    <row r="191" spans="1:20" x14ac:dyDescent="0.25">
      <c r="B191" s="2"/>
      <c r="C191" s="2"/>
      <c r="F191" s="2"/>
    </row>
    <row r="192" spans="1:20" x14ac:dyDescent="0.25">
      <c r="B192" s="2"/>
      <c r="C192" s="2"/>
      <c r="F192" s="2"/>
    </row>
    <row r="193" spans="2:6" x14ac:dyDescent="0.25">
      <c r="B193" s="2"/>
      <c r="C193" s="2"/>
      <c r="F193" s="2"/>
    </row>
    <row r="194" spans="2:6" x14ac:dyDescent="0.25">
      <c r="B194" s="2"/>
      <c r="C194" s="2"/>
      <c r="F194" s="2"/>
    </row>
    <row r="195" spans="2:6" x14ac:dyDescent="0.25">
      <c r="B195" s="2"/>
      <c r="C195" s="2"/>
      <c r="F195" s="2"/>
    </row>
    <row r="196" spans="2:6" x14ac:dyDescent="0.25">
      <c r="B196" s="2"/>
      <c r="C196" s="2"/>
      <c r="F196" s="2"/>
    </row>
    <row r="197" spans="2:6" x14ac:dyDescent="0.25">
      <c r="B197" s="2"/>
      <c r="C197" s="2"/>
      <c r="F197" s="2"/>
    </row>
    <row r="198" spans="2:6" x14ac:dyDescent="0.25">
      <c r="B198" s="2"/>
      <c r="C198" s="2"/>
      <c r="F198" s="2"/>
    </row>
    <row r="199" spans="2:6" x14ac:dyDescent="0.25">
      <c r="B199" s="2"/>
      <c r="C199" s="2"/>
      <c r="F199" s="2"/>
    </row>
    <row r="200" spans="2:6" x14ac:dyDescent="0.25">
      <c r="B200" s="2"/>
      <c r="C200" s="2"/>
      <c r="F200" s="2"/>
    </row>
    <row r="201" spans="2:6" x14ac:dyDescent="0.25">
      <c r="B201" s="2"/>
      <c r="C201" s="2"/>
      <c r="F201" s="2"/>
    </row>
    <row r="202" spans="2:6" x14ac:dyDescent="0.25">
      <c r="B202" s="2"/>
      <c r="C202" s="2"/>
      <c r="F202" s="2"/>
    </row>
    <row r="203" spans="2:6" x14ac:dyDescent="0.25">
      <c r="B203" s="2"/>
      <c r="C203" s="2"/>
      <c r="F203" s="2"/>
    </row>
    <row r="204" spans="2:6" x14ac:dyDescent="0.25">
      <c r="B204" s="2"/>
      <c r="C204" s="2"/>
      <c r="F204" s="2"/>
    </row>
    <row r="205" spans="2:6" x14ac:dyDescent="0.25">
      <c r="B205" s="2"/>
      <c r="C205" s="2"/>
      <c r="F205" s="2"/>
    </row>
    <row r="206" spans="2:6" x14ac:dyDescent="0.25">
      <c r="B206" s="2"/>
      <c r="C206" s="2"/>
      <c r="F206" s="2"/>
    </row>
    <row r="207" spans="2:6" x14ac:dyDescent="0.25">
      <c r="B207" s="2"/>
      <c r="C207" s="2"/>
      <c r="F207" s="2"/>
    </row>
    <row r="208" spans="2:6" x14ac:dyDescent="0.25">
      <c r="B208" s="2"/>
      <c r="C208" s="2"/>
      <c r="F208" s="2"/>
    </row>
    <row r="209" spans="2:6" x14ac:dyDescent="0.25">
      <c r="B209" s="2"/>
      <c r="C209" s="2"/>
      <c r="F209" s="2"/>
    </row>
    <row r="210" spans="2:6" x14ac:dyDescent="0.25">
      <c r="B210" s="2"/>
      <c r="C210" s="2"/>
      <c r="F210" s="2"/>
    </row>
    <row r="211" spans="2:6" x14ac:dyDescent="0.25">
      <c r="B211" s="2"/>
      <c r="C211" s="2"/>
      <c r="F211" s="2"/>
    </row>
    <row r="212" spans="2:6" x14ac:dyDescent="0.25">
      <c r="B212" s="2"/>
      <c r="C212" s="2"/>
      <c r="F212" s="2"/>
    </row>
    <row r="213" spans="2:6" x14ac:dyDescent="0.25">
      <c r="B213" s="2"/>
      <c r="C213" s="2"/>
      <c r="F213" s="2"/>
    </row>
    <row r="214" spans="2:6" x14ac:dyDescent="0.25">
      <c r="B214" s="2"/>
      <c r="C214" s="2"/>
      <c r="F214" s="2"/>
    </row>
    <row r="215" spans="2:6" x14ac:dyDescent="0.25">
      <c r="B215" s="2"/>
      <c r="C215" s="2"/>
      <c r="F215" s="2"/>
    </row>
    <row r="216" spans="2:6" x14ac:dyDescent="0.25">
      <c r="B216" s="2"/>
      <c r="C216" s="2"/>
      <c r="F216" s="2"/>
    </row>
    <row r="217" spans="2:6" x14ac:dyDescent="0.25">
      <c r="B217" s="2"/>
      <c r="C217" s="2"/>
      <c r="F217" s="2"/>
    </row>
    <row r="218" spans="2:6" x14ac:dyDescent="0.25">
      <c r="B218" s="2"/>
      <c r="C218" s="2"/>
      <c r="F218" s="2"/>
    </row>
    <row r="219" spans="2:6" x14ac:dyDescent="0.25">
      <c r="B219" s="2"/>
      <c r="C219" s="2"/>
      <c r="F219" s="2"/>
    </row>
    <row r="220" spans="2:6" x14ac:dyDescent="0.25">
      <c r="B220" s="2"/>
      <c r="C220" s="2"/>
      <c r="F220" s="2"/>
    </row>
    <row r="221" spans="2:6" x14ac:dyDescent="0.25">
      <c r="B221" s="2"/>
      <c r="C221" s="2"/>
      <c r="F221" s="2"/>
    </row>
    <row r="222" spans="2:6" x14ac:dyDescent="0.25">
      <c r="B222" s="2"/>
      <c r="C222" s="2"/>
      <c r="F222" s="2"/>
    </row>
    <row r="223" spans="2:6" x14ac:dyDescent="0.25">
      <c r="B223" s="2"/>
      <c r="C223" s="2"/>
      <c r="F223" s="2"/>
    </row>
    <row r="224" spans="2:6" x14ac:dyDescent="0.25">
      <c r="B224" s="2"/>
      <c r="C224" s="2"/>
      <c r="F224" s="2"/>
    </row>
    <row r="225" spans="2:6" x14ac:dyDescent="0.25">
      <c r="B225" s="2"/>
      <c r="C225" s="2"/>
      <c r="F225" s="2"/>
    </row>
    <row r="226" spans="2:6" x14ac:dyDescent="0.25">
      <c r="B226" s="2"/>
      <c r="C226" s="2"/>
      <c r="F226" s="2"/>
    </row>
    <row r="227" spans="2:6" x14ac:dyDescent="0.25">
      <c r="B227" s="2"/>
      <c r="C227" s="2"/>
      <c r="F227" s="2"/>
    </row>
    <row r="228" spans="2:6" x14ac:dyDescent="0.25">
      <c r="B228" s="2"/>
      <c r="C228" s="2"/>
      <c r="F228" s="2"/>
    </row>
    <row r="229" spans="2:6" x14ac:dyDescent="0.25">
      <c r="B229" s="2"/>
      <c r="C229" s="2"/>
      <c r="F229" s="2"/>
    </row>
    <row r="230" spans="2:6" x14ac:dyDescent="0.25">
      <c r="B230" s="2"/>
      <c r="C230" s="2"/>
      <c r="F230" s="2"/>
    </row>
    <row r="231" spans="2:6" x14ac:dyDescent="0.25">
      <c r="B231" s="2"/>
      <c r="C231" s="2"/>
      <c r="F231" s="2"/>
    </row>
    <row r="232" spans="2:6" x14ac:dyDescent="0.25">
      <c r="B232" s="2"/>
      <c r="C232" s="2"/>
      <c r="F232" s="2"/>
    </row>
    <row r="233" spans="2:6" x14ac:dyDescent="0.25">
      <c r="B233" s="2"/>
      <c r="C233" s="2"/>
      <c r="F233" s="2"/>
    </row>
    <row r="234" spans="2:6" x14ac:dyDescent="0.25">
      <c r="B234" s="2"/>
      <c r="C234" s="2"/>
      <c r="F234" s="2"/>
    </row>
    <row r="235" spans="2:6" x14ac:dyDescent="0.25">
      <c r="B235" s="2"/>
      <c r="C235" s="2"/>
      <c r="F235" s="2"/>
    </row>
    <row r="236" spans="2:6" x14ac:dyDescent="0.25">
      <c r="B236" s="2"/>
      <c r="C236" s="2"/>
      <c r="F236" s="2"/>
    </row>
    <row r="237" spans="2:6" x14ac:dyDescent="0.25">
      <c r="B237" s="2"/>
      <c r="C237" s="2"/>
      <c r="F237" s="2"/>
    </row>
    <row r="238" spans="2:6" x14ac:dyDescent="0.25">
      <c r="B238" s="2"/>
      <c r="C238" s="2"/>
      <c r="F238" s="2"/>
    </row>
    <row r="239" spans="2:6" x14ac:dyDescent="0.25">
      <c r="B239" s="2"/>
      <c r="C239" s="2"/>
      <c r="F239" s="2"/>
    </row>
    <row r="240" spans="2:6" x14ac:dyDescent="0.25">
      <c r="B240" s="2"/>
      <c r="C240" s="2"/>
      <c r="F240" s="2"/>
    </row>
    <row r="241" spans="2:6" x14ac:dyDescent="0.25">
      <c r="B241" s="2"/>
      <c r="C241" s="2"/>
      <c r="F241" s="2"/>
    </row>
    <row r="242" spans="2:6" x14ac:dyDescent="0.25">
      <c r="B242" s="2"/>
      <c r="C242" s="2"/>
      <c r="F242" s="2"/>
    </row>
    <row r="243" spans="2:6" x14ac:dyDescent="0.25">
      <c r="B243" s="2"/>
      <c r="C243" s="2"/>
      <c r="F243" s="2"/>
    </row>
    <row r="244" spans="2:6" x14ac:dyDescent="0.25">
      <c r="B244" s="2"/>
      <c r="C244" s="2"/>
      <c r="F244" s="2"/>
    </row>
    <row r="245" spans="2:6" x14ac:dyDescent="0.25">
      <c r="B245" s="2"/>
      <c r="C245" s="2"/>
      <c r="F245" s="2"/>
    </row>
    <row r="246" spans="2:6" x14ac:dyDescent="0.25">
      <c r="B246" s="2"/>
      <c r="C246" s="2"/>
      <c r="F246" s="2"/>
    </row>
    <row r="247" spans="2:6" x14ac:dyDescent="0.25">
      <c r="B247" s="2"/>
      <c r="C247" s="2"/>
      <c r="F247" s="2"/>
    </row>
    <row r="248" spans="2:6" x14ac:dyDescent="0.25">
      <c r="B248" s="2"/>
      <c r="C248" s="2"/>
      <c r="F248" s="2"/>
    </row>
    <row r="249" spans="2:6" x14ac:dyDescent="0.25">
      <c r="B249" s="2"/>
      <c r="C249" s="2"/>
      <c r="F249" s="2"/>
    </row>
    <row r="250" spans="2:6" x14ac:dyDescent="0.25">
      <c r="B250" s="2"/>
      <c r="C250" s="2"/>
      <c r="F250" s="2"/>
    </row>
    <row r="251" spans="2:6" x14ac:dyDescent="0.25">
      <c r="B251" s="2"/>
      <c r="C251" s="2"/>
      <c r="F251" s="2"/>
    </row>
    <row r="252" spans="2:6" x14ac:dyDescent="0.25">
      <c r="B252" s="2"/>
      <c r="C252" s="2"/>
      <c r="F252" s="2"/>
    </row>
    <row r="253" spans="2:6" x14ac:dyDescent="0.25">
      <c r="B253" s="2"/>
      <c r="C253" s="2"/>
      <c r="F253" s="2"/>
    </row>
    <row r="254" spans="2:6" x14ac:dyDescent="0.25">
      <c r="B254" s="2"/>
      <c r="C254" s="2"/>
      <c r="F254" s="2"/>
    </row>
    <row r="255" spans="2:6" x14ac:dyDescent="0.25">
      <c r="B255" s="2"/>
      <c r="C255" s="2"/>
      <c r="F255" s="2"/>
    </row>
    <row r="256" spans="2:6" x14ac:dyDescent="0.25">
      <c r="B256" s="2"/>
      <c r="C256" s="2"/>
      <c r="F256" s="2"/>
    </row>
    <row r="257" spans="2:6" x14ac:dyDescent="0.25">
      <c r="B257" s="2"/>
      <c r="C257" s="2"/>
      <c r="F257" s="2"/>
    </row>
    <row r="258" spans="2:6" x14ac:dyDescent="0.25">
      <c r="B258" s="2"/>
      <c r="C258" s="2"/>
      <c r="F258" s="2"/>
    </row>
    <row r="259" spans="2:6" x14ac:dyDescent="0.25">
      <c r="B259" s="2"/>
      <c r="C259" s="2"/>
      <c r="F259" s="2"/>
    </row>
    <row r="260" spans="2:6" x14ac:dyDescent="0.25">
      <c r="B260" s="2"/>
      <c r="C260" s="2"/>
      <c r="F260" s="2"/>
    </row>
    <row r="261" spans="2:6" x14ac:dyDescent="0.25">
      <c r="B261" s="2"/>
      <c r="C261" s="2"/>
      <c r="F261" s="2"/>
    </row>
    <row r="262" spans="2:6" x14ac:dyDescent="0.25">
      <c r="B262" s="2"/>
      <c r="C262" s="2"/>
      <c r="F262" s="2"/>
    </row>
    <row r="263" spans="2:6" x14ac:dyDescent="0.25">
      <c r="B263" s="2"/>
      <c r="C263" s="2"/>
      <c r="F263" s="2"/>
    </row>
    <row r="264" spans="2:6" x14ac:dyDescent="0.25">
      <c r="B264" s="2"/>
      <c r="C264" s="2"/>
      <c r="F264" s="2"/>
    </row>
    <row r="265" spans="2:6" x14ac:dyDescent="0.25">
      <c r="B265" s="2"/>
      <c r="C265" s="2"/>
      <c r="F265" s="2"/>
    </row>
    <row r="266" spans="2:6" x14ac:dyDescent="0.25">
      <c r="B266" s="2"/>
      <c r="C266" s="2"/>
      <c r="F266" s="2"/>
    </row>
    <row r="267" spans="2:6" x14ac:dyDescent="0.25">
      <c r="B267" s="2"/>
      <c r="C267" s="2"/>
      <c r="F267" s="2"/>
    </row>
    <row r="268" spans="2:6" x14ac:dyDescent="0.25">
      <c r="B268" s="2"/>
      <c r="C268" s="2"/>
      <c r="F268" s="2"/>
    </row>
    <row r="269" spans="2:6" x14ac:dyDescent="0.25">
      <c r="B269" s="2"/>
      <c r="C269" s="2"/>
      <c r="F269" s="2"/>
    </row>
    <row r="270" spans="2:6" x14ac:dyDescent="0.25">
      <c r="B270" s="2"/>
      <c r="C270" s="2"/>
      <c r="F270" s="2"/>
    </row>
    <row r="271" spans="2:6" x14ac:dyDescent="0.25">
      <c r="B271" s="2"/>
      <c r="C271" s="2"/>
      <c r="F271" s="2"/>
    </row>
    <row r="272" spans="2:6" x14ac:dyDescent="0.25">
      <c r="B272" s="2"/>
      <c r="C272" s="2"/>
      <c r="F272" s="2"/>
    </row>
    <row r="273" spans="2:6" x14ac:dyDescent="0.25">
      <c r="B273" s="2"/>
      <c r="C273" s="2"/>
      <c r="F273" s="2"/>
    </row>
    <row r="274" spans="2:6" x14ac:dyDescent="0.25">
      <c r="B274" s="2"/>
      <c r="C274" s="2"/>
      <c r="F274" s="2"/>
    </row>
    <row r="275" spans="2:6" x14ac:dyDescent="0.25">
      <c r="B275" s="2"/>
      <c r="C275" s="2"/>
      <c r="F275" s="2"/>
    </row>
    <row r="276" spans="2:6" x14ac:dyDescent="0.25">
      <c r="B276" s="2"/>
      <c r="C276" s="2"/>
      <c r="F276" s="2"/>
    </row>
    <row r="277" spans="2:6" x14ac:dyDescent="0.25">
      <c r="B277" s="2"/>
      <c r="C277" s="2"/>
      <c r="F277" s="2"/>
    </row>
    <row r="278" spans="2:6" x14ac:dyDescent="0.25">
      <c r="B278" s="2"/>
      <c r="C278" s="2"/>
      <c r="F278" s="2"/>
    </row>
    <row r="279" spans="2:6" x14ac:dyDescent="0.25">
      <c r="B279" s="2"/>
      <c r="C279" s="2"/>
      <c r="F279" s="2"/>
    </row>
    <row r="280" spans="2:6" x14ac:dyDescent="0.25">
      <c r="B280" s="2"/>
      <c r="C280" s="2"/>
      <c r="F280" s="2"/>
    </row>
    <row r="281" spans="2:6" x14ac:dyDescent="0.25">
      <c r="B281" s="2"/>
      <c r="C281" s="2"/>
      <c r="F281" s="2"/>
    </row>
    <row r="282" spans="2:6" x14ac:dyDescent="0.25">
      <c r="B282" s="2"/>
      <c r="C282" s="2"/>
      <c r="F282" s="2"/>
    </row>
    <row r="283" spans="2:6" x14ac:dyDescent="0.25">
      <c r="B283" s="2"/>
      <c r="C283" s="2"/>
      <c r="F283" s="2"/>
    </row>
    <row r="284" spans="2:6" x14ac:dyDescent="0.25">
      <c r="B284" s="2"/>
      <c r="C284" s="2"/>
      <c r="F284" s="2"/>
    </row>
    <row r="285" spans="2:6" x14ac:dyDescent="0.25">
      <c r="B285" s="2"/>
      <c r="C285" s="2"/>
      <c r="F285" s="2"/>
    </row>
    <row r="286" spans="2:6" x14ac:dyDescent="0.25">
      <c r="B286" s="2"/>
      <c r="C286" s="2"/>
      <c r="F286" s="2"/>
    </row>
    <row r="287" spans="2:6" x14ac:dyDescent="0.25">
      <c r="B287" s="2"/>
      <c r="C287" s="2"/>
      <c r="F287" s="2"/>
    </row>
    <row r="288" spans="2:6" x14ac:dyDescent="0.25">
      <c r="B288" s="2"/>
      <c r="C288" s="2"/>
      <c r="F288" s="2"/>
    </row>
    <row r="289" spans="2:6" x14ac:dyDescent="0.25">
      <c r="B289" s="2"/>
      <c r="C289" s="2"/>
      <c r="F289" s="2"/>
    </row>
    <row r="290" spans="2:6" x14ac:dyDescent="0.25">
      <c r="B290" s="2"/>
      <c r="C290" s="2"/>
      <c r="F290" s="2"/>
    </row>
    <row r="291" spans="2:6" x14ac:dyDescent="0.25">
      <c r="B291" s="2"/>
      <c r="C291" s="2"/>
      <c r="F291" s="2"/>
    </row>
    <row r="292" spans="2:6" x14ac:dyDescent="0.25">
      <c r="B292" s="2"/>
      <c r="C292" s="2"/>
      <c r="F292" s="2"/>
    </row>
    <row r="293" spans="2:6" x14ac:dyDescent="0.25">
      <c r="B293" s="2"/>
      <c r="C293" s="2"/>
      <c r="F293" s="2"/>
    </row>
    <row r="294" spans="2:6" x14ac:dyDescent="0.25">
      <c r="B294" s="2"/>
      <c r="C294" s="2"/>
      <c r="F294" s="2"/>
    </row>
    <row r="295" spans="2:6" x14ac:dyDescent="0.25">
      <c r="B295" s="2"/>
      <c r="C295" s="2"/>
      <c r="F295" s="2"/>
    </row>
    <row r="296" spans="2:6" x14ac:dyDescent="0.25">
      <c r="B296" s="2"/>
      <c r="C296" s="2"/>
      <c r="F296" s="2"/>
    </row>
    <row r="297" spans="2:6" x14ac:dyDescent="0.25">
      <c r="B297" s="2"/>
      <c r="C297" s="2"/>
      <c r="F297" s="2"/>
    </row>
    <row r="298" spans="2:6" x14ac:dyDescent="0.25">
      <c r="B298" s="2"/>
      <c r="C298" s="2"/>
      <c r="F298" s="2"/>
    </row>
    <row r="299" spans="2:6" x14ac:dyDescent="0.25">
      <c r="B299" s="2"/>
      <c r="C299" s="2"/>
      <c r="F299" s="2"/>
    </row>
    <row r="300" spans="2:6" x14ac:dyDescent="0.25">
      <c r="B300" s="2"/>
      <c r="C300" s="2"/>
      <c r="F300" s="2"/>
    </row>
    <row r="301" spans="2:6" x14ac:dyDescent="0.25">
      <c r="B301" s="2"/>
      <c r="C301" s="2"/>
      <c r="F301" s="2"/>
    </row>
    <row r="302" spans="2:6" x14ac:dyDescent="0.25">
      <c r="B302" s="2"/>
      <c r="C302" s="2"/>
      <c r="F302" s="2"/>
    </row>
    <row r="303" spans="2:6" x14ac:dyDescent="0.25">
      <c r="B303" s="2"/>
      <c r="C303" s="2"/>
      <c r="F303" s="2"/>
    </row>
    <row r="304" spans="2:6" x14ac:dyDescent="0.25">
      <c r="B304" s="2"/>
      <c r="C304" s="2"/>
      <c r="F304" s="2"/>
    </row>
    <row r="305" spans="2:6" x14ac:dyDescent="0.25">
      <c r="B305" s="2"/>
      <c r="C305" s="2"/>
      <c r="F305" s="2"/>
    </row>
    <row r="306" spans="2:6" x14ac:dyDescent="0.25">
      <c r="B306" s="2"/>
      <c r="C306" s="2"/>
      <c r="F306" s="2"/>
    </row>
    <row r="307" spans="2:6" x14ac:dyDescent="0.25">
      <c r="B307" s="2"/>
      <c r="C307" s="2"/>
      <c r="F307" s="2"/>
    </row>
    <row r="308" spans="2:6" x14ac:dyDescent="0.25">
      <c r="B308" s="2"/>
      <c r="C308" s="2"/>
      <c r="F308" s="2"/>
    </row>
    <row r="309" spans="2:6" x14ac:dyDescent="0.25">
      <c r="B309" s="2"/>
      <c r="C309" s="2"/>
      <c r="F309" s="2"/>
    </row>
    <row r="310" spans="2:6" x14ac:dyDescent="0.25">
      <c r="B310" s="2"/>
      <c r="C310" s="2"/>
      <c r="F310" s="2"/>
    </row>
    <row r="311" spans="2:6" x14ac:dyDescent="0.25">
      <c r="B311" s="2"/>
      <c r="C311" s="2"/>
      <c r="F311" s="2"/>
    </row>
    <row r="312" spans="2:6" x14ac:dyDescent="0.25">
      <c r="B312" s="2"/>
      <c r="C312" s="2"/>
      <c r="F312" s="2"/>
    </row>
    <row r="313" spans="2:6" x14ac:dyDescent="0.25">
      <c r="B313" s="2"/>
      <c r="C313" s="2"/>
      <c r="F313" s="2"/>
    </row>
    <row r="314" spans="2:6" x14ac:dyDescent="0.25">
      <c r="B314" s="2"/>
      <c r="C314" s="2"/>
      <c r="F314" s="2"/>
    </row>
    <row r="315" spans="2:6" x14ac:dyDescent="0.25">
      <c r="B315" s="2"/>
      <c r="C315" s="2"/>
      <c r="F315" s="2"/>
    </row>
    <row r="316" spans="2:6" x14ac:dyDescent="0.25">
      <c r="B316" s="2"/>
      <c r="C316" s="2"/>
      <c r="F316" s="2"/>
    </row>
    <row r="317" spans="2:6" x14ac:dyDescent="0.25">
      <c r="B317" s="2"/>
      <c r="C317" s="2"/>
      <c r="F317" s="2"/>
    </row>
    <row r="318" spans="2:6" x14ac:dyDescent="0.25">
      <c r="B318" s="2"/>
      <c r="C318" s="2"/>
      <c r="F318" s="2"/>
    </row>
    <row r="319" spans="2:6" x14ac:dyDescent="0.25">
      <c r="B319" s="2"/>
      <c r="C319" s="2"/>
      <c r="F319" s="2"/>
    </row>
    <row r="320" spans="2:6" x14ac:dyDescent="0.25">
      <c r="B320" s="2"/>
      <c r="C320" s="2"/>
      <c r="F320" s="2"/>
    </row>
    <row r="321" spans="2:6" x14ac:dyDescent="0.25">
      <c r="B321" s="2"/>
      <c r="C321" s="2"/>
      <c r="F321" s="2"/>
    </row>
    <row r="322" spans="2:6" x14ac:dyDescent="0.25">
      <c r="B322" s="2"/>
      <c r="C322" s="2"/>
      <c r="F322" s="2"/>
    </row>
    <row r="323" spans="2:6" x14ac:dyDescent="0.25">
      <c r="B323" s="2"/>
      <c r="C323" s="2"/>
      <c r="F323" s="2"/>
    </row>
    <row r="324" spans="2:6" x14ac:dyDescent="0.25">
      <c r="B324" s="2"/>
      <c r="C324" s="2"/>
      <c r="F324" s="2"/>
    </row>
    <row r="325" spans="2:6" x14ac:dyDescent="0.25">
      <c r="B325" s="2"/>
      <c r="C325" s="2"/>
      <c r="F325" s="2"/>
    </row>
    <row r="326" spans="2:6" x14ac:dyDescent="0.25">
      <c r="B326" s="2"/>
      <c r="C326" s="2"/>
      <c r="F326" s="2"/>
    </row>
    <row r="327" spans="2:6" x14ac:dyDescent="0.25">
      <c r="B327" s="2"/>
      <c r="C327" s="2"/>
      <c r="F327" s="2"/>
    </row>
    <row r="328" spans="2:6" x14ac:dyDescent="0.25">
      <c r="B328" s="2"/>
      <c r="C328" s="2"/>
      <c r="F328" s="2"/>
    </row>
    <row r="329" spans="2:6" x14ac:dyDescent="0.25">
      <c r="B329" s="2"/>
      <c r="C329" s="2"/>
      <c r="F329" s="2"/>
    </row>
    <row r="330" spans="2:6" x14ac:dyDescent="0.25">
      <c r="B330" s="2"/>
      <c r="C330" s="2"/>
      <c r="F330" s="2"/>
    </row>
    <row r="331" spans="2:6" x14ac:dyDescent="0.25">
      <c r="B331" s="2"/>
      <c r="C331" s="2"/>
      <c r="F331" s="2"/>
    </row>
    <row r="332" spans="2:6" x14ac:dyDescent="0.25">
      <c r="B332" s="2"/>
      <c r="C332" s="2"/>
      <c r="F332" s="2"/>
    </row>
    <row r="333" spans="2:6" x14ac:dyDescent="0.25">
      <c r="B333" s="2"/>
      <c r="C333" s="2"/>
      <c r="F333" s="2"/>
    </row>
    <row r="334" spans="2:6" x14ac:dyDescent="0.25">
      <c r="B334" s="2"/>
      <c r="C334" s="2"/>
      <c r="F334" s="2"/>
    </row>
    <row r="335" spans="2:6" x14ac:dyDescent="0.25">
      <c r="B335" s="2"/>
      <c r="C335" s="2"/>
      <c r="F335" s="2"/>
    </row>
    <row r="336" spans="2:6" x14ac:dyDescent="0.25">
      <c r="B336" s="2"/>
      <c r="C336" s="2"/>
      <c r="F336" s="2"/>
    </row>
    <row r="337" spans="2:6" x14ac:dyDescent="0.25">
      <c r="B337" s="2"/>
      <c r="C337" s="2"/>
      <c r="F337" s="2"/>
    </row>
    <row r="338" spans="2:6" x14ac:dyDescent="0.25">
      <c r="B338" s="2"/>
      <c r="C338" s="2"/>
      <c r="F338" s="2"/>
    </row>
    <row r="339" spans="2:6" x14ac:dyDescent="0.25">
      <c r="B339" s="2"/>
      <c r="C339" s="2"/>
      <c r="F339" s="2"/>
    </row>
    <row r="340" spans="2:6" x14ac:dyDescent="0.25">
      <c r="B340" s="2"/>
      <c r="C340" s="2"/>
      <c r="F340" s="2"/>
    </row>
    <row r="341" spans="2:6" x14ac:dyDescent="0.25">
      <c r="B341" s="2"/>
      <c r="C341" s="2"/>
      <c r="F341" s="2"/>
    </row>
    <row r="342" spans="2:6" x14ac:dyDescent="0.25">
      <c r="B342" s="2"/>
      <c r="C342" s="2"/>
      <c r="F342" s="2"/>
    </row>
    <row r="343" spans="2:6" x14ac:dyDescent="0.25">
      <c r="B343" s="2"/>
      <c r="C343" s="2"/>
      <c r="F343" s="2"/>
    </row>
    <row r="344" spans="2:6" x14ac:dyDescent="0.25">
      <c r="B344" s="2"/>
      <c r="C344" s="2"/>
      <c r="F344" s="2"/>
    </row>
    <row r="345" spans="2:6" x14ac:dyDescent="0.25">
      <c r="B345" s="2"/>
      <c r="C345" s="2"/>
      <c r="F345" s="2"/>
    </row>
    <row r="346" spans="2:6" x14ac:dyDescent="0.25">
      <c r="B346" s="2"/>
      <c r="C346" s="2"/>
      <c r="F346" s="2"/>
    </row>
    <row r="347" spans="2:6" x14ac:dyDescent="0.25">
      <c r="B347" s="2"/>
      <c r="C347" s="2"/>
      <c r="F347" s="2"/>
    </row>
    <row r="348" spans="2:6" x14ac:dyDescent="0.25">
      <c r="B348" s="2"/>
      <c r="C348" s="2"/>
      <c r="F348" s="2"/>
    </row>
    <row r="349" spans="2:6" x14ac:dyDescent="0.25">
      <c r="B349" s="2"/>
      <c r="C349" s="2"/>
      <c r="F349" s="2"/>
    </row>
    <row r="350" spans="2:6" x14ac:dyDescent="0.25">
      <c r="B350" s="2"/>
      <c r="C350" s="2"/>
      <c r="F350" s="2"/>
    </row>
    <row r="351" spans="2:6" x14ac:dyDescent="0.25">
      <c r="B351" s="2"/>
      <c r="C351" s="2"/>
      <c r="F351" s="2"/>
    </row>
    <row r="352" spans="2:6" x14ac:dyDescent="0.25">
      <c r="B352" s="2"/>
      <c r="C352" s="2"/>
      <c r="F352" s="2"/>
    </row>
    <row r="353" spans="2:6" x14ac:dyDescent="0.25">
      <c r="B353" s="2"/>
      <c r="C353" s="2"/>
      <c r="F353" s="2"/>
    </row>
    <row r="354" spans="2:6" x14ac:dyDescent="0.25">
      <c r="B354" s="2"/>
      <c r="C354" s="2"/>
      <c r="F354" s="2"/>
    </row>
    <row r="355" spans="2:6" x14ac:dyDescent="0.25">
      <c r="B355" s="2"/>
      <c r="C355" s="2"/>
      <c r="F355" s="2"/>
    </row>
    <row r="356" spans="2:6" x14ac:dyDescent="0.25">
      <c r="B356" s="2"/>
      <c r="C356" s="2"/>
      <c r="F356" s="2"/>
    </row>
    <row r="357" spans="2:6" x14ac:dyDescent="0.25">
      <c r="B357" s="2"/>
      <c r="C357" s="2"/>
      <c r="F357" s="2"/>
    </row>
    <row r="358" spans="2:6" x14ac:dyDescent="0.25">
      <c r="B358" s="2"/>
      <c r="C358" s="2"/>
      <c r="F358" s="2"/>
    </row>
    <row r="359" spans="2:6" x14ac:dyDescent="0.25">
      <c r="B359" s="2"/>
      <c r="C359" s="2"/>
      <c r="F359" s="2"/>
    </row>
    <row r="360" spans="2:6" x14ac:dyDescent="0.25">
      <c r="B360" s="2"/>
      <c r="C360" s="2"/>
      <c r="F360" s="2"/>
    </row>
    <row r="361" spans="2:6" x14ac:dyDescent="0.25">
      <c r="B361" s="2"/>
      <c r="C361" s="2"/>
      <c r="F361" s="2"/>
    </row>
    <row r="362" spans="2:6" x14ac:dyDescent="0.25">
      <c r="B362" s="2"/>
      <c r="C362" s="2"/>
      <c r="F362" s="2"/>
    </row>
    <row r="363" spans="2:6" x14ac:dyDescent="0.25">
      <c r="B363" s="2"/>
      <c r="C363" s="2"/>
      <c r="F363" s="2"/>
    </row>
    <row r="364" spans="2:6" x14ac:dyDescent="0.25">
      <c r="B364" s="2"/>
      <c r="C364" s="2"/>
      <c r="F364" s="2"/>
    </row>
    <row r="365" spans="2:6" x14ac:dyDescent="0.25">
      <c r="B365" s="2"/>
      <c r="C365" s="2"/>
      <c r="F365" s="2"/>
    </row>
    <row r="366" spans="2:6" x14ac:dyDescent="0.25">
      <c r="B366" s="2"/>
      <c r="C366" s="2"/>
      <c r="F366" s="2"/>
    </row>
    <row r="367" spans="2:6" x14ac:dyDescent="0.25">
      <c r="B367" s="2"/>
      <c r="C367" s="2"/>
      <c r="F367" s="2"/>
    </row>
    <row r="368" spans="2:6" x14ac:dyDescent="0.25">
      <c r="B368" s="2"/>
      <c r="C368" s="2"/>
      <c r="F368" s="2"/>
    </row>
    <row r="369" spans="2:6" x14ac:dyDescent="0.25">
      <c r="B369" s="2"/>
      <c r="C369" s="2"/>
      <c r="F369" s="2"/>
    </row>
    <row r="370" spans="2:6" x14ac:dyDescent="0.25">
      <c r="B370" s="2"/>
      <c r="C370" s="2"/>
      <c r="F370" s="2"/>
    </row>
    <row r="371" spans="2:6" x14ac:dyDescent="0.25">
      <c r="B371" s="2"/>
      <c r="C371" s="2"/>
      <c r="F371" s="2"/>
    </row>
    <row r="372" spans="2:6" x14ac:dyDescent="0.25">
      <c r="B372" s="2"/>
      <c r="C372" s="2"/>
      <c r="F372" s="2"/>
    </row>
    <row r="373" spans="2:6" x14ac:dyDescent="0.25">
      <c r="B373" s="2"/>
      <c r="C373" s="2"/>
      <c r="F373" s="2"/>
    </row>
    <row r="374" spans="2:6" x14ac:dyDescent="0.25">
      <c r="B374" s="2"/>
      <c r="C374" s="2"/>
      <c r="F374" s="2"/>
    </row>
    <row r="375" spans="2:6" x14ac:dyDescent="0.25">
      <c r="B375" s="2"/>
      <c r="C375" s="2"/>
      <c r="F375" s="2"/>
    </row>
    <row r="376" spans="2:6" x14ac:dyDescent="0.25">
      <c r="B376" s="2"/>
      <c r="C376" s="2"/>
      <c r="F376" s="2"/>
    </row>
    <row r="377" spans="2:6" x14ac:dyDescent="0.25">
      <c r="B377" s="2"/>
      <c r="C377" s="2"/>
      <c r="F377" s="2"/>
    </row>
    <row r="378" spans="2:6" x14ac:dyDescent="0.25">
      <c r="B378" s="2"/>
      <c r="C378" s="2"/>
      <c r="F378" s="2"/>
    </row>
    <row r="379" spans="2:6" x14ac:dyDescent="0.25">
      <c r="B379" s="2"/>
      <c r="C379" s="2"/>
      <c r="F379" s="2"/>
    </row>
    <row r="380" spans="2:6" x14ac:dyDescent="0.25">
      <c r="B380" s="2"/>
      <c r="C380" s="2"/>
      <c r="F380" s="2"/>
    </row>
    <row r="381" spans="2:6" x14ac:dyDescent="0.25">
      <c r="B381" s="2"/>
      <c r="C381" s="2"/>
      <c r="F381" s="2"/>
    </row>
    <row r="382" spans="2:6" x14ac:dyDescent="0.25">
      <c r="B382" s="2"/>
      <c r="C382" s="2"/>
      <c r="F382" s="2"/>
    </row>
    <row r="383" spans="2:6" x14ac:dyDescent="0.25">
      <c r="B383" s="2"/>
      <c r="C383" s="2"/>
      <c r="F383" s="2"/>
    </row>
    <row r="384" spans="2:6" x14ac:dyDescent="0.25">
      <c r="B384" s="2"/>
      <c r="C384" s="2"/>
      <c r="F384" s="2"/>
    </row>
    <row r="385" spans="2:6" x14ac:dyDescent="0.25">
      <c r="B385" s="2"/>
      <c r="C385" s="2"/>
      <c r="F385" s="2"/>
    </row>
    <row r="386" spans="2:6" x14ac:dyDescent="0.25">
      <c r="B386" s="2"/>
      <c r="C386" s="2"/>
      <c r="F386" s="2"/>
    </row>
    <row r="387" spans="2:6" x14ac:dyDescent="0.25">
      <c r="B387" s="2"/>
      <c r="C387" s="2"/>
      <c r="F387" s="2"/>
    </row>
    <row r="388" spans="2:6" x14ac:dyDescent="0.25">
      <c r="B388" s="2"/>
      <c r="C388" s="2"/>
      <c r="F388" s="2"/>
    </row>
    <row r="389" spans="2:6" x14ac:dyDescent="0.25">
      <c r="B389" s="2"/>
      <c r="C389" s="2"/>
      <c r="F389" s="2"/>
    </row>
    <row r="390" spans="2:6" x14ac:dyDescent="0.25">
      <c r="B390" s="2"/>
      <c r="C390" s="2"/>
      <c r="F390" s="2"/>
    </row>
    <row r="391" spans="2:6" x14ac:dyDescent="0.25">
      <c r="B391" s="2"/>
      <c r="C391" s="2"/>
      <c r="F391" s="2"/>
    </row>
    <row r="392" spans="2:6" x14ac:dyDescent="0.25">
      <c r="B392" s="2"/>
      <c r="C392" s="2"/>
      <c r="F392" s="2"/>
    </row>
    <row r="393" spans="2:6" x14ac:dyDescent="0.25">
      <c r="B393" s="2"/>
      <c r="C393" s="2"/>
      <c r="F393" s="2"/>
    </row>
    <row r="394" spans="2:6" x14ac:dyDescent="0.25">
      <c r="B394" s="2"/>
      <c r="C394" s="2"/>
      <c r="F394" s="2"/>
    </row>
    <row r="395" spans="2:6" x14ac:dyDescent="0.25">
      <c r="B395" s="2"/>
      <c r="C395" s="2"/>
      <c r="F395" s="2"/>
    </row>
    <row r="396" spans="2:6" x14ac:dyDescent="0.25">
      <c r="B396" s="2"/>
      <c r="C396" s="2"/>
      <c r="F396" s="2"/>
    </row>
    <row r="397" spans="2:6" x14ac:dyDescent="0.25">
      <c r="B397" s="2"/>
      <c r="C397" s="2"/>
      <c r="F397" s="2"/>
    </row>
    <row r="398" spans="2:6" x14ac:dyDescent="0.25">
      <c r="B398" s="2"/>
      <c r="C398" s="2"/>
      <c r="F398" s="2"/>
    </row>
    <row r="399" spans="2:6" x14ac:dyDescent="0.25">
      <c r="B399" s="2"/>
      <c r="C399" s="2"/>
      <c r="F399" s="2"/>
    </row>
    <row r="400" spans="2:6" x14ac:dyDescent="0.25">
      <c r="B400" s="2"/>
      <c r="C400" s="2"/>
      <c r="F400" s="2"/>
    </row>
    <row r="401" spans="2:6" x14ac:dyDescent="0.25">
      <c r="B401" s="2"/>
      <c r="C401" s="2"/>
      <c r="F401" s="2"/>
    </row>
    <row r="402" spans="2:6" x14ac:dyDescent="0.25">
      <c r="B402" s="2"/>
      <c r="C402" s="2"/>
      <c r="F402" s="2"/>
    </row>
    <row r="403" spans="2:6" x14ac:dyDescent="0.25">
      <c r="B403" s="2"/>
      <c r="C403" s="2"/>
      <c r="F403" s="2"/>
    </row>
    <row r="404" spans="2:6" x14ac:dyDescent="0.25">
      <c r="B404" s="2"/>
      <c r="C404" s="2"/>
      <c r="F404" s="2"/>
    </row>
    <row r="405" spans="2:6" x14ac:dyDescent="0.25">
      <c r="B405" s="2"/>
      <c r="C405" s="2"/>
      <c r="F405" s="2"/>
    </row>
    <row r="406" spans="2:6" x14ac:dyDescent="0.25">
      <c r="B406" s="2"/>
      <c r="C406" s="2"/>
      <c r="F406" s="2"/>
    </row>
    <row r="407" spans="2:6" x14ac:dyDescent="0.25">
      <c r="B407" s="2"/>
      <c r="C407" s="2"/>
      <c r="F407" s="2"/>
    </row>
    <row r="408" spans="2:6" x14ac:dyDescent="0.25">
      <c r="B408" s="2"/>
      <c r="C408" s="2"/>
      <c r="F408" s="2"/>
    </row>
    <row r="409" spans="2:6" x14ac:dyDescent="0.25">
      <c r="B409" s="2"/>
      <c r="C409" s="2"/>
      <c r="F409" s="2"/>
    </row>
    <row r="410" spans="2:6" x14ac:dyDescent="0.25">
      <c r="B410" s="2"/>
      <c r="C410" s="2"/>
      <c r="F410" s="2"/>
    </row>
    <row r="411" spans="2:6" x14ac:dyDescent="0.25">
      <c r="B411" s="2"/>
      <c r="C411" s="2"/>
      <c r="F411" s="2"/>
    </row>
    <row r="412" spans="2:6" x14ac:dyDescent="0.25">
      <c r="B412" s="2"/>
      <c r="C412" s="2"/>
      <c r="F412" s="2"/>
    </row>
    <row r="413" spans="2:6" x14ac:dyDescent="0.25">
      <c r="B413" s="2"/>
      <c r="C413" s="2"/>
      <c r="F413" s="2"/>
    </row>
    <row r="414" spans="2:6" x14ac:dyDescent="0.25">
      <c r="B414" s="2"/>
      <c r="C414" s="2"/>
      <c r="F414" s="2"/>
    </row>
    <row r="415" spans="2:6" x14ac:dyDescent="0.25">
      <c r="B415" s="2"/>
      <c r="C415" s="2"/>
      <c r="F415" s="2"/>
    </row>
    <row r="416" spans="2:6" x14ac:dyDescent="0.25">
      <c r="B416" s="2"/>
      <c r="C416" s="2"/>
      <c r="F416" s="2"/>
    </row>
    <row r="417" spans="2:6" x14ac:dyDescent="0.25">
      <c r="B417" s="2"/>
      <c r="C417" s="2"/>
      <c r="F417" s="2"/>
    </row>
    <row r="418" spans="2:6" x14ac:dyDescent="0.25">
      <c r="B418" s="2"/>
      <c r="C418" s="2"/>
      <c r="F418" s="2"/>
    </row>
    <row r="419" spans="2:6" x14ac:dyDescent="0.25">
      <c r="B419" s="2"/>
      <c r="C419" s="2"/>
      <c r="F419" s="2"/>
    </row>
    <row r="420" spans="2:6" x14ac:dyDescent="0.25">
      <c r="B420" s="2"/>
      <c r="C420" s="2"/>
      <c r="F420" s="2"/>
    </row>
    <row r="421" spans="2:6" x14ac:dyDescent="0.25">
      <c r="B421" s="2"/>
      <c r="C421" s="2"/>
      <c r="F421" s="2"/>
    </row>
    <row r="422" spans="2:6" x14ac:dyDescent="0.25">
      <c r="B422" s="2"/>
      <c r="C422" s="2"/>
      <c r="F422" s="2"/>
    </row>
    <row r="423" spans="2:6" x14ac:dyDescent="0.25">
      <c r="B423" s="2"/>
      <c r="C423" s="2"/>
      <c r="F423" s="2"/>
    </row>
    <row r="424" spans="2:6" x14ac:dyDescent="0.25">
      <c r="B424" s="2"/>
      <c r="C424" s="2"/>
      <c r="F424" s="2"/>
    </row>
    <row r="425" spans="2:6" x14ac:dyDescent="0.25">
      <c r="B425" s="2"/>
      <c r="C425" s="2"/>
      <c r="F425" s="2"/>
    </row>
    <row r="426" spans="2:6" x14ac:dyDescent="0.25">
      <c r="B426" s="2"/>
      <c r="C426" s="2"/>
      <c r="F426" s="2"/>
    </row>
    <row r="427" spans="2:6" x14ac:dyDescent="0.25">
      <c r="B427" s="2"/>
      <c r="C427" s="2"/>
      <c r="F427" s="2"/>
    </row>
    <row r="428" spans="2:6" x14ac:dyDescent="0.25">
      <c r="B428" s="2"/>
      <c r="C428" s="2"/>
      <c r="F428" s="2"/>
    </row>
    <row r="429" spans="2:6" x14ac:dyDescent="0.25">
      <c r="B429" s="2"/>
      <c r="C429" s="2"/>
      <c r="F429" s="2"/>
    </row>
    <row r="430" spans="2:6" x14ac:dyDescent="0.25">
      <c r="B430" s="2"/>
      <c r="C430" s="2"/>
      <c r="F430" s="2"/>
    </row>
    <row r="431" spans="2:6" x14ac:dyDescent="0.25">
      <c r="B431" s="2"/>
      <c r="C431" s="2"/>
      <c r="F431" s="2"/>
    </row>
    <row r="432" spans="2:6" x14ac:dyDescent="0.25">
      <c r="B432" s="2"/>
      <c r="C432" s="2"/>
      <c r="F432" s="2"/>
    </row>
    <row r="433" spans="2:6" x14ac:dyDescent="0.25">
      <c r="B433" s="2"/>
      <c r="C433" s="2"/>
      <c r="F433" s="2"/>
    </row>
    <row r="434" spans="2:6" x14ac:dyDescent="0.25">
      <c r="B434" s="2"/>
      <c r="C434" s="2"/>
      <c r="F434" s="2"/>
    </row>
    <row r="435" spans="2:6" x14ac:dyDescent="0.25">
      <c r="B435" s="2"/>
      <c r="C435" s="2"/>
      <c r="F435" s="2"/>
    </row>
    <row r="436" spans="2:6" x14ac:dyDescent="0.25">
      <c r="B436" s="2"/>
      <c r="C436" s="2"/>
      <c r="F436" s="2"/>
    </row>
    <row r="437" spans="2:6" x14ac:dyDescent="0.25">
      <c r="B437" s="2"/>
      <c r="C437" s="2"/>
      <c r="F437" s="2"/>
    </row>
    <row r="438" spans="2:6" x14ac:dyDescent="0.25">
      <c r="B438" s="2"/>
      <c r="C438" s="2"/>
      <c r="F438" s="2"/>
    </row>
    <row r="439" spans="2:6" x14ac:dyDescent="0.25">
      <c r="B439" s="2"/>
      <c r="C439" s="2"/>
      <c r="F439" s="2"/>
    </row>
    <row r="440" spans="2:6" x14ac:dyDescent="0.25">
      <c r="B440" s="2"/>
      <c r="C440" s="2"/>
      <c r="F440" s="2"/>
    </row>
    <row r="441" spans="2:6" x14ac:dyDescent="0.25">
      <c r="B441" s="2"/>
      <c r="C441" s="2"/>
      <c r="F441" s="2"/>
    </row>
    <row r="442" spans="2:6" x14ac:dyDescent="0.25">
      <c r="B442" s="2"/>
      <c r="C442" s="2"/>
      <c r="F442" s="2"/>
    </row>
    <row r="443" spans="2:6" x14ac:dyDescent="0.25">
      <c r="B443" s="2"/>
      <c r="C443" s="2"/>
      <c r="F443" s="2"/>
    </row>
    <row r="444" spans="2:6" x14ac:dyDescent="0.25">
      <c r="B444" s="2"/>
      <c r="C444" s="2"/>
      <c r="F444" s="2"/>
    </row>
    <row r="445" spans="2:6" x14ac:dyDescent="0.25">
      <c r="B445" s="2"/>
      <c r="C445" s="2"/>
      <c r="F445" s="2"/>
    </row>
    <row r="446" spans="2:6" x14ac:dyDescent="0.25">
      <c r="B446" s="2"/>
      <c r="C446" s="2"/>
      <c r="F446" s="2"/>
    </row>
    <row r="447" spans="2:6" x14ac:dyDescent="0.25">
      <c r="B447" s="2"/>
      <c r="C447" s="2"/>
      <c r="F447" s="2"/>
    </row>
    <row r="448" spans="2:6" x14ac:dyDescent="0.25">
      <c r="B448" s="2"/>
      <c r="C448" s="2"/>
      <c r="F448" s="2"/>
    </row>
    <row r="449" spans="2:6" x14ac:dyDescent="0.25">
      <c r="B449" s="2"/>
      <c r="C449" s="2"/>
      <c r="F449" s="2"/>
    </row>
    <row r="450" spans="2:6" x14ac:dyDescent="0.25">
      <c r="B450" s="2"/>
      <c r="C450" s="2"/>
      <c r="F450" s="2"/>
    </row>
    <row r="451" spans="2:6" x14ac:dyDescent="0.25">
      <c r="B451" s="2"/>
      <c r="C451" s="2"/>
      <c r="F451" s="2"/>
    </row>
    <row r="452" spans="2:6" x14ac:dyDescent="0.25">
      <c r="B452" s="2"/>
      <c r="C452" s="2"/>
      <c r="F452" s="2"/>
    </row>
    <row r="453" spans="2:6" x14ac:dyDescent="0.25">
      <c r="B453" s="2"/>
      <c r="C453" s="2"/>
      <c r="F453" s="2"/>
    </row>
    <row r="454" spans="2:6" x14ac:dyDescent="0.25">
      <c r="B454" s="2"/>
      <c r="C454" s="2"/>
      <c r="F454" s="2"/>
    </row>
    <row r="455" spans="2:6" x14ac:dyDescent="0.25">
      <c r="B455" s="2"/>
      <c r="C455" s="2"/>
      <c r="F455" s="2"/>
    </row>
    <row r="456" spans="2:6" x14ac:dyDescent="0.25">
      <c r="B456" s="2"/>
      <c r="C456" s="2"/>
      <c r="F456" s="2"/>
    </row>
    <row r="457" spans="2:6" x14ac:dyDescent="0.25">
      <c r="B457" s="2"/>
      <c r="C457" s="2"/>
      <c r="F457" s="2"/>
    </row>
    <row r="458" spans="2:6" x14ac:dyDescent="0.25">
      <c r="B458" s="2"/>
      <c r="C458" s="2"/>
      <c r="F458" s="2"/>
    </row>
    <row r="459" spans="2:6" x14ac:dyDescent="0.25">
      <c r="B459" s="2"/>
      <c r="C459" s="2"/>
      <c r="F459" s="2"/>
    </row>
    <row r="460" spans="2:6" x14ac:dyDescent="0.25">
      <c r="B460" s="2"/>
      <c r="C460" s="2"/>
      <c r="F460" s="2"/>
    </row>
    <row r="461" spans="2:6" x14ac:dyDescent="0.25">
      <c r="B461" s="2"/>
      <c r="C461" s="2"/>
      <c r="F461" s="2"/>
    </row>
    <row r="462" spans="2:6" x14ac:dyDescent="0.25">
      <c r="B462" s="2"/>
      <c r="C462" s="2"/>
      <c r="F462" s="2"/>
    </row>
    <row r="463" spans="2:6" x14ac:dyDescent="0.25">
      <c r="B463" s="2"/>
      <c r="C463" s="2"/>
      <c r="F463" s="2"/>
    </row>
    <row r="464" spans="2:6" x14ac:dyDescent="0.25">
      <c r="B464" s="2"/>
      <c r="C464" s="2"/>
      <c r="F464" s="2"/>
    </row>
    <row r="465" spans="2:6" x14ac:dyDescent="0.25">
      <c r="B465" s="2"/>
      <c r="C465" s="2"/>
      <c r="F465" s="2"/>
    </row>
    <row r="466" spans="2:6" x14ac:dyDescent="0.25">
      <c r="B466" s="2"/>
      <c r="C466" s="2"/>
      <c r="F466" s="2"/>
    </row>
    <row r="467" spans="2:6" x14ac:dyDescent="0.25">
      <c r="B467" s="2"/>
      <c r="C467" s="2"/>
      <c r="F467" s="2"/>
    </row>
    <row r="468" spans="2:6" x14ac:dyDescent="0.25">
      <c r="B468" s="2"/>
      <c r="C468" s="2"/>
      <c r="F468" s="2"/>
    </row>
    <row r="469" spans="2:6" x14ac:dyDescent="0.25">
      <c r="B469" s="2"/>
      <c r="C469" s="2"/>
      <c r="F469" s="2"/>
    </row>
    <row r="470" spans="2:6" x14ac:dyDescent="0.25">
      <c r="B470" s="2"/>
      <c r="C470" s="2"/>
      <c r="F470" s="2"/>
    </row>
    <row r="471" spans="2:6" x14ac:dyDescent="0.25">
      <c r="B471" s="2"/>
      <c r="C471" s="2"/>
      <c r="F471" s="2"/>
    </row>
    <row r="472" spans="2:6" x14ac:dyDescent="0.25">
      <c r="B472" s="2"/>
      <c r="C472" s="2"/>
      <c r="F472" s="2"/>
    </row>
    <row r="473" spans="2:6" x14ac:dyDescent="0.25">
      <c r="B473" s="2"/>
      <c r="C473" s="2"/>
      <c r="F473" s="2"/>
    </row>
    <row r="474" spans="2:6" x14ac:dyDescent="0.25">
      <c r="B474" s="2"/>
      <c r="C474" s="2"/>
      <c r="F474" s="2"/>
    </row>
    <row r="475" spans="2:6" x14ac:dyDescent="0.25">
      <c r="B475" s="2"/>
      <c r="C475" s="2"/>
      <c r="F475" s="2"/>
    </row>
    <row r="476" spans="2:6" x14ac:dyDescent="0.25">
      <c r="B476" s="2"/>
      <c r="C476" s="2"/>
      <c r="F476" s="2"/>
    </row>
    <row r="477" spans="2:6" x14ac:dyDescent="0.25">
      <c r="B477" s="2"/>
      <c r="C477" s="2"/>
      <c r="F477" s="2"/>
    </row>
    <row r="478" spans="2:6" x14ac:dyDescent="0.25">
      <c r="B478" s="2"/>
      <c r="C478" s="2"/>
      <c r="F478" s="2"/>
    </row>
    <row r="479" spans="2:6" x14ac:dyDescent="0.25">
      <c r="B479" s="2"/>
      <c r="C479" s="2"/>
      <c r="F479" s="2"/>
    </row>
    <row r="480" spans="2:6" x14ac:dyDescent="0.25">
      <c r="B480" s="2"/>
      <c r="C480" s="2"/>
      <c r="F480" s="2"/>
    </row>
    <row r="481" spans="2:6" x14ac:dyDescent="0.25">
      <c r="B481" s="2"/>
      <c r="C481" s="2"/>
      <c r="F481" s="2"/>
    </row>
    <row r="482" spans="2:6" x14ac:dyDescent="0.25">
      <c r="B482" s="2"/>
      <c r="C482" s="2"/>
      <c r="F482" s="2"/>
    </row>
    <row r="483" spans="2:6" x14ac:dyDescent="0.25">
      <c r="B483" s="2"/>
      <c r="C483" s="2"/>
      <c r="F483" s="2"/>
    </row>
    <row r="484" spans="2:6" x14ac:dyDescent="0.25">
      <c r="B484" s="2"/>
      <c r="C484" s="2"/>
      <c r="F484" s="2"/>
    </row>
    <row r="485" spans="2:6" x14ac:dyDescent="0.25">
      <c r="B485" s="2"/>
      <c r="C485" s="2"/>
      <c r="F485" s="2"/>
    </row>
    <row r="486" spans="2:6" x14ac:dyDescent="0.25">
      <c r="B486" s="2"/>
      <c r="C486" s="2"/>
      <c r="F486" s="2"/>
    </row>
    <row r="487" spans="2:6" x14ac:dyDescent="0.25">
      <c r="B487" s="2"/>
      <c r="C487" s="2"/>
      <c r="F487" s="2"/>
    </row>
    <row r="488" spans="2:6" x14ac:dyDescent="0.25">
      <c r="B488" s="2"/>
      <c r="C488" s="2"/>
      <c r="F488" s="2"/>
    </row>
    <row r="489" spans="2:6" x14ac:dyDescent="0.25">
      <c r="B489" s="2"/>
      <c r="C489" s="2"/>
      <c r="F489" s="2"/>
    </row>
    <row r="490" spans="2:6" x14ac:dyDescent="0.25">
      <c r="B490" s="2"/>
      <c r="C490" s="2"/>
      <c r="F490" s="2"/>
    </row>
    <row r="491" spans="2:6" x14ac:dyDescent="0.25">
      <c r="B491" s="2"/>
      <c r="C491" s="2"/>
      <c r="F491" s="2"/>
    </row>
    <row r="492" spans="2:6" x14ac:dyDescent="0.25">
      <c r="B492" s="2"/>
      <c r="C492" s="2"/>
      <c r="F492" s="2"/>
    </row>
    <row r="493" spans="2:6" x14ac:dyDescent="0.25">
      <c r="B493" s="2"/>
      <c r="C493" s="2"/>
      <c r="F493" s="2"/>
    </row>
    <row r="494" spans="2:6" x14ac:dyDescent="0.25">
      <c r="B494" s="2"/>
      <c r="C494" s="2"/>
      <c r="F494" s="2"/>
    </row>
    <row r="495" spans="2:6" x14ac:dyDescent="0.25">
      <c r="B495" s="2"/>
      <c r="C495" s="2"/>
      <c r="F495" s="2"/>
    </row>
    <row r="496" spans="2:6" x14ac:dyDescent="0.25">
      <c r="B496" s="2"/>
      <c r="C496" s="2"/>
      <c r="F496" s="2"/>
    </row>
    <row r="497" spans="2:6" x14ac:dyDescent="0.25">
      <c r="B497" s="2"/>
      <c r="C497" s="2"/>
      <c r="F497" s="2"/>
    </row>
    <row r="498" spans="2:6" x14ac:dyDescent="0.25">
      <c r="B498" s="2"/>
      <c r="C498" s="2"/>
      <c r="F498" s="2"/>
    </row>
    <row r="499" spans="2:6" x14ac:dyDescent="0.25">
      <c r="B499" s="2"/>
      <c r="C499" s="2"/>
      <c r="F499" s="2"/>
    </row>
    <row r="500" spans="2:6" x14ac:dyDescent="0.25">
      <c r="B500" s="2"/>
      <c r="C500" s="2"/>
      <c r="F500" s="2"/>
    </row>
    <row r="501" spans="2:6" x14ac:dyDescent="0.25">
      <c r="B501" s="2"/>
      <c r="C501" s="2"/>
      <c r="F501" s="2"/>
    </row>
    <row r="502" spans="2:6" x14ac:dyDescent="0.25">
      <c r="B502" s="2"/>
      <c r="C502" s="2"/>
      <c r="F502" s="2"/>
    </row>
    <row r="503" spans="2:6" x14ac:dyDescent="0.25">
      <c r="B503" s="2"/>
      <c r="C503" s="2"/>
      <c r="F503" s="2"/>
    </row>
    <row r="504" spans="2:6" x14ac:dyDescent="0.25">
      <c r="B504" s="2"/>
      <c r="C504" s="2"/>
      <c r="F504" s="2"/>
    </row>
    <row r="505" spans="2:6" x14ac:dyDescent="0.25">
      <c r="B505" s="2"/>
      <c r="C505" s="2"/>
      <c r="F505" s="2"/>
    </row>
    <row r="506" spans="2:6" x14ac:dyDescent="0.25">
      <c r="B506" s="2"/>
      <c r="C506" s="2"/>
      <c r="F506" s="2"/>
    </row>
    <row r="507" spans="2:6" x14ac:dyDescent="0.25">
      <c r="B507" s="2"/>
      <c r="C507" s="2"/>
      <c r="F507" s="2"/>
    </row>
    <row r="508" spans="2:6" x14ac:dyDescent="0.25">
      <c r="B508" s="2"/>
      <c r="C508" s="2"/>
      <c r="F508" s="2"/>
    </row>
    <row r="509" spans="2:6" x14ac:dyDescent="0.25">
      <c r="B509" s="2"/>
      <c r="C509" s="2"/>
      <c r="F509" s="2"/>
    </row>
    <row r="510" spans="2:6" x14ac:dyDescent="0.25">
      <c r="B510" s="2"/>
      <c r="C510" s="2"/>
      <c r="F510" s="2"/>
    </row>
    <row r="511" spans="2:6" x14ac:dyDescent="0.25">
      <c r="B511" s="2"/>
      <c r="C511" s="2"/>
      <c r="F511" s="2"/>
    </row>
    <row r="512" spans="2:6" x14ac:dyDescent="0.25">
      <c r="B512" s="2"/>
      <c r="C512" s="2"/>
      <c r="F512" s="2"/>
    </row>
    <row r="513" spans="2:6" x14ac:dyDescent="0.25">
      <c r="B513" s="2"/>
      <c r="C513" s="2"/>
      <c r="F513" s="2"/>
    </row>
    <row r="514" spans="2:6" x14ac:dyDescent="0.25">
      <c r="B514" s="2"/>
      <c r="C514" s="2"/>
      <c r="F514" s="2"/>
    </row>
    <row r="515" spans="2:6" x14ac:dyDescent="0.25">
      <c r="B515" s="2"/>
      <c r="C515" s="2"/>
      <c r="F515" s="2"/>
    </row>
    <row r="516" spans="2:6" x14ac:dyDescent="0.25">
      <c r="B516" s="2"/>
      <c r="C516" s="2"/>
      <c r="F516" s="2"/>
    </row>
    <row r="517" spans="2:6" x14ac:dyDescent="0.25">
      <c r="B517" s="2"/>
      <c r="C517" s="2"/>
      <c r="F517" s="2"/>
    </row>
    <row r="518" spans="2:6" x14ac:dyDescent="0.25">
      <c r="B518" s="2"/>
      <c r="C518" s="2"/>
      <c r="F518" s="2"/>
    </row>
    <row r="519" spans="2:6" x14ac:dyDescent="0.25">
      <c r="B519" s="2"/>
      <c r="C519" s="2"/>
      <c r="F519" s="2"/>
    </row>
    <row r="520" spans="2:6" x14ac:dyDescent="0.25">
      <c r="B520" s="2"/>
      <c r="C520" s="2"/>
      <c r="F520" s="2"/>
    </row>
    <row r="521" spans="2:6" x14ac:dyDescent="0.25">
      <c r="B521" s="2"/>
      <c r="C521" s="2"/>
      <c r="F521" s="2"/>
    </row>
    <row r="522" spans="2:6" x14ac:dyDescent="0.25">
      <c r="B522" s="2"/>
      <c r="C522" s="2"/>
      <c r="F522" s="2"/>
    </row>
    <row r="523" spans="2:6" x14ac:dyDescent="0.25">
      <c r="B523" s="2"/>
      <c r="C523" s="2"/>
      <c r="F523" s="2"/>
    </row>
    <row r="524" spans="2:6" x14ac:dyDescent="0.25">
      <c r="B524" s="2"/>
      <c r="C524" s="2"/>
      <c r="F524" s="2"/>
    </row>
    <row r="525" spans="2:6" x14ac:dyDescent="0.25">
      <c r="B525" s="2"/>
      <c r="C525" s="2"/>
      <c r="F525" s="2"/>
    </row>
    <row r="526" spans="2:6" x14ac:dyDescent="0.25">
      <c r="B526" s="2"/>
      <c r="C526" s="2"/>
      <c r="F526" s="2"/>
    </row>
    <row r="527" spans="2:6" x14ac:dyDescent="0.25">
      <c r="B527" s="2"/>
      <c r="C527" s="2"/>
      <c r="F527" s="2"/>
    </row>
    <row r="528" spans="2:6" x14ac:dyDescent="0.25">
      <c r="B528" s="2"/>
      <c r="C528" s="2"/>
      <c r="F528" s="2"/>
    </row>
    <row r="529" spans="2:6" x14ac:dyDescent="0.25">
      <c r="B529" s="2"/>
      <c r="C529" s="2"/>
      <c r="F529" s="2"/>
    </row>
    <row r="530" spans="2:6" x14ac:dyDescent="0.25">
      <c r="B530" s="2"/>
      <c r="C530" s="2"/>
      <c r="F530" s="2"/>
    </row>
    <row r="531" spans="2:6" x14ac:dyDescent="0.25">
      <c r="B531" s="2"/>
      <c r="C531" s="2"/>
      <c r="F531" s="2"/>
    </row>
    <row r="532" spans="2:6" x14ac:dyDescent="0.25">
      <c r="B532" s="2"/>
      <c r="C532" s="2"/>
      <c r="F532" s="2"/>
    </row>
    <row r="533" spans="2:6" x14ac:dyDescent="0.25">
      <c r="B533" s="2"/>
      <c r="C533" s="2"/>
      <c r="F533" s="2"/>
    </row>
    <row r="534" spans="2:6" x14ac:dyDescent="0.25">
      <c r="B534" s="2"/>
      <c r="C534" s="2"/>
      <c r="F534" s="2"/>
    </row>
    <row r="535" spans="2:6" x14ac:dyDescent="0.25">
      <c r="B535" s="2"/>
      <c r="C535" s="2"/>
      <c r="F535" s="2"/>
    </row>
    <row r="536" spans="2:6" x14ac:dyDescent="0.25">
      <c r="B536" s="2"/>
      <c r="C536" s="2"/>
      <c r="F536" s="2"/>
    </row>
    <row r="537" spans="2:6" x14ac:dyDescent="0.25">
      <c r="B537" s="2"/>
      <c r="C537" s="2"/>
      <c r="F537" s="2"/>
    </row>
    <row r="538" spans="2:6" x14ac:dyDescent="0.25">
      <c r="B538" s="2"/>
      <c r="C538" s="2"/>
      <c r="F538" s="2"/>
    </row>
    <row r="539" spans="2:6" x14ac:dyDescent="0.25">
      <c r="B539" s="2"/>
      <c r="C539" s="2"/>
      <c r="F539" s="2"/>
    </row>
    <row r="540" spans="2:6" x14ac:dyDescent="0.25">
      <c r="B540" s="2"/>
      <c r="C540" s="2"/>
      <c r="F540" s="2"/>
    </row>
    <row r="541" spans="2:6" x14ac:dyDescent="0.25">
      <c r="B541" s="2"/>
      <c r="C541" s="2"/>
      <c r="F541" s="2"/>
    </row>
    <row r="542" spans="2:6" x14ac:dyDescent="0.25">
      <c r="B542" s="2"/>
      <c r="C542" s="2"/>
      <c r="F542" s="2"/>
    </row>
    <row r="543" spans="2:6" x14ac:dyDescent="0.25">
      <c r="B543" s="2"/>
      <c r="C543" s="2"/>
      <c r="F543" s="2"/>
    </row>
    <row r="544" spans="2:6" x14ac:dyDescent="0.25">
      <c r="B544" s="2"/>
      <c r="C544" s="2"/>
      <c r="F544" s="2"/>
    </row>
    <row r="545" spans="2:6" x14ac:dyDescent="0.25">
      <c r="B545" s="2"/>
      <c r="C545" s="2"/>
      <c r="F545" s="2"/>
    </row>
    <row r="546" spans="2:6" x14ac:dyDescent="0.25">
      <c r="B546" s="2"/>
      <c r="C546" s="2"/>
      <c r="F546" s="2"/>
    </row>
    <row r="547" spans="2:6" x14ac:dyDescent="0.25">
      <c r="B547" s="2"/>
      <c r="C547" s="2"/>
      <c r="F547" s="2"/>
    </row>
    <row r="548" spans="2:6" x14ac:dyDescent="0.25">
      <c r="B548" s="2"/>
      <c r="C548" s="2"/>
      <c r="F548" s="2"/>
    </row>
    <row r="549" spans="2:6" x14ac:dyDescent="0.25">
      <c r="B549" s="2"/>
      <c r="C549" s="2"/>
      <c r="F549" s="2"/>
    </row>
    <row r="550" spans="2:6" x14ac:dyDescent="0.25">
      <c r="B550" s="2"/>
      <c r="C550" s="2"/>
      <c r="F550" s="2"/>
    </row>
    <row r="551" spans="2:6" x14ac:dyDescent="0.25">
      <c r="B551" s="2"/>
      <c r="C551" s="2"/>
      <c r="F551" s="2"/>
    </row>
    <row r="552" spans="2:6" x14ac:dyDescent="0.25">
      <c r="B552" s="2"/>
      <c r="C552" s="2"/>
      <c r="F552" s="2"/>
    </row>
    <row r="553" spans="2:6" x14ac:dyDescent="0.25">
      <c r="B553" s="2"/>
      <c r="C553" s="2"/>
      <c r="F553" s="2"/>
    </row>
    <row r="554" spans="2:6" x14ac:dyDescent="0.25">
      <c r="B554" s="2"/>
      <c r="C554" s="2"/>
      <c r="F554" s="2"/>
    </row>
    <row r="555" spans="2:6" x14ac:dyDescent="0.25">
      <c r="B555" s="2"/>
      <c r="C555" s="2"/>
      <c r="F555" s="2"/>
    </row>
    <row r="556" spans="2:6" x14ac:dyDescent="0.25">
      <c r="B556" s="2"/>
      <c r="C556" s="2"/>
      <c r="F556" s="2"/>
    </row>
    <row r="557" spans="2:6" x14ac:dyDescent="0.25">
      <c r="B557" s="2"/>
      <c r="C557" s="2"/>
      <c r="F557" s="2"/>
    </row>
    <row r="558" spans="2:6" x14ac:dyDescent="0.25">
      <c r="B558" s="2"/>
      <c r="C558" s="2"/>
      <c r="F558" s="2"/>
    </row>
    <row r="559" spans="2:6" x14ac:dyDescent="0.25">
      <c r="B559" s="2"/>
      <c r="C559" s="2"/>
      <c r="F559" s="2"/>
    </row>
    <row r="560" spans="2:6" x14ac:dyDescent="0.25">
      <c r="B560" s="2"/>
      <c r="C560" s="2"/>
      <c r="F560" s="2"/>
    </row>
    <row r="561" spans="2:6" x14ac:dyDescent="0.25">
      <c r="B561" s="2"/>
      <c r="C561" s="2"/>
      <c r="F561" s="2"/>
    </row>
    <row r="562" spans="2:6" x14ac:dyDescent="0.25">
      <c r="B562" s="2"/>
      <c r="C562" s="2"/>
      <c r="F562" s="2"/>
    </row>
    <row r="563" spans="2:6" x14ac:dyDescent="0.25">
      <c r="B563" s="2"/>
      <c r="C563" s="2"/>
      <c r="F563" s="2"/>
    </row>
    <row r="564" spans="2:6" x14ac:dyDescent="0.25">
      <c r="B564" s="2"/>
      <c r="C564" s="2"/>
      <c r="F564" s="2"/>
    </row>
    <row r="565" spans="2:6" x14ac:dyDescent="0.25">
      <c r="B565" s="2"/>
      <c r="C565" s="2"/>
      <c r="F565" s="2"/>
    </row>
    <row r="566" spans="2:6" x14ac:dyDescent="0.25">
      <c r="B566" s="2"/>
      <c r="C566" s="2"/>
      <c r="F566" s="2"/>
    </row>
    <row r="567" spans="2:6" x14ac:dyDescent="0.25">
      <c r="B567" s="2"/>
      <c r="C567" s="2"/>
      <c r="F567" s="2"/>
    </row>
    <row r="568" spans="2:6" x14ac:dyDescent="0.25">
      <c r="B568" s="2"/>
      <c r="C568" s="2"/>
      <c r="F568" s="2"/>
    </row>
    <row r="569" spans="2:6" x14ac:dyDescent="0.25">
      <c r="B569" s="2"/>
      <c r="C569" s="2"/>
      <c r="F569" s="2"/>
    </row>
    <row r="570" spans="2:6" x14ac:dyDescent="0.25">
      <c r="B570" s="2"/>
      <c r="C570" s="2"/>
      <c r="F570" s="2"/>
    </row>
    <row r="571" spans="2:6" x14ac:dyDescent="0.25">
      <c r="B571" s="2"/>
      <c r="C571" s="2"/>
      <c r="F571" s="2"/>
    </row>
    <row r="572" spans="2:6" x14ac:dyDescent="0.25">
      <c r="B572" s="2"/>
      <c r="C572" s="2"/>
      <c r="F572" s="2"/>
    </row>
    <row r="573" spans="2:6" x14ac:dyDescent="0.25">
      <c r="B573" s="2"/>
      <c r="C573" s="2"/>
      <c r="F573" s="2"/>
    </row>
    <row r="574" spans="2:6" x14ac:dyDescent="0.25">
      <c r="B574" s="2"/>
      <c r="C574" s="2"/>
      <c r="F574" s="2"/>
    </row>
    <row r="575" spans="2:6" x14ac:dyDescent="0.25">
      <c r="B575" s="2"/>
      <c r="C575" s="2"/>
      <c r="F575" s="2"/>
    </row>
    <row r="576" spans="2:6" x14ac:dyDescent="0.25">
      <c r="B576" s="2"/>
      <c r="C576" s="2"/>
      <c r="F576" s="2"/>
    </row>
    <row r="577" spans="2:6" x14ac:dyDescent="0.25">
      <c r="B577" s="2"/>
      <c r="C577" s="2"/>
      <c r="F577" s="2"/>
    </row>
    <row r="578" spans="2:6" x14ac:dyDescent="0.25">
      <c r="B578" s="2"/>
      <c r="C578" s="2"/>
      <c r="F578" s="2"/>
    </row>
    <row r="579" spans="2:6" x14ac:dyDescent="0.25">
      <c r="B579" s="2"/>
      <c r="C579" s="2"/>
      <c r="F579" s="2"/>
    </row>
    <row r="580" spans="2:6" x14ac:dyDescent="0.25">
      <c r="B580" s="2"/>
      <c r="C580" s="2"/>
      <c r="F580" s="2"/>
    </row>
    <row r="581" spans="2:6" x14ac:dyDescent="0.25">
      <c r="B581" s="2"/>
      <c r="C581" s="2"/>
      <c r="F581" s="2"/>
    </row>
    <row r="582" spans="2:6" x14ac:dyDescent="0.25">
      <c r="B582" s="2"/>
      <c r="C582" s="2"/>
      <c r="F582" s="2"/>
    </row>
    <row r="583" spans="2:6" x14ac:dyDescent="0.25">
      <c r="B583" s="2"/>
      <c r="C583" s="2"/>
      <c r="F583" s="2"/>
    </row>
    <row r="584" spans="2:6" x14ac:dyDescent="0.25">
      <c r="B584" s="2"/>
      <c r="C584" s="2"/>
      <c r="F584" s="2"/>
    </row>
    <row r="585" spans="2:6" x14ac:dyDescent="0.25">
      <c r="B585" s="2"/>
      <c r="C585" s="2"/>
      <c r="F585" s="2"/>
    </row>
    <row r="586" spans="2:6" x14ac:dyDescent="0.25">
      <c r="B586" s="2"/>
      <c r="C586" s="2"/>
      <c r="F586" s="2"/>
    </row>
    <row r="587" spans="2:6" x14ac:dyDescent="0.25">
      <c r="B587" s="2"/>
      <c r="C587" s="2"/>
      <c r="F587" s="2"/>
    </row>
    <row r="588" spans="2:6" x14ac:dyDescent="0.25">
      <c r="B588" s="2"/>
      <c r="C588" s="2"/>
      <c r="F588" s="2"/>
    </row>
    <row r="589" spans="2:6" x14ac:dyDescent="0.25">
      <c r="B589" s="2"/>
      <c r="C589" s="2"/>
      <c r="F589" s="2"/>
    </row>
    <row r="590" spans="2:6" x14ac:dyDescent="0.25">
      <c r="B590" s="2"/>
      <c r="C590" s="2"/>
      <c r="F590" s="2"/>
    </row>
    <row r="591" spans="2:6" x14ac:dyDescent="0.25">
      <c r="B591" s="2"/>
      <c r="C591" s="2"/>
      <c r="F591" s="2"/>
    </row>
    <row r="592" spans="2:6" x14ac:dyDescent="0.25">
      <c r="B592" s="2"/>
      <c r="C592" s="2"/>
      <c r="F592" s="2"/>
    </row>
    <row r="593" spans="2:6" x14ac:dyDescent="0.25">
      <c r="B593" s="2"/>
      <c r="C593" s="2"/>
      <c r="F593" s="2"/>
    </row>
    <row r="594" spans="2:6" x14ac:dyDescent="0.25">
      <c r="B594" s="2"/>
      <c r="C594" s="2"/>
      <c r="F594" s="2"/>
    </row>
    <row r="595" spans="2:6" x14ac:dyDescent="0.25">
      <c r="B595" s="2"/>
      <c r="C595" s="2"/>
      <c r="F595" s="2"/>
    </row>
    <row r="596" spans="2:6" x14ac:dyDescent="0.25">
      <c r="B596" s="2"/>
      <c r="C596" s="2"/>
      <c r="F596" s="2"/>
    </row>
    <row r="597" spans="2:6" x14ac:dyDescent="0.25">
      <c r="B597" s="2"/>
      <c r="C597" s="2"/>
      <c r="F597" s="2"/>
    </row>
    <row r="598" spans="2:6" x14ac:dyDescent="0.25">
      <c r="B598" s="2"/>
      <c r="C598" s="2"/>
      <c r="F598" s="2"/>
    </row>
    <row r="599" spans="2:6" x14ac:dyDescent="0.25">
      <c r="B599" s="2"/>
      <c r="C599" s="2"/>
      <c r="F599" s="2"/>
    </row>
    <row r="600" spans="2:6" x14ac:dyDescent="0.25">
      <c r="B600" s="2"/>
      <c r="C600" s="2"/>
      <c r="F600" s="2"/>
    </row>
    <row r="601" spans="2:6" x14ac:dyDescent="0.25">
      <c r="B601" s="2"/>
      <c r="C601" s="2"/>
      <c r="F601" s="2"/>
    </row>
    <row r="602" spans="2:6" x14ac:dyDescent="0.25">
      <c r="B602" s="2"/>
      <c r="C602" s="2"/>
      <c r="F602" s="2"/>
    </row>
    <row r="603" spans="2:6" x14ac:dyDescent="0.25">
      <c r="B603" s="2"/>
      <c r="C603" s="2"/>
      <c r="F603" s="2"/>
    </row>
    <row r="604" spans="2:6" x14ac:dyDescent="0.25">
      <c r="B604" s="2"/>
      <c r="C604" s="2"/>
      <c r="F604" s="2"/>
    </row>
    <row r="605" spans="2:6" x14ac:dyDescent="0.25">
      <c r="B605" s="2"/>
      <c r="C605" s="2"/>
      <c r="F605" s="2"/>
    </row>
    <row r="606" spans="2:6" x14ac:dyDescent="0.25">
      <c r="B606" s="2"/>
      <c r="C606" s="2"/>
      <c r="F606" s="2"/>
    </row>
    <row r="607" spans="2:6" x14ac:dyDescent="0.25">
      <c r="B607" s="2"/>
      <c r="C607" s="2"/>
      <c r="F607" s="2"/>
    </row>
    <row r="608" spans="2:6" x14ac:dyDescent="0.25">
      <c r="B608" s="2"/>
      <c r="C608" s="2"/>
      <c r="F608" s="2"/>
    </row>
    <row r="609" spans="2:6" x14ac:dyDescent="0.25">
      <c r="B609" s="2"/>
      <c r="C609" s="2"/>
      <c r="F609" s="2"/>
    </row>
    <row r="610" spans="2:6" x14ac:dyDescent="0.25">
      <c r="B610" s="2"/>
      <c r="C610" s="2"/>
      <c r="F610" s="2"/>
    </row>
    <row r="611" spans="2:6" x14ac:dyDescent="0.25">
      <c r="B611" s="2"/>
      <c r="C611" s="2"/>
      <c r="F611" s="2"/>
    </row>
    <row r="612" spans="2:6" x14ac:dyDescent="0.25">
      <c r="B612" s="2"/>
      <c r="C612" s="2"/>
      <c r="F612" s="2"/>
    </row>
    <row r="613" spans="2:6" x14ac:dyDescent="0.25">
      <c r="B613" s="2"/>
      <c r="C613" s="2"/>
      <c r="F613" s="2"/>
    </row>
    <row r="614" spans="2:6" x14ac:dyDescent="0.25">
      <c r="B614" s="2"/>
      <c r="C614" s="2"/>
      <c r="F614" s="2"/>
    </row>
    <row r="615" spans="2:6" x14ac:dyDescent="0.25">
      <c r="B615" s="2"/>
      <c r="C615" s="2"/>
      <c r="F615" s="2"/>
    </row>
    <row r="616" spans="2:6" x14ac:dyDescent="0.25">
      <c r="B616" s="2"/>
      <c r="C616" s="2"/>
      <c r="F616" s="2"/>
    </row>
    <row r="617" spans="2:6" x14ac:dyDescent="0.25">
      <c r="B617" s="2"/>
      <c r="C617" s="2"/>
      <c r="F617" s="2"/>
    </row>
    <row r="618" spans="2:6" x14ac:dyDescent="0.25">
      <c r="B618" s="2"/>
      <c r="C618" s="2"/>
      <c r="F618" s="2"/>
    </row>
    <row r="619" spans="2:6" x14ac:dyDescent="0.25">
      <c r="B619" s="2"/>
      <c r="C619" s="2"/>
      <c r="F619" s="2"/>
    </row>
    <row r="620" spans="2:6" x14ac:dyDescent="0.25">
      <c r="B620" s="2"/>
      <c r="C620" s="2"/>
      <c r="F620" s="2"/>
    </row>
    <row r="621" spans="2:6" x14ac:dyDescent="0.25">
      <c r="B621" s="2"/>
      <c r="C621" s="2"/>
      <c r="F621" s="2"/>
    </row>
    <row r="622" spans="2:6" x14ac:dyDescent="0.25">
      <c r="B622" s="2"/>
      <c r="C622" s="2"/>
      <c r="F622" s="2"/>
    </row>
    <row r="623" spans="2:6" x14ac:dyDescent="0.25">
      <c r="B623" s="2"/>
      <c r="C623" s="2"/>
      <c r="F623" s="2"/>
    </row>
    <row r="624" spans="2:6" x14ac:dyDescent="0.25">
      <c r="B624" s="2"/>
      <c r="C624" s="2"/>
      <c r="F624" s="2"/>
    </row>
    <row r="625" spans="2:6" x14ac:dyDescent="0.25">
      <c r="B625" s="2"/>
      <c r="C625" s="2"/>
      <c r="F625" s="2"/>
    </row>
    <row r="626" spans="2:6" x14ac:dyDescent="0.25">
      <c r="B626" s="2"/>
      <c r="C626" s="2"/>
      <c r="F626" s="2"/>
    </row>
    <row r="627" spans="2:6" x14ac:dyDescent="0.25">
      <c r="B627" s="2"/>
      <c r="C627" s="2"/>
      <c r="F627" s="2"/>
    </row>
    <row r="628" spans="2:6" x14ac:dyDescent="0.25">
      <c r="B628" s="2"/>
      <c r="C628" s="2"/>
      <c r="F628" s="2"/>
    </row>
    <row r="629" spans="2:6" x14ac:dyDescent="0.25">
      <c r="B629" s="2"/>
      <c r="C629" s="2"/>
      <c r="F629" s="2"/>
    </row>
    <row r="630" spans="2:6" x14ac:dyDescent="0.25">
      <c r="B630" s="2"/>
      <c r="C630" s="2"/>
      <c r="F630" s="2"/>
    </row>
    <row r="631" spans="2:6" x14ac:dyDescent="0.25">
      <c r="B631" s="2"/>
      <c r="C631" s="2"/>
      <c r="F631" s="2"/>
    </row>
    <row r="632" spans="2:6" x14ac:dyDescent="0.25">
      <c r="B632" s="2"/>
      <c r="C632" s="2"/>
      <c r="F632" s="2"/>
    </row>
    <row r="633" spans="2:6" x14ac:dyDescent="0.25">
      <c r="B633" s="2"/>
      <c r="C633" s="2"/>
      <c r="F633" s="2"/>
    </row>
    <row r="634" spans="2:6" x14ac:dyDescent="0.25">
      <c r="B634" s="2"/>
      <c r="C634" s="2"/>
      <c r="F634" s="2"/>
    </row>
    <row r="635" spans="2:6" x14ac:dyDescent="0.25">
      <c r="B635" s="2"/>
      <c r="C635" s="2"/>
      <c r="F635" s="2"/>
    </row>
    <row r="636" spans="2:6" x14ac:dyDescent="0.25">
      <c r="B636" s="2"/>
      <c r="C636" s="2"/>
      <c r="F636" s="2"/>
    </row>
    <row r="637" spans="2:6" x14ac:dyDescent="0.25">
      <c r="B637" s="2"/>
      <c r="C637" s="2"/>
      <c r="F637" s="2"/>
    </row>
    <row r="638" spans="2:6" x14ac:dyDescent="0.25">
      <c r="B638" s="2"/>
      <c r="C638" s="2"/>
      <c r="F638" s="2"/>
    </row>
    <row r="639" spans="2:6" x14ac:dyDescent="0.25">
      <c r="B639" s="2"/>
      <c r="C639" s="2"/>
      <c r="F639" s="2"/>
    </row>
    <row r="640" spans="2:6" x14ac:dyDescent="0.25">
      <c r="B640" s="2"/>
      <c r="C640" s="2"/>
      <c r="F640" s="2"/>
    </row>
    <row r="641" spans="2:6" x14ac:dyDescent="0.25">
      <c r="B641" s="2"/>
      <c r="C641" s="2"/>
      <c r="F641" s="2"/>
    </row>
    <row r="642" spans="2:6" x14ac:dyDescent="0.25">
      <c r="B642" s="2"/>
      <c r="C642" s="2"/>
      <c r="F642" s="2"/>
    </row>
    <row r="643" spans="2:6" x14ac:dyDescent="0.25">
      <c r="B643" s="2"/>
      <c r="C643" s="2"/>
      <c r="F643" s="2"/>
    </row>
    <row r="644" spans="2:6" x14ac:dyDescent="0.25">
      <c r="B644" s="2"/>
      <c r="C644" s="2"/>
      <c r="F644" s="2"/>
    </row>
    <row r="645" spans="2:6" x14ac:dyDescent="0.25">
      <c r="B645" s="2"/>
      <c r="C645" s="2"/>
      <c r="F645" s="2"/>
    </row>
    <row r="646" spans="2:6" x14ac:dyDescent="0.25">
      <c r="B646" s="2"/>
      <c r="C646" s="2"/>
      <c r="F646" s="2"/>
    </row>
    <row r="647" spans="2:6" x14ac:dyDescent="0.25">
      <c r="B647" s="2"/>
      <c r="C647" s="2"/>
      <c r="F647" s="2"/>
    </row>
    <row r="648" spans="2:6" x14ac:dyDescent="0.25">
      <c r="B648" s="2"/>
      <c r="C648" s="2"/>
      <c r="F648" s="2"/>
    </row>
    <row r="649" spans="2:6" x14ac:dyDescent="0.25">
      <c r="B649" s="2"/>
      <c r="C649" s="2"/>
      <c r="F649" s="2"/>
    </row>
    <row r="650" spans="2:6" x14ac:dyDescent="0.25">
      <c r="B650" s="2"/>
      <c r="C650" s="2"/>
      <c r="F650" s="2"/>
    </row>
    <row r="651" spans="2:6" x14ac:dyDescent="0.25">
      <c r="B651" s="2"/>
      <c r="C651" s="2"/>
      <c r="F651" s="2"/>
    </row>
    <row r="652" spans="2:6" x14ac:dyDescent="0.25">
      <c r="B652" s="2"/>
      <c r="C652" s="2"/>
      <c r="F652" s="2"/>
    </row>
    <row r="653" spans="2:6" x14ac:dyDescent="0.25">
      <c r="B653" s="2"/>
      <c r="C653" s="2"/>
      <c r="F653" s="2"/>
    </row>
    <row r="654" spans="2:6" x14ac:dyDescent="0.25">
      <c r="B654" s="2"/>
      <c r="C654" s="2"/>
      <c r="F654" s="2"/>
    </row>
    <row r="655" spans="2:6" x14ac:dyDescent="0.25">
      <c r="B655" s="2"/>
      <c r="C655" s="2"/>
      <c r="F655" s="2"/>
    </row>
    <row r="656" spans="2:6" x14ac:dyDescent="0.25">
      <c r="B656" s="2"/>
      <c r="C656" s="2"/>
      <c r="F656" s="2"/>
    </row>
    <row r="657" spans="2:6" x14ac:dyDescent="0.25">
      <c r="B657" s="2"/>
      <c r="C657" s="2"/>
      <c r="F657" s="2"/>
    </row>
    <row r="658" spans="2:6" x14ac:dyDescent="0.25">
      <c r="B658" s="2"/>
      <c r="C658" s="2"/>
      <c r="F658" s="2"/>
    </row>
    <row r="659" spans="2:6" x14ac:dyDescent="0.25">
      <c r="B659" s="2"/>
      <c r="C659" s="2"/>
      <c r="F659" s="2"/>
    </row>
    <row r="660" spans="2:6" x14ac:dyDescent="0.25">
      <c r="B660" s="2"/>
      <c r="C660" s="2"/>
      <c r="F660" s="2"/>
    </row>
    <row r="661" spans="2:6" x14ac:dyDescent="0.25">
      <c r="B661" s="2"/>
      <c r="C661" s="2"/>
      <c r="F661" s="2"/>
    </row>
    <row r="662" spans="2:6" x14ac:dyDescent="0.25">
      <c r="B662" s="2"/>
      <c r="C662" s="2"/>
      <c r="F662" s="2"/>
    </row>
    <row r="663" spans="2:6" x14ac:dyDescent="0.25">
      <c r="B663" s="2"/>
      <c r="C663" s="2"/>
      <c r="F663" s="2"/>
    </row>
    <row r="664" spans="2:6" x14ac:dyDescent="0.25">
      <c r="B664" s="2"/>
      <c r="C664" s="2"/>
      <c r="F664" s="2"/>
    </row>
    <row r="665" spans="2:6" x14ac:dyDescent="0.25">
      <c r="B665" s="2"/>
      <c r="C665" s="2"/>
      <c r="F665" s="2"/>
    </row>
    <row r="666" spans="2:6" x14ac:dyDescent="0.25">
      <c r="B666" s="2"/>
      <c r="C666" s="2"/>
      <c r="F666" s="2"/>
    </row>
    <row r="667" spans="2:6" x14ac:dyDescent="0.25">
      <c r="B667" s="2"/>
      <c r="C667" s="2"/>
      <c r="F667" s="2"/>
    </row>
    <row r="668" spans="2:6" x14ac:dyDescent="0.25">
      <c r="B668" s="2"/>
      <c r="C668" s="2"/>
      <c r="F668" s="2"/>
    </row>
    <row r="669" spans="2:6" x14ac:dyDescent="0.25">
      <c r="B669" s="2"/>
      <c r="C669" s="2"/>
      <c r="F669" s="2"/>
    </row>
    <row r="670" spans="2:6" x14ac:dyDescent="0.25">
      <c r="B670" s="2"/>
      <c r="C670" s="2"/>
      <c r="F670" s="2"/>
    </row>
    <row r="671" spans="2:6" x14ac:dyDescent="0.25">
      <c r="B671" s="2"/>
      <c r="C671" s="2"/>
      <c r="F671" s="2"/>
    </row>
    <row r="672" spans="2:6" x14ac:dyDescent="0.25">
      <c r="B672" s="2"/>
      <c r="C672" s="2"/>
      <c r="F672" s="2"/>
    </row>
    <row r="673" spans="2:6" x14ac:dyDescent="0.25">
      <c r="B673" s="2"/>
      <c r="C673" s="2"/>
      <c r="F673" s="2"/>
    </row>
    <row r="674" spans="2:6" x14ac:dyDescent="0.25">
      <c r="B674" s="2"/>
      <c r="C674" s="2"/>
      <c r="F674" s="2"/>
    </row>
    <row r="675" spans="2:6" x14ac:dyDescent="0.25">
      <c r="B675" s="2"/>
      <c r="C675" s="2"/>
      <c r="F675" s="2"/>
    </row>
    <row r="676" spans="2:6" x14ac:dyDescent="0.25">
      <c r="B676" s="2"/>
      <c r="C676" s="2"/>
      <c r="F676" s="2"/>
    </row>
    <row r="677" spans="2:6" x14ac:dyDescent="0.25">
      <c r="B677" s="2"/>
      <c r="C677" s="2"/>
      <c r="F677" s="2"/>
    </row>
    <row r="678" spans="2:6" x14ac:dyDescent="0.25">
      <c r="B678" s="2"/>
      <c r="C678" s="2"/>
      <c r="F678" s="2"/>
    </row>
    <row r="679" spans="2:6" x14ac:dyDescent="0.25">
      <c r="B679" s="2"/>
      <c r="C679" s="2"/>
      <c r="F679" s="2"/>
    </row>
    <row r="680" spans="2:6" x14ac:dyDescent="0.25">
      <c r="B680" s="2"/>
      <c r="C680" s="2"/>
      <c r="F680" s="2"/>
    </row>
    <row r="681" spans="2:6" x14ac:dyDescent="0.25">
      <c r="B681" s="2"/>
      <c r="C681" s="2"/>
      <c r="F681" s="2"/>
    </row>
    <row r="682" spans="2:6" x14ac:dyDescent="0.25">
      <c r="B682" s="2"/>
      <c r="C682" s="2"/>
      <c r="F682" s="2"/>
    </row>
    <row r="683" spans="2:6" x14ac:dyDescent="0.25">
      <c r="B683" s="2"/>
      <c r="C683" s="2"/>
      <c r="F683" s="2"/>
    </row>
    <row r="684" spans="2:6" x14ac:dyDescent="0.25">
      <c r="B684" s="2"/>
      <c r="C684" s="2"/>
      <c r="F684" s="2"/>
    </row>
    <row r="685" spans="2:6" x14ac:dyDescent="0.25">
      <c r="B685" s="2"/>
      <c r="C685" s="2"/>
      <c r="F685" s="2"/>
    </row>
    <row r="686" spans="2:6" x14ac:dyDescent="0.25">
      <c r="B686" s="2"/>
      <c r="C686" s="2"/>
      <c r="F686" s="2"/>
    </row>
    <row r="687" spans="2:6" x14ac:dyDescent="0.25">
      <c r="B687" s="2"/>
      <c r="C687" s="2"/>
      <c r="F687" s="2"/>
    </row>
    <row r="688" spans="2:6" x14ac:dyDescent="0.25">
      <c r="B688" s="2"/>
      <c r="C688" s="2"/>
      <c r="F688" s="2"/>
    </row>
    <row r="689" spans="2:6" x14ac:dyDescent="0.25">
      <c r="B689" s="2"/>
      <c r="C689" s="2"/>
      <c r="F689" s="2"/>
    </row>
    <row r="690" spans="2:6" x14ac:dyDescent="0.25">
      <c r="B690" s="2"/>
      <c r="C690" s="2"/>
      <c r="F690" s="2"/>
    </row>
    <row r="691" spans="2:6" x14ac:dyDescent="0.25">
      <c r="B691" s="2"/>
      <c r="C691" s="2"/>
      <c r="F691" s="2"/>
    </row>
    <row r="692" spans="2:6" x14ac:dyDescent="0.25">
      <c r="B692" s="2"/>
      <c r="C692" s="2"/>
      <c r="F692" s="2"/>
    </row>
    <row r="693" spans="2:6" x14ac:dyDescent="0.25">
      <c r="B693" s="2"/>
      <c r="C693" s="2"/>
      <c r="F693" s="2"/>
    </row>
    <row r="694" spans="2:6" x14ac:dyDescent="0.25">
      <c r="B694" s="2"/>
      <c r="C694" s="2"/>
      <c r="F694" s="2"/>
    </row>
    <row r="695" spans="2:6" x14ac:dyDescent="0.25">
      <c r="B695" s="2"/>
      <c r="C695" s="2"/>
      <c r="F695" s="2"/>
    </row>
    <row r="696" spans="2:6" x14ac:dyDescent="0.25">
      <c r="B696" s="2"/>
      <c r="C696" s="2"/>
      <c r="F696" s="2"/>
    </row>
    <row r="697" spans="2:6" x14ac:dyDescent="0.25">
      <c r="B697" s="2"/>
      <c r="C697" s="2"/>
      <c r="F697" s="2"/>
    </row>
    <row r="698" spans="2:6" x14ac:dyDescent="0.25">
      <c r="B698" s="2"/>
      <c r="C698" s="2"/>
      <c r="F698" s="2"/>
    </row>
    <row r="699" spans="2:6" x14ac:dyDescent="0.25">
      <c r="B699" s="2"/>
      <c r="C699" s="2"/>
      <c r="F699" s="2"/>
    </row>
    <row r="700" spans="2:6" x14ac:dyDescent="0.25">
      <c r="B700" s="2"/>
      <c r="C700" s="2"/>
      <c r="F700" s="2"/>
    </row>
    <row r="701" spans="2:6" x14ac:dyDescent="0.25">
      <c r="B701" s="2"/>
      <c r="C701" s="2"/>
      <c r="F701" s="2"/>
    </row>
    <row r="702" spans="2:6" x14ac:dyDescent="0.25">
      <c r="B702" s="2"/>
      <c r="C702" s="2"/>
      <c r="F702" s="2"/>
    </row>
    <row r="703" spans="2:6" x14ac:dyDescent="0.25">
      <c r="B703" s="2"/>
      <c r="C703" s="2"/>
      <c r="F703" s="2"/>
    </row>
    <row r="704" spans="2:6" x14ac:dyDescent="0.25">
      <c r="B704" s="2"/>
      <c r="C704" s="2"/>
      <c r="F704" s="2"/>
    </row>
    <row r="705" spans="2:6" x14ac:dyDescent="0.25">
      <c r="B705" s="2"/>
      <c r="C705" s="2"/>
      <c r="F705" s="2"/>
    </row>
    <row r="706" spans="2:6" x14ac:dyDescent="0.25">
      <c r="B706" s="2"/>
      <c r="C706" s="2"/>
      <c r="F706" s="2"/>
    </row>
    <row r="707" spans="2:6" x14ac:dyDescent="0.25">
      <c r="B707" s="2"/>
      <c r="C707" s="2"/>
      <c r="F707" s="2"/>
    </row>
    <row r="708" spans="2:6" x14ac:dyDescent="0.25">
      <c r="B708" s="2"/>
      <c r="C708" s="2"/>
      <c r="F708" s="2"/>
    </row>
    <row r="709" spans="2:6" x14ac:dyDescent="0.25">
      <c r="B709" s="2"/>
      <c r="C709" s="2"/>
      <c r="F709" s="2"/>
    </row>
    <row r="710" spans="2:6" x14ac:dyDescent="0.25">
      <c r="B710" s="2"/>
      <c r="C710" s="2"/>
      <c r="F710" s="2"/>
    </row>
    <row r="711" spans="2:6" x14ac:dyDescent="0.25">
      <c r="B711" s="2"/>
      <c r="C711" s="2"/>
      <c r="F711" s="2"/>
    </row>
    <row r="712" spans="2:6" x14ac:dyDescent="0.25">
      <c r="B712" s="2"/>
      <c r="C712" s="2"/>
      <c r="F712" s="2"/>
    </row>
    <row r="713" spans="2:6" x14ac:dyDescent="0.25">
      <c r="B713" s="2"/>
      <c r="C713" s="2"/>
      <c r="F713" s="2"/>
    </row>
    <row r="714" spans="2:6" x14ac:dyDescent="0.25">
      <c r="B714" s="2"/>
      <c r="C714" s="2"/>
      <c r="F714" s="2"/>
    </row>
    <row r="715" spans="2:6" x14ac:dyDescent="0.25">
      <c r="B715" s="2"/>
      <c r="C715" s="2"/>
      <c r="F715" s="2"/>
    </row>
    <row r="716" spans="2:6" x14ac:dyDescent="0.25">
      <c r="B716" s="2"/>
      <c r="C716" s="2"/>
      <c r="F716" s="2"/>
    </row>
    <row r="717" spans="2:6" x14ac:dyDescent="0.25">
      <c r="B717" s="2"/>
      <c r="C717" s="2"/>
      <c r="F717" s="2"/>
    </row>
    <row r="718" spans="2:6" x14ac:dyDescent="0.25">
      <c r="B718" s="2"/>
      <c r="C718" s="2"/>
      <c r="F718" s="2"/>
    </row>
    <row r="719" spans="2:6" x14ac:dyDescent="0.25">
      <c r="B719" s="2"/>
      <c r="C719" s="2"/>
      <c r="F719" s="2"/>
    </row>
    <row r="720" spans="2:6" x14ac:dyDescent="0.25">
      <c r="B720" s="2"/>
      <c r="C720" s="2"/>
      <c r="F720" s="2"/>
    </row>
    <row r="721" spans="2:6" x14ac:dyDescent="0.25">
      <c r="B721" s="2"/>
      <c r="C721" s="2"/>
      <c r="F721" s="2"/>
    </row>
    <row r="722" spans="2:6" x14ac:dyDescent="0.25">
      <c r="B722" s="2"/>
      <c r="C722" s="2"/>
      <c r="F722" s="2"/>
    </row>
    <row r="723" spans="2:6" x14ac:dyDescent="0.25">
      <c r="B723" s="2"/>
      <c r="C723" s="2"/>
      <c r="F723" s="2"/>
    </row>
    <row r="724" spans="2:6" x14ac:dyDescent="0.25">
      <c r="B724" s="2"/>
      <c r="C724" s="2"/>
      <c r="F724" s="2"/>
    </row>
    <row r="725" spans="2:6" x14ac:dyDescent="0.25">
      <c r="B725" s="2"/>
      <c r="C725" s="2"/>
      <c r="F725" s="2"/>
    </row>
    <row r="726" spans="2:6" x14ac:dyDescent="0.25">
      <c r="B726" s="2"/>
      <c r="C726" s="2"/>
      <c r="F726" s="2"/>
    </row>
    <row r="727" spans="2:6" x14ac:dyDescent="0.25">
      <c r="B727" s="2"/>
      <c r="C727" s="2"/>
      <c r="F727" s="2"/>
    </row>
    <row r="728" spans="2:6" x14ac:dyDescent="0.25">
      <c r="B728" s="2"/>
      <c r="C728" s="2"/>
      <c r="F728" s="2"/>
    </row>
    <row r="729" spans="2:6" x14ac:dyDescent="0.25">
      <c r="B729" s="2"/>
      <c r="C729" s="2"/>
      <c r="F729" s="2"/>
    </row>
    <row r="730" spans="2:6" x14ac:dyDescent="0.25">
      <c r="B730" s="2"/>
      <c r="C730" s="2"/>
      <c r="F730" s="2"/>
    </row>
    <row r="731" spans="2:6" x14ac:dyDescent="0.25">
      <c r="B731" s="2"/>
      <c r="C731" s="2"/>
      <c r="F731" s="2"/>
    </row>
    <row r="732" spans="2:6" x14ac:dyDescent="0.25">
      <c r="B732" s="2"/>
      <c r="C732" s="2"/>
      <c r="F732" s="2"/>
    </row>
    <row r="733" spans="2:6" x14ac:dyDescent="0.25">
      <c r="B733" s="2"/>
      <c r="C733" s="2"/>
      <c r="F733" s="2"/>
    </row>
    <row r="734" spans="2:6" x14ac:dyDescent="0.25">
      <c r="B734" s="2"/>
      <c r="C734" s="2"/>
      <c r="F734" s="2"/>
    </row>
    <row r="735" spans="2:6" x14ac:dyDescent="0.25">
      <c r="B735" s="2"/>
      <c r="C735" s="2"/>
      <c r="F735" s="2"/>
    </row>
    <row r="736" spans="2:6" x14ac:dyDescent="0.25">
      <c r="B736" s="2"/>
      <c r="C736" s="2"/>
      <c r="F736" s="2"/>
    </row>
    <row r="737" spans="2:6" x14ac:dyDescent="0.25">
      <c r="B737" s="2"/>
      <c r="C737" s="2"/>
      <c r="F737" s="2"/>
    </row>
    <row r="738" spans="2:6" x14ac:dyDescent="0.25">
      <c r="B738" s="2"/>
      <c r="C738" s="2"/>
      <c r="F738" s="2"/>
    </row>
    <row r="739" spans="2:6" x14ac:dyDescent="0.25">
      <c r="B739" s="2"/>
      <c r="C739" s="2"/>
      <c r="F739" s="2"/>
    </row>
    <row r="740" spans="2:6" x14ac:dyDescent="0.25">
      <c r="B740" s="2"/>
      <c r="C740" s="2"/>
      <c r="F740" s="2"/>
    </row>
    <row r="741" spans="2:6" x14ac:dyDescent="0.25">
      <c r="B741" s="2"/>
      <c r="C741" s="2"/>
      <c r="F741" s="2"/>
    </row>
    <row r="742" spans="2:6" x14ac:dyDescent="0.25">
      <c r="B742" s="2"/>
      <c r="C742" s="2"/>
      <c r="F742" s="2"/>
    </row>
    <row r="743" spans="2:6" x14ac:dyDescent="0.25">
      <c r="B743" s="2"/>
      <c r="C743" s="2"/>
      <c r="F743" s="2"/>
    </row>
    <row r="744" spans="2:6" x14ac:dyDescent="0.25">
      <c r="B744" s="2"/>
      <c r="C744" s="2"/>
      <c r="F744" s="2"/>
    </row>
    <row r="745" spans="2:6" x14ac:dyDescent="0.25">
      <c r="B745" s="2"/>
      <c r="C745" s="2"/>
      <c r="F745" s="2"/>
    </row>
    <row r="746" spans="2:6" x14ac:dyDescent="0.25">
      <c r="B746" s="2"/>
      <c r="C746" s="2"/>
      <c r="F746" s="2"/>
    </row>
    <row r="747" spans="2:6" x14ac:dyDescent="0.25">
      <c r="B747" s="2"/>
      <c r="C747" s="2"/>
      <c r="F747" s="2"/>
    </row>
    <row r="748" spans="2:6" x14ac:dyDescent="0.25">
      <c r="B748" s="2"/>
      <c r="C748" s="2"/>
      <c r="F748" s="2"/>
    </row>
    <row r="749" spans="2:6" x14ac:dyDescent="0.25">
      <c r="B749" s="2"/>
      <c r="C749" s="2"/>
      <c r="F749" s="2"/>
    </row>
    <row r="750" spans="2:6" x14ac:dyDescent="0.25">
      <c r="B750" s="2"/>
      <c r="C750" s="2"/>
      <c r="F750" s="2"/>
    </row>
    <row r="751" spans="2:6" x14ac:dyDescent="0.25">
      <c r="B751" s="2"/>
      <c r="C751" s="2"/>
      <c r="F751" s="2"/>
    </row>
    <row r="752" spans="2:6" x14ac:dyDescent="0.25">
      <c r="B752" s="2"/>
      <c r="C752" s="2"/>
      <c r="F752" s="2"/>
    </row>
    <row r="753" spans="2:6" x14ac:dyDescent="0.25">
      <c r="B753" s="2"/>
      <c r="C753" s="2"/>
      <c r="F753" s="2"/>
    </row>
    <row r="754" spans="2:6" x14ac:dyDescent="0.25">
      <c r="B754" s="2"/>
      <c r="C754" s="2"/>
      <c r="F754" s="2"/>
    </row>
    <row r="755" spans="2:6" x14ac:dyDescent="0.25">
      <c r="B755" s="2"/>
      <c r="C755" s="2"/>
      <c r="F755" s="2"/>
    </row>
    <row r="756" spans="2:6" x14ac:dyDescent="0.25">
      <c r="B756" s="2"/>
      <c r="C756" s="2"/>
      <c r="F756" s="2"/>
    </row>
    <row r="757" spans="2:6" x14ac:dyDescent="0.25">
      <c r="B757" s="2"/>
      <c r="C757" s="2"/>
      <c r="F757" s="2"/>
    </row>
    <row r="758" spans="2:6" x14ac:dyDescent="0.25">
      <c r="B758" s="2"/>
      <c r="C758" s="2"/>
      <c r="F758" s="2"/>
    </row>
    <row r="759" spans="2:6" x14ac:dyDescent="0.25">
      <c r="B759" s="2"/>
      <c r="C759" s="2"/>
      <c r="F759" s="2"/>
    </row>
    <row r="760" spans="2:6" x14ac:dyDescent="0.25">
      <c r="B760" s="2"/>
      <c r="C760" s="2"/>
      <c r="F760" s="2"/>
    </row>
    <row r="761" spans="2:6" x14ac:dyDescent="0.25">
      <c r="B761" s="2"/>
      <c r="C761" s="2"/>
      <c r="F761" s="2"/>
    </row>
    <row r="762" spans="2:6" x14ac:dyDescent="0.25">
      <c r="B762" s="2"/>
      <c r="C762" s="2"/>
      <c r="F762" s="2"/>
    </row>
    <row r="763" spans="2:6" x14ac:dyDescent="0.25">
      <c r="B763" s="2"/>
      <c r="C763" s="2"/>
      <c r="F763" s="2"/>
    </row>
    <row r="764" spans="2:6" x14ac:dyDescent="0.25">
      <c r="B764" s="2"/>
      <c r="C764" s="2"/>
      <c r="F764" s="2"/>
    </row>
    <row r="765" spans="2:6" x14ac:dyDescent="0.25">
      <c r="B765" s="2"/>
      <c r="C765" s="2"/>
      <c r="F765" s="2"/>
    </row>
    <row r="766" spans="2:6" x14ac:dyDescent="0.25">
      <c r="B766" s="2"/>
      <c r="C766" s="2"/>
      <c r="F766" s="2"/>
    </row>
    <row r="767" spans="2:6" x14ac:dyDescent="0.25">
      <c r="B767" s="2"/>
      <c r="C767" s="2"/>
      <c r="F767" s="2"/>
    </row>
    <row r="768" spans="2:6" x14ac:dyDescent="0.25">
      <c r="B768" s="2"/>
      <c r="C768" s="2"/>
      <c r="F768" s="2"/>
    </row>
    <row r="769" spans="2:6" x14ac:dyDescent="0.25">
      <c r="B769" s="2"/>
      <c r="C769" s="2"/>
      <c r="F769" s="2"/>
    </row>
    <row r="770" spans="2:6" x14ac:dyDescent="0.25">
      <c r="B770" s="2"/>
      <c r="C770" s="2"/>
      <c r="F770" s="2"/>
    </row>
    <row r="771" spans="2:6" x14ac:dyDescent="0.25">
      <c r="B771" s="2"/>
      <c r="C771" s="2"/>
      <c r="F771" s="2"/>
    </row>
    <row r="772" spans="2:6" x14ac:dyDescent="0.25">
      <c r="B772" s="2"/>
      <c r="C772" s="2"/>
      <c r="F772" s="2"/>
    </row>
    <row r="773" spans="2:6" x14ac:dyDescent="0.25">
      <c r="B773" s="2"/>
      <c r="C773" s="2"/>
      <c r="F773" s="2"/>
    </row>
    <row r="774" spans="2:6" x14ac:dyDescent="0.25">
      <c r="B774" s="2"/>
      <c r="C774" s="2"/>
      <c r="F774" s="2"/>
    </row>
    <row r="775" spans="2:6" x14ac:dyDescent="0.25">
      <c r="B775" s="2"/>
      <c r="C775" s="2"/>
      <c r="F775" s="2"/>
    </row>
    <row r="776" spans="2:6" x14ac:dyDescent="0.25">
      <c r="B776" s="2"/>
      <c r="C776" s="2"/>
      <c r="F776" s="2"/>
    </row>
    <row r="777" spans="2:6" x14ac:dyDescent="0.25">
      <c r="B777" s="2"/>
      <c r="C777" s="2"/>
      <c r="F777" s="2"/>
    </row>
    <row r="778" spans="2:6" x14ac:dyDescent="0.25">
      <c r="B778" s="2"/>
      <c r="C778" s="2"/>
      <c r="F778" s="2"/>
    </row>
    <row r="779" spans="2:6" x14ac:dyDescent="0.25">
      <c r="B779" s="2"/>
      <c r="C779" s="2"/>
      <c r="F779" s="2"/>
    </row>
    <row r="780" spans="2:6" x14ac:dyDescent="0.25">
      <c r="B780" s="2"/>
      <c r="C780" s="2"/>
      <c r="F780" s="2"/>
    </row>
    <row r="781" spans="2:6" x14ac:dyDescent="0.25">
      <c r="B781" s="2"/>
      <c r="C781" s="2"/>
      <c r="F781" s="2"/>
    </row>
    <row r="782" spans="2:6" x14ac:dyDescent="0.25">
      <c r="B782" s="2"/>
      <c r="C782" s="2"/>
      <c r="F782" s="2"/>
    </row>
    <row r="783" spans="2:6" x14ac:dyDescent="0.25">
      <c r="B783" s="2"/>
      <c r="C783" s="2"/>
      <c r="F783" s="2"/>
    </row>
    <row r="784" spans="2:6" x14ac:dyDescent="0.25">
      <c r="B784" s="2"/>
      <c r="C784" s="2"/>
      <c r="F784" s="2"/>
    </row>
    <row r="785" spans="2:6" x14ac:dyDescent="0.25">
      <c r="B785" s="2"/>
      <c r="C785" s="2"/>
      <c r="F785" s="2"/>
    </row>
    <row r="786" spans="2:6" x14ac:dyDescent="0.25">
      <c r="B786" s="2"/>
      <c r="C786" s="2"/>
      <c r="F786" s="2"/>
    </row>
    <row r="787" spans="2:6" x14ac:dyDescent="0.25">
      <c r="B787" s="2"/>
      <c r="C787" s="2"/>
      <c r="F787" s="2"/>
    </row>
    <row r="788" spans="2:6" x14ac:dyDescent="0.25">
      <c r="B788" s="2"/>
      <c r="C788" s="2"/>
      <c r="F788" s="2"/>
    </row>
    <row r="789" spans="2:6" x14ac:dyDescent="0.25">
      <c r="B789" s="2"/>
      <c r="C789" s="2"/>
      <c r="F789" s="2"/>
    </row>
    <row r="790" spans="2:6" x14ac:dyDescent="0.25">
      <c r="B790" s="2"/>
      <c r="C790" s="2"/>
      <c r="F790" s="2"/>
    </row>
    <row r="791" spans="2:6" x14ac:dyDescent="0.25">
      <c r="B791" s="2"/>
      <c r="C791" s="2"/>
      <c r="F791" s="2"/>
    </row>
    <row r="792" spans="2:6" x14ac:dyDescent="0.25">
      <c r="B792" s="2"/>
      <c r="C792" s="2"/>
      <c r="F792" s="2"/>
    </row>
    <row r="793" spans="2:6" x14ac:dyDescent="0.25">
      <c r="B793" s="2"/>
      <c r="C793" s="2"/>
      <c r="F793" s="2"/>
    </row>
    <row r="794" spans="2:6" x14ac:dyDescent="0.25">
      <c r="B794" s="2"/>
      <c r="C794" s="2"/>
      <c r="F794" s="2"/>
    </row>
    <row r="795" spans="2:6" x14ac:dyDescent="0.25">
      <c r="B795" s="2"/>
      <c r="C795" s="2"/>
      <c r="F795" s="2"/>
    </row>
    <row r="796" spans="2:6" x14ac:dyDescent="0.25">
      <c r="B796" s="2"/>
      <c r="C796" s="2"/>
      <c r="F796" s="2"/>
    </row>
    <row r="797" spans="2:6" x14ac:dyDescent="0.25">
      <c r="B797" s="2"/>
      <c r="C797" s="2"/>
      <c r="F797" s="2"/>
    </row>
    <row r="798" spans="2:6" x14ac:dyDescent="0.25">
      <c r="B798" s="2"/>
      <c r="C798" s="2"/>
      <c r="F798" s="2"/>
    </row>
    <row r="799" spans="2:6" x14ac:dyDescent="0.25">
      <c r="B799" s="2"/>
      <c r="C799" s="2"/>
      <c r="F799" s="2"/>
    </row>
    <row r="800" spans="2:6" x14ac:dyDescent="0.25">
      <c r="B800" s="2"/>
      <c r="C800" s="2"/>
      <c r="F800" s="2"/>
    </row>
    <row r="801" spans="2:6" x14ac:dyDescent="0.25">
      <c r="B801" s="2"/>
      <c r="C801" s="2"/>
      <c r="F801" s="2"/>
    </row>
    <row r="802" spans="2:6" x14ac:dyDescent="0.25">
      <c r="B802" s="2"/>
      <c r="C802" s="2"/>
      <c r="F802" s="2"/>
    </row>
    <row r="803" spans="2:6" x14ac:dyDescent="0.25">
      <c r="B803" s="2"/>
      <c r="C803" s="2"/>
      <c r="F803" s="2"/>
    </row>
    <row r="804" spans="2:6" x14ac:dyDescent="0.25">
      <c r="B804" s="2"/>
      <c r="C804" s="2"/>
      <c r="F804" s="2"/>
    </row>
    <row r="805" spans="2:6" x14ac:dyDescent="0.25">
      <c r="B805" s="2"/>
      <c r="C805" s="2"/>
      <c r="F805" s="2"/>
    </row>
    <row r="806" spans="2:6" x14ac:dyDescent="0.25">
      <c r="B806" s="2"/>
      <c r="C806" s="2"/>
      <c r="F806" s="2"/>
    </row>
    <row r="807" spans="2:6" x14ac:dyDescent="0.25">
      <c r="B807" s="2"/>
      <c r="C807" s="2"/>
      <c r="F807" s="2"/>
    </row>
    <row r="808" spans="2:6" x14ac:dyDescent="0.25">
      <c r="B808" s="2"/>
      <c r="C808" s="2"/>
      <c r="F808" s="2"/>
    </row>
    <row r="809" spans="2:6" x14ac:dyDescent="0.25">
      <c r="B809" s="2"/>
      <c r="C809" s="2"/>
      <c r="F809" s="2"/>
    </row>
    <row r="810" spans="2:6" x14ac:dyDescent="0.25">
      <c r="B810" s="2"/>
      <c r="C810" s="2"/>
      <c r="F810" s="2"/>
    </row>
    <row r="811" spans="2:6" x14ac:dyDescent="0.25">
      <c r="B811" s="2"/>
      <c r="C811" s="2"/>
      <c r="F811" s="2"/>
    </row>
    <row r="812" spans="2:6" x14ac:dyDescent="0.25">
      <c r="B812" s="2"/>
      <c r="C812" s="2"/>
      <c r="F812" s="2"/>
    </row>
    <row r="813" spans="2:6" x14ac:dyDescent="0.25">
      <c r="B813" s="2"/>
      <c r="C813" s="2"/>
      <c r="F813" s="2"/>
    </row>
    <row r="814" spans="2:6" x14ac:dyDescent="0.25">
      <c r="B814" s="2"/>
      <c r="C814" s="2"/>
      <c r="F814" s="2"/>
    </row>
    <row r="815" spans="2:6" x14ac:dyDescent="0.25">
      <c r="B815" s="2"/>
      <c r="C815" s="2"/>
      <c r="F815" s="2"/>
    </row>
    <row r="816" spans="2:6" x14ac:dyDescent="0.25">
      <c r="B816" s="2"/>
      <c r="C816" s="2"/>
      <c r="F816" s="2"/>
    </row>
    <row r="817" spans="2:6" x14ac:dyDescent="0.25">
      <c r="B817" s="2"/>
      <c r="C817" s="2"/>
      <c r="F817" s="2"/>
    </row>
    <row r="818" spans="2:6" x14ac:dyDescent="0.25">
      <c r="B818" s="2"/>
      <c r="C818" s="2"/>
      <c r="F818" s="2"/>
    </row>
    <row r="819" spans="2:6" x14ac:dyDescent="0.25">
      <c r="B819" s="2"/>
      <c r="C819" s="2"/>
      <c r="F819" s="2"/>
    </row>
    <row r="820" spans="2:6" x14ac:dyDescent="0.25">
      <c r="B820" s="2"/>
      <c r="C820" s="2"/>
      <c r="F820" s="2"/>
    </row>
    <row r="821" spans="2:6" x14ac:dyDescent="0.25">
      <c r="B821" s="2"/>
      <c r="C821" s="2"/>
      <c r="F821" s="2"/>
    </row>
    <row r="822" spans="2:6" x14ac:dyDescent="0.25">
      <c r="B822" s="2"/>
      <c r="C822" s="2"/>
      <c r="F822" s="2"/>
    </row>
    <row r="823" spans="2:6" x14ac:dyDescent="0.25">
      <c r="B823" s="2"/>
      <c r="C823" s="2"/>
      <c r="F823" s="2"/>
    </row>
    <row r="824" spans="2:6" x14ac:dyDescent="0.25">
      <c r="B824" s="2"/>
      <c r="C824" s="2"/>
      <c r="F824" s="2"/>
    </row>
    <row r="825" spans="2:6" x14ac:dyDescent="0.25">
      <c r="B825" s="2"/>
      <c r="C825" s="2"/>
      <c r="F825" s="2"/>
    </row>
    <row r="826" spans="2:6" x14ac:dyDescent="0.25">
      <c r="B826" s="2"/>
      <c r="C826" s="2"/>
      <c r="F826" s="2"/>
    </row>
    <row r="827" spans="2:6" x14ac:dyDescent="0.25">
      <c r="B827" s="2"/>
      <c r="C827" s="2"/>
      <c r="F827" s="2"/>
    </row>
    <row r="828" spans="2:6" x14ac:dyDescent="0.25">
      <c r="B828" s="2"/>
      <c r="C828" s="2"/>
      <c r="F828" s="2"/>
    </row>
    <row r="829" spans="2:6" x14ac:dyDescent="0.25">
      <c r="B829" s="2"/>
      <c r="C829" s="2"/>
      <c r="F829" s="2"/>
    </row>
    <row r="830" spans="2:6" x14ac:dyDescent="0.25">
      <c r="B830" s="2"/>
      <c r="C830" s="2"/>
      <c r="F830" s="2"/>
    </row>
    <row r="831" spans="2:6" x14ac:dyDescent="0.25">
      <c r="B831" s="2"/>
      <c r="C831" s="2"/>
      <c r="F831" s="2"/>
    </row>
    <row r="832" spans="2:6" x14ac:dyDescent="0.25">
      <c r="B832" s="2"/>
      <c r="C832" s="2"/>
      <c r="F832" s="2"/>
    </row>
    <row r="833" spans="2:6" x14ac:dyDescent="0.25">
      <c r="B833" s="2"/>
      <c r="C833" s="2"/>
      <c r="F833" s="2"/>
    </row>
    <row r="834" spans="2:6" x14ac:dyDescent="0.25">
      <c r="B834" s="2"/>
      <c r="C834" s="2"/>
      <c r="F834" s="2"/>
    </row>
    <row r="835" spans="2:6" x14ac:dyDescent="0.25">
      <c r="B835" s="2"/>
      <c r="C835" s="2"/>
      <c r="F835" s="2"/>
    </row>
    <row r="836" spans="2:6" x14ac:dyDescent="0.25">
      <c r="B836" s="2"/>
      <c r="C836" s="2"/>
      <c r="F836" s="2"/>
    </row>
    <row r="837" spans="2:6" x14ac:dyDescent="0.25">
      <c r="B837" s="2"/>
      <c r="C837" s="2"/>
      <c r="F837" s="2"/>
    </row>
    <row r="838" spans="2:6" x14ac:dyDescent="0.25">
      <c r="B838" s="2"/>
      <c r="C838" s="2"/>
      <c r="F838" s="2"/>
    </row>
    <row r="839" spans="2:6" x14ac:dyDescent="0.25">
      <c r="B839" s="2"/>
      <c r="C839" s="2"/>
      <c r="F839" s="2"/>
    </row>
    <row r="840" spans="2:6" x14ac:dyDescent="0.25">
      <c r="B840" s="2"/>
      <c r="C840" s="2"/>
      <c r="F840" s="2"/>
    </row>
    <row r="841" spans="2:6" x14ac:dyDescent="0.25">
      <c r="B841" s="2"/>
      <c r="C841" s="2"/>
      <c r="F841" s="2"/>
    </row>
    <row r="842" spans="2:6" x14ac:dyDescent="0.25">
      <c r="B842" s="2"/>
      <c r="C842" s="2"/>
      <c r="F842" s="2"/>
    </row>
    <row r="843" spans="2:6" x14ac:dyDescent="0.25">
      <c r="B843" s="2"/>
      <c r="C843" s="2"/>
      <c r="F843" s="2"/>
    </row>
    <row r="844" spans="2:6" x14ac:dyDescent="0.25">
      <c r="B844" s="2"/>
      <c r="C844" s="2"/>
      <c r="F844" s="2"/>
    </row>
    <row r="845" spans="2:6" x14ac:dyDescent="0.25">
      <c r="B845" s="2"/>
      <c r="C845" s="2"/>
      <c r="F845" s="2"/>
    </row>
    <row r="846" spans="2:6" x14ac:dyDescent="0.25">
      <c r="B846" s="2"/>
      <c r="C846" s="2"/>
      <c r="F846" s="2"/>
    </row>
    <row r="847" spans="2:6" x14ac:dyDescent="0.25">
      <c r="B847" s="2"/>
      <c r="C847" s="2"/>
      <c r="F847" s="2"/>
    </row>
    <row r="848" spans="2:6" x14ac:dyDescent="0.25">
      <c r="B848" s="2"/>
      <c r="C848" s="2"/>
      <c r="F848" s="2"/>
    </row>
    <row r="849" spans="2:6" x14ac:dyDescent="0.25">
      <c r="B849" s="2"/>
      <c r="C849" s="2"/>
      <c r="F849" s="2"/>
    </row>
    <row r="850" spans="2:6" x14ac:dyDescent="0.25">
      <c r="B850" s="2"/>
      <c r="C850" s="2"/>
      <c r="F850" s="2"/>
    </row>
    <row r="851" spans="2:6" x14ac:dyDescent="0.25">
      <c r="B851" s="2"/>
      <c r="C851" s="2"/>
      <c r="F851" s="2"/>
    </row>
    <row r="852" spans="2:6" x14ac:dyDescent="0.25">
      <c r="B852" s="2"/>
      <c r="C852" s="2"/>
      <c r="F852" s="2"/>
    </row>
    <row r="853" spans="2:6" x14ac:dyDescent="0.25">
      <c r="B853" s="2"/>
      <c r="C853" s="2"/>
      <c r="F853" s="2"/>
    </row>
    <row r="854" spans="2:6" x14ac:dyDescent="0.25">
      <c r="B854" s="2"/>
      <c r="C854" s="2"/>
      <c r="F854" s="2"/>
    </row>
    <row r="855" spans="2:6" x14ac:dyDescent="0.25">
      <c r="B855" s="2"/>
      <c r="C855" s="2"/>
      <c r="F855" s="2"/>
    </row>
    <row r="856" spans="2:6" x14ac:dyDescent="0.25">
      <c r="B856" s="2"/>
      <c r="C856" s="2"/>
      <c r="F856" s="2"/>
    </row>
    <row r="857" spans="2:6" x14ac:dyDescent="0.25">
      <c r="B857" s="2"/>
      <c r="C857" s="2"/>
      <c r="F857" s="2"/>
    </row>
    <row r="858" spans="2:6" x14ac:dyDescent="0.25">
      <c r="B858" s="2"/>
      <c r="C858" s="2"/>
      <c r="F858" s="2"/>
    </row>
    <row r="859" spans="2:6" x14ac:dyDescent="0.25">
      <c r="B859" s="2"/>
      <c r="C859" s="2"/>
      <c r="F859" s="2"/>
    </row>
    <row r="860" spans="2:6" x14ac:dyDescent="0.25">
      <c r="B860" s="2"/>
      <c r="C860" s="2"/>
      <c r="F860" s="2"/>
    </row>
    <row r="861" spans="2:6" x14ac:dyDescent="0.25">
      <c r="B861" s="2"/>
      <c r="C861" s="2"/>
      <c r="F861" s="2"/>
    </row>
    <row r="862" spans="2:6" x14ac:dyDescent="0.25">
      <c r="B862" s="2"/>
      <c r="C862" s="2"/>
      <c r="F862" s="2"/>
    </row>
    <row r="863" spans="2:6" x14ac:dyDescent="0.25">
      <c r="B863" s="2"/>
      <c r="C863" s="2"/>
      <c r="F863" s="2"/>
    </row>
    <row r="864" spans="2:6" x14ac:dyDescent="0.25">
      <c r="B864" s="2"/>
      <c r="C864" s="2"/>
      <c r="F864" s="2"/>
    </row>
    <row r="865" spans="2:6" x14ac:dyDescent="0.25">
      <c r="B865" s="2"/>
      <c r="C865" s="2"/>
      <c r="F865" s="2"/>
    </row>
    <row r="866" spans="2:6" x14ac:dyDescent="0.25">
      <c r="B866" s="2"/>
      <c r="C866" s="2"/>
      <c r="F866" s="2"/>
    </row>
    <row r="867" spans="2:6" x14ac:dyDescent="0.25">
      <c r="B867" s="2"/>
      <c r="C867" s="2"/>
      <c r="F867" s="2"/>
    </row>
    <row r="868" spans="2:6" x14ac:dyDescent="0.25">
      <c r="B868" s="2"/>
      <c r="C868" s="2"/>
      <c r="F868" s="2"/>
    </row>
    <row r="869" spans="2:6" x14ac:dyDescent="0.25">
      <c r="B869" s="2"/>
      <c r="C869" s="2"/>
      <c r="F869" s="2"/>
    </row>
    <row r="870" spans="2:6" x14ac:dyDescent="0.25">
      <c r="B870" s="2"/>
      <c r="C870" s="2"/>
      <c r="F870" s="2"/>
    </row>
    <row r="871" spans="2:6" x14ac:dyDescent="0.25">
      <c r="B871" s="2"/>
      <c r="C871" s="2"/>
      <c r="F871" s="2"/>
    </row>
    <row r="872" spans="2:6" x14ac:dyDescent="0.25">
      <c r="B872" s="2"/>
      <c r="C872" s="2"/>
      <c r="F872" s="2"/>
    </row>
    <row r="873" spans="2:6" x14ac:dyDescent="0.25">
      <c r="B873" s="2"/>
      <c r="C873" s="2"/>
      <c r="F873" s="2"/>
    </row>
    <row r="874" spans="2:6" x14ac:dyDescent="0.25">
      <c r="B874" s="2"/>
      <c r="C874" s="2"/>
      <c r="F874" s="2"/>
    </row>
    <row r="875" spans="2:6" x14ac:dyDescent="0.25">
      <c r="B875" s="2"/>
      <c r="C875" s="2"/>
      <c r="F875" s="2"/>
    </row>
    <row r="876" spans="2:6" x14ac:dyDescent="0.25">
      <c r="B876" s="2"/>
      <c r="C876" s="2"/>
      <c r="F876" s="2"/>
    </row>
    <row r="877" spans="2:6" x14ac:dyDescent="0.25">
      <c r="B877" s="2"/>
      <c r="C877" s="2"/>
      <c r="F877" s="2"/>
    </row>
    <row r="878" spans="2:6" x14ac:dyDescent="0.25">
      <c r="B878" s="2"/>
      <c r="C878" s="2"/>
      <c r="F878" s="2"/>
    </row>
    <row r="879" spans="2:6" x14ac:dyDescent="0.25">
      <c r="B879" s="2"/>
      <c r="C879" s="2"/>
      <c r="F879" s="2"/>
    </row>
    <row r="880" spans="2:6" x14ac:dyDescent="0.25">
      <c r="B880" s="2"/>
      <c r="C880" s="2"/>
      <c r="F880" s="2"/>
    </row>
    <row r="881" spans="2:6" x14ac:dyDescent="0.25">
      <c r="B881" s="2"/>
      <c r="C881" s="2"/>
      <c r="F881" s="2"/>
    </row>
    <row r="882" spans="2:6" x14ac:dyDescent="0.25">
      <c r="B882" s="2"/>
      <c r="C882" s="2"/>
      <c r="F882" s="2"/>
    </row>
    <row r="883" spans="2:6" x14ac:dyDescent="0.25">
      <c r="B883" s="2"/>
      <c r="C883" s="2"/>
      <c r="F883" s="2"/>
    </row>
    <row r="884" spans="2:6" x14ac:dyDescent="0.25">
      <c r="B884" s="2"/>
      <c r="C884" s="2"/>
      <c r="F884" s="2"/>
    </row>
    <row r="885" spans="2:6" x14ac:dyDescent="0.25">
      <c r="B885" s="2"/>
      <c r="C885" s="2"/>
      <c r="F885" s="2"/>
    </row>
    <row r="886" spans="2:6" x14ac:dyDescent="0.25">
      <c r="B886" s="2"/>
      <c r="C886" s="2"/>
      <c r="F886" s="2"/>
    </row>
    <row r="887" spans="2:6" x14ac:dyDescent="0.25">
      <c r="B887" s="2"/>
      <c r="C887" s="2"/>
      <c r="F887" s="2"/>
    </row>
    <row r="888" spans="2:6" x14ac:dyDescent="0.25">
      <c r="B888" s="2"/>
      <c r="C888" s="2"/>
      <c r="F888" s="2"/>
    </row>
    <row r="889" spans="2:6" x14ac:dyDescent="0.25">
      <c r="B889" s="2"/>
      <c r="C889" s="2"/>
      <c r="F889" s="2"/>
    </row>
    <row r="890" spans="2:6" x14ac:dyDescent="0.25">
      <c r="B890" s="2"/>
      <c r="C890" s="2"/>
      <c r="F890" s="2"/>
    </row>
    <row r="891" spans="2:6" x14ac:dyDescent="0.25">
      <c r="B891" s="2"/>
      <c r="C891" s="2"/>
      <c r="F891" s="2"/>
    </row>
    <row r="892" spans="2:6" x14ac:dyDescent="0.25">
      <c r="B892" s="2"/>
      <c r="C892" s="2"/>
      <c r="F892" s="2"/>
    </row>
    <row r="893" spans="2:6" x14ac:dyDescent="0.25">
      <c r="B893" s="2"/>
      <c r="C893" s="2"/>
      <c r="F893" s="2"/>
    </row>
    <row r="894" spans="2:6" x14ac:dyDescent="0.25">
      <c r="B894" s="2"/>
      <c r="C894" s="2"/>
      <c r="F894" s="2"/>
    </row>
    <row r="895" spans="2:6" x14ac:dyDescent="0.25">
      <c r="B895" s="2"/>
      <c r="C895" s="2"/>
      <c r="F895" s="2"/>
    </row>
    <row r="896" spans="2:6" x14ac:dyDescent="0.25">
      <c r="B896" s="2"/>
      <c r="C896" s="2"/>
      <c r="F896" s="2"/>
    </row>
    <row r="897" spans="2:6" x14ac:dyDescent="0.25">
      <c r="B897" s="2"/>
      <c r="C897" s="2"/>
      <c r="F897" s="2"/>
    </row>
    <row r="898" spans="2:6" x14ac:dyDescent="0.25">
      <c r="B898" s="2"/>
      <c r="C898" s="2"/>
      <c r="F898" s="2"/>
    </row>
    <row r="899" spans="2:6" x14ac:dyDescent="0.25">
      <c r="B899" s="2"/>
      <c r="C899" s="2"/>
      <c r="F899" s="2"/>
    </row>
    <row r="900" spans="2:6" x14ac:dyDescent="0.25">
      <c r="B900" s="2"/>
      <c r="C900" s="2"/>
      <c r="F900" s="2"/>
    </row>
    <row r="901" spans="2:6" x14ac:dyDescent="0.25">
      <c r="B901" s="2"/>
      <c r="C901" s="2"/>
      <c r="F901" s="2"/>
    </row>
    <row r="902" spans="2:6" x14ac:dyDescent="0.25">
      <c r="B902" s="2"/>
      <c r="C902" s="2"/>
      <c r="F902" s="2"/>
    </row>
    <row r="903" spans="2:6" x14ac:dyDescent="0.25">
      <c r="B903" s="2"/>
      <c r="C903" s="2"/>
      <c r="F903" s="2"/>
    </row>
    <row r="904" spans="2:6" x14ac:dyDescent="0.25">
      <c r="B904" s="2"/>
      <c r="C904" s="2"/>
      <c r="F904" s="2"/>
    </row>
    <row r="905" spans="2:6" x14ac:dyDescent="0.25">
      <c r="B905" s="2"/>
      <c r="C905" s="2"/>
      <c r="F905" s="2"/>
    </row>
    <row r="906" spans="2:6" x14ac:dyDescent="0.25">
      <c r="B906" s="2"/>
      <c r="C906" s="2"/>
      <c r="F906" s="2"/>
    </row>
    <row r="907" spans="2:6" x14ac:dyDescent="0.25">
      <c r="B907" s="2"/>
      <c r="C907" s="2"/>
      <c r="F907" s="2"/>
    </row>
    <row r="908" spans="2:6" x14ac:dyDescent="0.25">
      <c r="B908" s="2"/>
      <c r="C908" s="2"/>
      <c r="F908" s="2"/>
    </row>
    <row r="909" spans="2:6" x14ac:dyDescent="0.25">
      <c r="B909" s="2"/>
      <c r="C909" s="2"/>
      <c r="F909" s="2"/>
    </row>
    <row r="910" spans="2:6" x14ac:dyDescent="0.25">
      <c r="B910" s="2"/>
      <c r="C910" s="2"/>
      <c r="F910" s="2"/>
    </row>
    <row r="911" spans="2:6" x14ac:dyDescent="0.25">
      <c r="B911" s="2"/>
      <c r="C911" s="2"/>
      <c r="F911" s="2"/>
    </row>
    <row r="912" spans="2:6" x14ac:dyDescent="0.25">
      <c r="B912" s="2"/>
      <c r="C912" s="2"/>
      <c r="F912" s="2"/>
    </row>
    <row r="913" spans="2:6" x14ac:dyDescent="0.25">
      <c r="B913" s="2"/>
      <c r="C913" s="2"/>
      <c r="F913" s="2"/>
    </row>
    <row r="914" spans="2:6" x14ac:dyDescent="0.25">
      <c r="B914" s="2"/>
      <c r="C914" s="2"/>
      <c r="F914" s="2"/>
    </row>
    <row r="915" spans="2:6" x14ac:dyDescent="0.25">
      <c r="B915" s="2"/>
      <c r="C915" s="2"/>
      <c r="F915" s="2"/>
    </row>
    <row r="916" spans="2:6" x14ac:dyDescent="0.25">
      <c r="B916" s="2"/>
      <c r="C916" s="2"/>
      <c r="F916" s="2"/>
    </row>
    <row r="917" spans="2:6" x14ac:dyDescent="0.25">
      <c r="B917" s="2"/>
      <c r="C917" s="2"/>
      <c r="F917" s="2"/>
    </row>
    <row r="918" spans="2:6" x14ac:dyDescent="0.25">
      <c r="B918" s="2"/>
      <c r="C918" s="2"/>
      <c r="F918" s="2"/>
    </row>
    <row r="919" spans="2:6" x14ac:dyDescent="0.25">
      <c r="B919" s="2"/>
      <c r="C919" s="2"/>
      <c r="F919" s="2"/>
    </row>
    <row r="920" spans="2:6" x14ac:dyDescent="0.25">
      <c r="B920" s="2"/>
      <c r="C920" s="2"/>
      <c r="F920" s="2"/>
    </row>
    <row r="921" spans="2:6" x14ac:dyDescent="0.25">
      <c r="B921" s="2"/>
      <c r="C921" s="2"/>
      <c r="F921" s="2"/>
    </row>
    <row r="922" spans="2:6" x14ac:dyDescent="0.25">
      <c r="B922" s="2"/>
      <c r="C922" s="2"/>
      <c r="F922" s="2"/>
    </row>
    <row r="923" spans="2:6" x14ac:dyDescent="0.25">
      <c r="B923" s="2"/>
      <c r="C923" s="2"/>
      <c r="F923" s="2"/>
    </row>
    <row r="924" spans="2:6" x14ac:dyDescent="0.25">
      <c r="B924" s="2"/>
      <c r="C924" s="2"/>
      <c r="F924" s="2"/>
    </row>
    <row r="925" spans="2:6" x14ac:dyDescent="0.25">
      <c r="B925" s="2"/>
      <c r="C925" s="2"/>
      <c r="F925" s="2"/>
    </row>
    <row r="926" spans="2:6" x14ac:dyDescent="0.25">
      <c r="B926" s="2"/>
      <c r="C926" s="2"/>
      <c r="F926" s="2"/>
    </row>
    <row r="927" spans="2:6" x14ac:dyDescent="0.25">
      <c r="B927" s="2"/>
      <c r="C927" s="2"/>
      <c r="F927" s="2"/>
    </row>
    <row r="928" spans="2:6" x14ac:dyDescent="0.25">
      <c r="B928" s="2"/>
      <c r="C928" s="2"/>
      <c r="F928" s="2"/>
    </row>
    <row r="929" spans="2:6" x14ac:dyDescent="0.25">
      <c r="B929" s="2"/>
      <c r="C929" s="2"/>
      <c r="F929" s="2"/>
    </row>
    <row r="930" spans="2:6" x14ac:dyDescent="0.25">
      <c r="B930" s="2"/>
      <c r="C930" s="2"/>
      <c r="F930" s="2"/>
    </row>
    <row r="931" spans="2:6" x14ac:dyDescent="0.25">
      <c r="B931" s="2"/>
      <c r="C931" s="2"/>
      <c r="F931" s="2"/>
    </row>
    <row r="932" spans="2:6" x14ac:dyDescent="0.25">
      <c r="B932" s="2"/>
      <c r="C932" s="2"/>
      <c r="F932" s="2"/>
    </row>
    <row r="933" spans="2:6" x14ac:dyDescent="0.25">
      <c r="B933" s="2"/>
      <c r="C933" s="2"/>
      <c r="F933" s="2"/>
    </row>
    <row r="934" spans="2:6" x14ac:dyDescent="0.25">
      <c r="B934" s="2"/>
      <c r="C934" s="2"/>
      <c r="F934" s="2"/>
    </row>
    <row r="935" spans="2:6" x14ac:dyDescent="0.25">
      <c r="B935" s="2"/>
      <c r="C935" s="2"/>
      <c r="F935" s="2"/>
    </row>
    <row r="936" spans="2:6" x14ac:dyDescent="0.25">
      <c r="B936" s="2"/>
      <c r="C936" s="2"/>
      <c r="F936" s="2"/>
    </row>
    <row r="937" spans="2:6" x14ac:dyDescent="0.25">
      <c r="B937" s="2"/>
      <c r="C937" s="2"/>
      <c r="F937" s="2"/>
    </row>
    <row r="938" spans="2:6" x14ac:dyDescent="0.25">
      <c r="B938" s="2"/>
      <c r="C938" s="2"/>
      <c r="F938" s="2"/>
    </row>
    <row r="939" spans="2:6" x14ac:dyDescent="0.25">
      <c r="B939" s="2"/>
      <c r="C939" s="2"/>
      <c r="F939" s="2"/>
    </row>
    <row r="940" spans="2:6" x14ac:dyDescent="0.25">
      <c r="B940" s="2"/>
      <c r="C940" s="2"/>
      <c r="F940" s="2"/>
    </row>
    <row r="941" spans="2:6" x14ac:dyDescent="0.25">
      <c r="B941" s="2"/>
      <c r="C941" s="2"/>
      <c r="F941" s="2"/>
    </row>
    <row r="942" spans="2:6" x14ac:dyDescent="0.25">
      <c r="B942" s="2"/>
      <c r="C942" s="2"/>
      <c r="F942" s="2"/>
    </row>
    <row r="943" spans="2:6" x14ac:dyDescent="0.25">
      <c r="B943" s="2"/>
      <c r="C943" s="2"/>
      <c r="F943" s="2"/>
    </row>
    <row r="944" spans="2:6" x14ac:dyDescent="0.25">
      <c r="B944" s="2"/>
      <c r="C944" s="2"/>
      <c r="F944" s="2"/>
    </row>
    <row r="945" spans="2:6" x14ac:dyDescent="0.25">
      <c r="B945" s="2"/>
      <c r="C945" s="2"/>
      <c r="F945" s="2"/>
    </row>
    <row r="946" spans="2:6" x14ac:dyDescent="0.25">
      <c r="B946" s="2"/>
      <c r="C946" s="2"/>
      <c r="F946" s="2"/>
    </row>
    <row r="947" spans="2:6" x14ac:dyDescent="0.25">
      <c r="B947" s="2"/>
      <c r="C947" s="2"/>
      <c r="F947" s="2"/>
    </row>
    <row r="948" spans="2:6" x14ac:dyDescent="0.25">
      <c r="B948" s="2"/>
      <c r="C948" s="2"/>
      <c r="F948" s="2"/>
    </row>
    <row r="949" spans="2:6" x14ac:dyDescent="0.25">
      <c r="B949" s="2"/>
      <c r="C949" s="2"/>
      <c r="F949" s="2"/>
    </row>
    <row r="950" spans="2:6" x14ac:dyDescent="0.25">
      <c r="B950" s="2"/>
      <c r="C950" s="2"/>
      <c r="F950" s="2"/>
    </row>
    <row r="951" spans="2:6" x14ac:dyDescent="0.25">
      <c r="B951" s="2"/>
      <c r="C951" s="2"/>
      <c r="F951" s="2"/>
    </row>
    <row r="952" spans="2:6" x14ac:dyDescent="0.25">
      <c r="B952" s="2"/>
      <c r="C952" s="2"/>
      <c r="F952" s="2"/>
    </row>
    <row r="953" spans="2:6" x14ac:dyDescent="0.25">
      <c r="B953" s="2"/>
      <c r="C953" s="2"/>
      <c r="F953" s="2"/>
    </row>
    <row r="954" spans="2:6" x14ac:dyDescent="0.25">
      <c r="B954" s="2"/>
      <c r="C954" s="2"/>
      <c r="F954" s="2"/>
    </row>
    <row r="955" spans="2:6" x14ac:dyDescent="0.25">
      <c r="B955" s="2"/>
      <c r="C955" s="2"/>
      <c r="F955" s="2"/>
    </row>
    <row r="956" spans="2:6" x14ac:dyDescent="0.25">
      <c r="B956" s="2"/>
      <c r="C956" s="2"/>
      <c r="F956" s="2"/>
    </row>
    <row r="957" spans="2:6" x14ac:dyDescent="0.25">
      <c r="B957" s="2"/>
      <c r="C957" s="2"/>
      <c r="F957" s="2"/>
    </row>
    <row r="958" spans="2:6" x14ac:dyDescent="0.25">
      <c r="B958" s="2"/>
      <c r="C958" s="2"/>
      <c r="F958" s="2"/>
    </row>
    <row r="959" spans="2:6" x14ac:dyDescent="0.25">
      <c r="B959" s="2"/>
      <c r="C959" s="2"/>
      <c r="F959" s="2"/>
    </row>
    <row r="960" spans="2:6" x14ac:dyDescent="0.25">
      <c r="B960" s="2"/>
      <c r="C960" s="2"/>
      <c r="F960" s="2"/>
    </row>
    <row r="961" spans="2:6" x14ac:dyDescent="0.25">
      <c r="B961" s="2"/>
      <c r="C961" s="2"/>
      <c r="F961" s="2"/>
    </row>
    <row r="962" spans="2:6" x14ac:dyDescent="0.25">
      <c r="B962" s="2"/>
      <c r="C962" s="2"/>
      <c r="F962" s="2"/>
    </row>
    <row r="963" spans="2:6" x14ac:dyDescent="0.25">
      <c r="B963" s="2"/>
      <c r="C963" s="2"/>
      <c r="F963" s="2"/>
    </row>
    <row r="964" spans="2:6" x14ac:dyDescent="0.25">
      <c r="B964" s="2"/>
      <c r="C964" s="2"/>
      <c r="F964" s="2"/>
    </row>
    <row r="965" spans="2:6" x14ac:dyDescent="0.25">
      <c r="B965" s="2"/>
      <c r="C965" s="2"/>
      <c r="F965" s="2"/>
    </row>
    <row r="966" spans="2:6" x14ac:dyDescent="0.25">
      <c r="B966" s="2"/>
      <c r="C966" s="2"/>
      <c r="F966" s="2"/>
    </row>
    <row r="967" spans="2:6" x14ac:dyDescent="0.25">
      <c r="B967" s="2"/>
      <c r="C967" s="2"/>
      <c r="F967" s="2"/>
    </row>
    <row r="968" spans="2:6" x14ac:dyDescent="0.25">
      <c r="B968" s="2"/>
      <c r="C968" s="2"/>
      <c r="F968" s="2"/>
    </row>
    <row r="969" spans="2:6" x14ac:dyDescent="0.25">
      <c r="B969" s="2"/>
      <c r="C969" s="2"/>
      <c r="F969" s="2"/>
    </row>
    <row r="970" spans="2:6" x14ac:dyDescent="0.25">
      <c r="B970" s="2"/>
      <c r="C970" s="2"/>
      <c r="F970" s="2"/>
    </row>
    <row r="971" spans="2:6" x14ac:dyDescent="0.25">
      <c r="B971" s="2"/>
      <c r="C971" s="2"/>
      <c r="F971" s="2"/>
    </row>
    <row r="972" spans="2:6" x14ac:dyDescent="0.25">
      <c r="B972" s="2"/>
      <c r="C972" s="2"/>
      <c r="F972" s="2"/>
    </row>
    <row r="973" spans="2:6" x14ac:dyDescent="0.25">
      <c r="B973" s="2"/>
      <c r="C973" s="2"/>
      <c r="F973" s="2"/>
    </row>
    <row r="974" spans="2:6" x14ac:dyDescent="0.25">
      <c r="B974" s="2"/>
      <c r="C974" s="2"/>
      <c r="F974" s="2"/>
    </row>
    <row r="975" spans="2:6" x14ac:dyDescent="0.25">
      <c r="B975" s="2"/>
      <c r="C975" s="2"/>
      <c r="F975" s="2"/>
    </row>
    <row r="976" spans="2:6" x14ac:dyDescent="0.25">
      <c r="B976" s="2"/>
      <c r="C976" s="2"/>
      <c r="F976" s="2"/>
    </row>
    <row r="977" spans="2:6" x14ac:dyDescent="0.25">
      <c r="B977" s="2"/>
      <c r="C977" s="2"/>
      <c r="F977" s="2"/>
    </row>
    <row r="978" spans="2:6" x14ac:dyDescent="0.25">
      <c r="B978" s="2"/>
      <c r="C978" s="2"/>
      <c r="F978" s="2"/>
    </row>
    <row r="979" spans="2:6" x14ac:dyDescent="0.25">
      <c r="B979" s="2"/>
      <c r="C979" s="2"/>
      <c r="F979" s="2"/>
    </row>
    <row r="980" spans="2:6" x14ac:dyDescent="0.25">
      <c r="B980" s="2"/>
      <c r="C980" s="2"/>
      <c r="F980" s="2"/>
    </row>
    <row r="981" spans="2:6" x14ac:dyDescent="0.25">
      <c r="B981" s="2"/>
      <c r="C981" s="2"/>
      <c r="F981" s="2"/>
    </row>
    <row r="982" spans="2:6" x14ac:dyDescent="0.25">
      <c r="B982" s="2"/>
      <c r="C982" s="2"/>
      <c r="F982" s="2"/>
    </row>
    <row r="983" spans="2:6" x14ac:dyDescent="0.25">
      <c r="B983" s="2"/>
      <c r="C983" s="2"/>
      <c r="F983" s="2"/>
    </row>
    <row r="984" spans="2:6" x14ac:dyDescent="0.25">
      <c r="B984" s="2"/>
      <c r="C984" s="2"/>
      <c r="F984" s="2"/>
    </row>
    <row r="985" spans="2:6" x14ac:dyDescent="0.25">
      <c r="B985" s="2"/>
      <c r="C985" s="2"/>
      <c r="F985" s="2"/>
    </row>
    <row r="986" spans="2:6" x14ac:dyDescent="0.25">
      <c r="B986" s="2"/>
      <c r="C986" s="2"/>
      <c r="F986" s="2"/>
    </row>
    <row r="987" spans="2:6" x14ac:dyDescent="0.25">
      <c r="B987" s="2"/>
      <c r="C987" s="2"/>
      <c r="F987" s="2"/>
    </row>
    <row r="988" spans="2:6" x14ac:dyDescent="0.25">
      <c r="B988" s="2"/>
      <c r="C988" s="2"/>
      <c r="F988" s="2"/>
    </row>
    <row r="989" spans="2:6" x14ac:dyDescent="0.25">
      <c r="B989" s="2"/>
      <c r="C989" s="2"/>
      <c r="F989" s="2"/>
    </row>
    <row r="990" spans="2:6" x14ac:dyDescent="0.25">
      <c r="B990" s="2"/>
      <c r="C990" s="2"/>
      <c r="F990" s="2"/>
    </row>
    <row r="991" spans="2:6" x14ac:dyDescent="0.25">
      <c r="B991" s="2"/>
      <c r="C991" s="2"/>
      <c r="F991" s="2"/>
    </row>
    <row r="992" spans="2:6" x14ac:dyDescent="0.25">
      <c r="B992" s="2"/>
      <c r="C992" s="2"/>
      <c r="F992" s="2"/>
    </row>
    <row r="993" spans="2:6" x14ac:dyDescent="0.25">
      <c r="B993" s="2"/>
      <c r="C993" s="2"/>
      <c r="F993" s="2"/>
    </row>
    <row r="994" spans="2:6" x14ac:dyDescent="0.25">
      <c r="B994" s="2"/>
      <c r="C994" s="2"/>
      <c r="F994" s="2"/>
    </row>
    <row r="995" spans="2:6" x14ac:dyDescent="0.25">
      <c r="B995" s="2"/>
      <c r="C995" s="2"/>
      <c r="F995" s="2"/>
    </row>
    <row r="996" spans="2:6" x14ac:dyDescent="0.25">
      <c r="B996" s="2"/>
      <c r="C996" s="2"/>
      <c r="F996" s="2"/>
    </row>
    <row r="997" spans="2:6" x14ac:dyDescent="0.25">
      <c r="B997" s="2"/>
      <c r="C997" s="2"/>
      <c r="F997" s="2"/>
    </row>
    <row r="998" spans="2:6" x14ac:dyDescent="0.25">
      <c r="B998" s="2"/>
      <c r="C998" s="2"/>
      <c r="F998" s="2"/>
    </row>
    <row r="999" spans="2:6" x14ac:dyDescent="0.25">
      <c r="B999" s="2"/>
      <c r="C999" s="2"/>
      <c r="F999" s="2"/>
    </row>
    <row r="1000" spans="2:6" x14ac:dyDescent="0.25">
      <c r="B1000" s="2"/>
      <c r="C1000" s="2"/>
      <c r="F1000" s="2"/>
    </row>
    <row r="1001" spans="2:6" x14ac:dyDescent="0.25">
      <c r="B1001" s="2"/>
      <c r="C1001" s="2"/>
      <c r="F1001" s="2"/>
    </row>
    <row r="1002" spans="2:6" x14ac:dyDescent="0.25">
      <c r="B1002" s="2"/>
      <c r="C1002" s="2"/>
      <c r="F1002" s="2"/>
    </row>
    <row r="1003" spans="2:6" x14ac:dyDescent="0.25">
      <c r="B1003" s="2"/>
      <c r="C1003" s="2"/>
      <c r="F1003" s="2"/>
    </row>
    <row r="1004" spans="2:6" x14ac:dyDescent="0.25">
      <c r="B1004" s="2"/>
      <c r="C1004" s="2"/>
      <c r="F1004" s="2"/>
    </row>
    <row r="1005" spans="2:6" x14ac:dyDescent="0.25">
      <c r="B1005" s="2"/>
      <c r="C1005" s="2"/>
      <c r="F1005" s="2"/>
    </row>
    <row r="1006" spans="2:6" x14ac:dyDescent="0.25">
      <c r="B1006" s="2"/>
      <c r="C1006" s="2"/>
      <c r="F1006" s="2"/>
    </row>
    <row r="1007" spans="2:6" x14ac:dyDescent="0.25">
      <c r="B1007" s="2"/>
      <c r="C1007" s="2"/>
      <c r="F1007" s="2"/>
    </row>
    <row r="1008" spans="2:6" x14ac:dyDescent="0.25">
      <c r="B1008" s="2"/>
      <c r="C1008" s="2"/>
      <c r="F1008" s="2"/>
    </row>
    <row r="1009" spans="2:6" x14ac:dyDescent="0.25">
      <c r="B1009" s="2"/>
      <c r="C1009" s="2"/>
      <c r="F1009" s="2"/>
    </row>
    <row r="1010" spans="2:6" x14ac:dyDescent="0.25">
      <c r="B1010" s="2"/>
      <c r="C1010" s="2"/>
      <c r="F1010" s="2"/>
    </row>
    <row r="1011" spans="2:6" x14ac:dyDescent="0.25">
      <c r="B1011" s="2"/>
      <c r="C1011" s="2"/>
      <c r="F1011" s="2"/>
    </row>
    <row r="1012" spans="2:6" x14ac:dyDescent="0.25">
      <c r="B1012" s="2"/>
      <c r="C1012" s="2"/>
      <c r="F1012" s="2"/>
    </row>
    <row r="1013" spans="2:6" x14ac:dyDescent="0.25">
      <c r="B1013" s="2"/>
      <c r="C1013" s="2"/>
      <c r="F1013" s="2"/>
    </row>
    <row r="1014" spans="2:6" x14ac:dyDescent="0.25">
      <c r="B1014" s="2"/>
      <c r="C1014" s="2"/>
      <c r="F1014" s="2"/>
    </row>
    <row r="1015" spans="2:6" x14ac:dyDescent="0.25">
      <c r="B1015" s="2"/>
      <c r="C1015" s="2"/>
      <c r="F1015" s="2"/>
    </row>
    <row r="1016" spans="2:6" x14ac:dyDescent="0.25">
      <c r="B1016" s="2"/>
      <c r="C1016" s="2"/>
      <c r="F1016" s="2"/>
    </row>
    <row r="1017" spans="2:6" x14ac:dyDescent="0.25">
      <c r="B1017" s="2"/>
      <c r="C1017" s="2"/>
      <c r="F1017" s="2"/>
    </row>
    <row r="1018" spans="2:6" x14ac:dyDescent="0.25">
      <c r="B1018" s="2"/>
      <c r="C1018" s="2"/>
      <c r="F1018" s="2"/>
    </row>
    <row r="1019" spans="2:6" x14ac:dyDescent="0.25">
      <c r="B1019" s="2"/>
      <c r="C1019" s="2"/>
      <c r="F1019" s="2"/>
    </row>
    <row r="1020" spans="2:6" x14ac:dyDescent="0.25">
      <c r="B1020" s="2"/>
      <c r="C1020" s="2"/>
      <c r="F1020" s="2"/>
    </row>
    <row r="1021" spans="2:6" x14ac:dyDescent="0.25">
      <c r="B1021" s="2"/>
      <c r="C1021" s="2"/>
      <c r="F1021" s="2"/>
    </row>
    <row r="1022" spans="2:6" x14ac:dyDescent="0.25">
      <c r="B1022" s="2"/>
      <c r="C1022" s="2"/>
      <c r="F1022" s="2"/>
    </row>
    <row r="1023" spans="2:6" x14ac:dyDescent="0.25">
      <c r="B1023" s="2"/>
      <c r="C1023" s="2"/>
      <c r="F1023" s="2"/>
    </row>
    <row r="1024" spans="2:6" x14ac:dyDescent="0.25">
      <c r="B1024" s="2"/>
      <c r="C1024" s="2"/>
      <c r="F1024" s="2"/>
    </row>
    <row r="1025" spans="2:6" x14ac:dyDescent="0.25">
      <c r="B1025" s="2"/>
      <c r="C1025" s="2"/>
      <c r="F1025" s="2"/>
    </row>
    <row r="1026" spans="2:6" x14ac:dyDescent="0.25">
      <c r="B1026" s="2"/>
      <c r="C1026" s="2"/>
      <c r="F1026" s="2"/>
    </row>
    <row r="1027" spans="2:6" x14ac:dyDescent="0.25">
      <c r="B1027" s="2"/>
      <c r="C1027" s="2"/>
      <c r="F1027" s="2"/>
    </row>
    <row r="1028" spans="2:6" x14ac:dyDescent="0.25">
      <c r="B1028" s="2"/>
      <c r="C1028" s="2"/>
      <c r="F1028" s="2"/>
    </row>
    <row r="1029" spans="2:6" x14ac:dyDescent="0.25">
      <c r="B1029" s="2"/>
      <c r="C1029" s="2"/>
      <c r="F1029" s="2"/>
    </row>
    <row r="1030" spans="2:6" x14ac:dyDescent="0.25">
      <c r="B1030" s="2"/>
      <c r="C1030" s="2"/>
      <c r="F1030" s="2"/>
    </row>
    <row r="1031" spans="2:6" x14ac:dyDescent="0.25">
      <c r="B1031" s="2"/>
      <c r="C1031" s="2"/>
      <c r="F1031" s="2"/>
    </row>
    <row r="1032" spans="2:6" x14ac:dyDescent="0.25">
      <c r="B1032" s="2"/>
      <c r="C1032" s="2"/>
      <c r="F1032" s="2"/>
    </row>
    <row r="1033" spans="2:6" x14ac:dyDescent="0.25">
      <c r="B1033" s="2"/>
      <c r="C1033" s="2"/>
      <c r="F1033" s="2"/>
    </row>
    <row r="1034" spans="2:6" x14ac:dyDescent="0.25">
      <c r="B1034" s="2"/>
      <c r="C1034" s="2"/>
      <c r="F1034" s="2"/>
    </row>
    <row r="1035" spans="2:6" x14ac:dyDescent="0.25">
      <c r="B1035" s="2"/>
      <c r="C1035" s="2"/>
      <c r="F1035" s="2"/>
    </row>
    <row r="1036" spans="2:6" x14ac:dyDescent="0.25">
      <c r="B1036" s="2"/>
      <c r="C1036" s="2"/>
      <c r="F1036" s="2"/>
    </row>
    <row r="1037" spans="2:6" x14ac:dyDescent="0.25">
      <c r="B1037" s="2"/>
      <c r="C1037" s="2"/>
      <c r="F1037" s="2"/>
    </row>
    <row r="1038" spans="2:6" x14ac:dyDescent="0.25">
      <c r="B1038" s="2"/>
      <c r="C1038" s="2"/>
      <c r="F1038" s="2"/>
    </row>
    <row r="1039" spans="2:6" x14ac:dyDescent="0.25">
      <c r="B1039" s="2"/>
      <c r="C1039" s="2"/>
      <c r="F1039" s="2"/>
    </row>
    <row r="1040" spans="2:6" x14ac:dyDescent="0.25">
      <c r="B1040" s="2"/>
      <c r="C1040" s="2"/>
      <c r="F1040" s="2"/>
    </row>
    <row r="1041" spans="2:6" x14ac:dyDescent="0.25">
      <c r="B1041" s="2"/>
      <c r="C1041" s="2"/>
      <c r="F1041" s="2"/>
    </row>
    <row r="1042" spans="2:6" x14ac:dyDescent="0.25">
      <c r="B1042" s="2"/>
      <c r="C1042" s="2"/>
      <c r="F1042" s="2"/>
    </row>
    <row r="1043" spans="2:6" x14ac:dyDescent="0.25">
      <c r="B1043" s="2"/>
      <c r="C1043" s="2"/>
      <c r="F1043" s="2"/>
    </row>
    <row r="1044" spans="2:6" x14ac:dyDescent="0.25">
      <c r="B1044" s="2"/>
      <c r="C1044" s="2"/>
      <c r="F1044" s="2"/>
    </row>
    <row r="1045" spans="2:6" x14ac:dyDescent="0.25">
      <c r="B1045" s="2"/>
      <c r="C1045" s="2"/>
      <c r="F1045" s="2"/>
    </row>
    <row r="1046" spans="2:6" x14ac:dyDescent="0.25">
      <c r="B1046" s="2"/>
      <c r="C1046" s="2"/>
      <c r="F1046" s="2"/>
    </row>
    <row r="1047" spans="2:6" x14ac:dyDescent="0.25">
      <c r="B1047" s="2"/>
      <c r="C1047" s="2"/>
      <c r="F1047" s="2"/>
    </row>
    <row r="1048" spans="2:6" x14ac:dyDescent="0.25">
      <c r="B1048" s="2"/>
      <c r="C1048" s="2"/>
      <c r="F1048" s="2"/>
    </row>
    <row r="1049" spans="2:6" x14ac:dyDescent="0.25">
      <c r="B1049" s="2"/>
      <c r="C1049" s="2"/>
      <c r="F1049" s="2"/>
    </row>
    <row r="1050" spans="2:6" x14ac:dyDescent="0.25">
      <c r="B1050" s="2"/>
      <c r="C1050" s="2"/>
      <c r="F1050" s="2"/>
    </row>
    <row r="1051" spans="2:6" x14ac:dyDescent="0.25">
      <c r="B1051" s="2"/>
      <c r="C1051" s="2"/>
      <c r="F1051" s="2"/>
    </row>
    <row r="1052" spans="2:6" x14ac:dyDescent="0.25">
      <c r="B1052" s="2"/>
      <c r="C1052" s="2"/>
      <c r="F1052" s="2"/>
    </row>
    <row r="1053" spans="2:6" x14ac:dyDescent="0.25">
      <c r="B1053" s="2"/>
      <c r="C1053" s="2"/>
      <c r="F1053" s="2"/>
    </row>
    <row r="1054" spans="2:6" x14ac:dyDescent="0.25">
      <c r="B1054" s="2"/>
      <c r="C1054" s="2"/>
      <c r="F1054" s="2"/>
    </row>
    <row r="1055" spans="2:6" x14ac:dyDescent="0.25">
      <c r="B1055" s="2"/>
      <c r="C1055" s="2"/>
      <c r="F1055" s="2"/>
    </row>
    <row r="1056" spans="2:6" x14ac:dyDescent="0.25">
      <c r="B1056" s="2"/>
      <c r="C1056" s="2"/>
      <c r="F1056" s="2"/>
    </row>
    <row r="1057" spans="2:6" x14ac:dyDescent="0.25">
      <c r="B1057" s="2"/>
      <c r="C1057" s="2"/>
      <c r="F1057" s="2"/>
    </row>
    <row r="1058" spans="2:6" x14ac:dyDescent="0.25">
      <c r="B1058" s="2"/>
      <c r="C1058" s="2"/>
      <c r="F1058" s="2"/>
    </row>
    <row r="1059" spans="2:6" x14ac:dyDescent="0.25">
      <c r="B1059" s="2"/>
      <c r="C1059" s="2"/>
      <c r="F1059" s="2"/>
    </row>
    <row r="1060" spans="2:6" x14ac:dyDescent="0.25">
      <c r="B1060" s="2"/>
      <c r="C1060" s="2"/>
      <c r="F1060" s="2"/>
    </row>
    <row r="1061" spans="2:6" x14ac:dyDescent="0.25">
      <c r="B1061" s="2"/>
      <c r="C1061" s="2"/>
      <c r="F1061" s="2"/>
    </row>
    <row r="1062" spans="2:6" x14ac:dyDescent="0.25">
      <c r="B1062" s="2"/>
      <c r="C1062" s="2"/>
      <c r="F1062" s="2"/>
    </row>
    <row r="1063" spans="2:6" x14ac:dyDescent="0.25">
      <c r="B1063" s="2"/>
      <c r="C1063" s="2"/>
      <c r="F1063" s="2"/>
    </row>
    <row r="1064" spans="2:6" x14ac:dyDescent="0.25">
      <c r="B1064" s="2"/>
      <c r="C1064" s="2"/>
      <c r="F1064" s="2"/>
    </row>
    <row r="1065" spans="2:6" x14ac:dyDescent="0.25">
      <c r="B1065" s="2"/>
      <c r="C1065" s="2"/>
      <c r="F1065" s="2"/>
    </row>
    <row r="1066" spans="2:6" x14ac:dyDescent="0.25">
      <c r="B1066" s="2"/>
      <c r="C1066" s="2"/>
      <c r="F1066" s="2"/>
    </row>
    <row r="1067" spans="2:6" x14ac:dyDescent="0.25">
      <c r="B1067" s="2"/>
      <c r="C1067" s="2"/>
      <c r="F1067" s="2"/>
    </row>
    <row r="1068" spans="2:6" x14ac:dyDescent="0.25">
      <c r="B1068" s="2"/>
      <c r="C1068" s="2"/>
      <c r="F1068" s="2"/>
    </row>
    <row r="1069" spans="2:6" x14ac:dyDescent="0.25">
      <c r="B1069" s="2"/>
      <c r="C1069" s="2"/>
      <c r="F1069" s="2"/>
    </row>
    <row r="1070" spans="2:6" x14ac:dyDescent="0.25">
      <c r="B1070" s="2"/>
      <c r="C1070" s="2"/>
      <c r="F1070" s="2"/>
    </row>
    <row r="1071" spans="2:6" x14ac:dyDescent="0.25">
      <c r="B1071" s="2"/>
      <c r="C1071" s="2"/>
      <c r="F1071" s="2"/>
    </row>
    <row r="1072" spans="2:6" x14ac:dyDescent="0.25">
      <c r="B1072" s="2"/>
      <c r="C1072" s="2"/>
      <c r="F1072" s="2"/>
    </row>
    <row r="1073" spans="2:6" x14ac:dyDescent="0.25">
      <c r="B1073" s="2"/>
      <c r="C1073" s="2"/>
      <c r="F1073" s="2"/>
    </row>
    <row r="1074" spans="2:6" x14ac:dyDescent="0.25">
      <c r="B1074" s="2"/>
      <c r="C1074" s="2"/>
      <c r="F1074" s="2"/>
    </row>
    <row r="1075" spans="2:6" x14ac:dyDescent="0.25">
      <c r="B1075" s="2"/>
      <c r="C1075" s="2"/>
      <c r="F1075" s="2"/>
    </row>
    <row r="1076" spans="2:6" x14ac:dyDescent="0.25">
      <c r="B1076" s="2"/>
      <c r="C1076" s="2"/>
      <c r="F1076" s="2"/>
    </row>
    <row r="1077" spans="2:6" x14ac:dyDescent="0.25">
      <c r="B1077" s="2"/>
      <c r="C1077" s="2"/>
      <c r="F1077" s="2"/>
    </row>
    <row r="1078" spans="2:6" x14ac:dyDescent="0.25">
      <c r="B1078" s="2"/>
      <c r="C1078" s="2"/>
      <c r="F1078" s="2"/>
    </row>
    <row r="1079" spans="2:6" x14ac:dyDescent="0.25">
      <c r="B1079" s="2"/>
      <c r="C1079" s="2"/>
      <c r="F1079" s="2"/>
    </row>
    <row r="1080" spans="2:6" x14ac:dyDescent="0.25">
      <c r="B1080" s="2"/>
      <c r="C1080" s="2"/>
      <c r="F1080" s="2"/>
    </row>
    <row r="1081" spans="2:6" x14ac:dyDescent="0.25">
      <c r="B1081" s="2"/>
      <c r="C1081" s="2"/>
      <c r="F1081" s="2"/>
    </row>
    <row r="1082" spans="2:6" x14ac:dyDescent="0.25">
      <c r="B1082" s="2"/>
      <c r="C1082" s="2"/>
      <c r="F1082" s="2"/>
    </row>
    <row r="1083" spans="2:6" x14ac:dyDescent="0.25">
      <c r="B1083" s="2"/>
      <c r="C1083" s="2"/>
      <c r="F1083" s="2"/>
    </row>
    <row r="1084" spans="2:6" x14ac:dyDescent="0.25">
      <c r="B1084" s="2"/>
      <c r="C1084" s="2"/>
      <c r="F1084" s="2"/>
    </row>
    <row r="1085" spans="2:6" x14ac:dyDescent="0.25">
      <c r="B1085" s="2"/>
      <c r="C1085" s="2"/>
      <c r="F1085" s="2"/>
    </row>
    <row r="1086" spans="2:6" x14ac:dyDescent="0.25">
      <c r="B1086" s="2"/>
      <c r="C1086" s="2"/>
      <c r="F1086" s="2"/>
    </row>
    <row r="1087" spans="2:6" x14ac:dyDescent="0.25">
      <c r="B1087" s="2"/>
      <c r="C1087" s="2"/>
      <c r="F1087" s="2"/>
    </row>
    <row r="1088" spans="2:6" x14ac:dyDescent="0.25">
      <c r="B1088" s="2"/>
      <c r="C1088" s="2"/>
      <c r="F1088" s="2"/>
    </row>
    <row r="1089" spans="2:6" x14ac:dyDescent="0.25">
      <c r="B1089" s="2"/>
      <c r="C1089" s="2"/>
      <c r="F1089" s="2"/>
    </row>
    <row r="1090" spans="2:6" x14ac:dyDescent="0.25">
      <c r="B1090" s="2"/>
      <c r="C1090" s="2"/>
      <c r="F1090" s="2"/>
    </row>
    <row r="1091" spans="2:6" x14ac:dyDescent="0.25">
      <c r="B1091" s="2"/>
      <c r="C1091" s="2"/>
      <c r="F1091" s="2"/>
    </row>
    <row r="1092" spans="2:6" x14ac:dyDescent="0.25">
      <c r="B1092" s="2"/>
      <c r="C1092" s="2"/>
      <c r="F1092" s="2"/>
    </row>
    <row r="1093" spans="2:6" x14ac:dyDescent="0.25">
      <c r="B1093" s="2"/>
      <c r="C1093" s="2"/>
      <c r="F1093" s="2"/>
    </row>
    <row r="1094" spans="2:6" x14ac:dyDescent="0.25">
      <c r="B1094" s="2"/>
      <c r="C1094" s="2"/>
      <c r="F1094" s="2"/>
    </row>
    <row r="1095" spans="2:6" x14ac:dyDescent="0.25">
      <c r="B1095" s="2"/>
      <c r="C1095" s="2"/>
      <c r="F1095" s="2"/>
    </row>
    <row r="1096" spans="2:6" x14ac:dyDescent="0.25">
      <c r="B1096" s="2"/>
      <c r="C1096" s="2"/>
      <c r="F1096" s="2"/>
    </row>
    <row r="1097" spans="2:6" x14ac:dyDescent="0.25">
      <c r="B1097" s="2"/>
      <c r="C1097" s="2"/>
      <c r="F1097" s="2"/>
    </row>
    <row r="1098" spans="2:6" x14ac:dyDescent="0.25">
      <c r="B1098" s="2"/>
      <c r="C1098" s="2"/>
      <c r="F1098" s="2"/>
    </row>
    <row r="1099" spans="2:6" x14ac:dyDescent="0.25">
      <c r="B1099" s="2"/>
      <c r="C1099" s="2"/>
      <c r="F1099" s="2"/>
    </row>
    <row r="1100" spans="2:6" x14ac:dyDescent="0.25">
      <c r="B1100" s="2"/>
      <c r="C1100" s="2"/>
      <c r="F1100" s="2"/>
    </row>
    <row r="1101" spans="2:6" x14ac:dyDescent="0.25">
      <c r="B1101" s="2"/>
      <c r="C1101" s="2"/>
      <c r="F1101" s="2"/>
    </row>
    <row r="1102" spans="2:6" x14ac:dyDescent="0.25">
      <c r="B1102" s="2"/>
      <c r="C1102" s="2"/>
      <c r="F1102" s="2"/>
    </row>
    <row r="1103" spans="2:6" x14ac:dyDescent="0.25">
      <c r="B1103" s="2"/>
      <c r="C1103" s="2"/>
      <c r="F1103" s="2"/>
    </row>
    <row r="1104" spans="2:6" x14ac:dyDescent="0.25">
      <c r="B1104" s="2"/>
      <c r="C1104" s="2"/>
      <c r="F1104" s="2"/>
    </row>
    <row r="1105" spans="2:6" x14ac:dyDescent="0.25">
      <c r="B1105" s="2"/>
      <c r="C1105" s="2"/>
      <c r="F1105" s="2"/>
    </row>
    <row r="1106" spans="2:6" x14ac:dyDescent="0.25">
      <c r="B1106" s="2"/>
      <c r="C1106" s="2"/>
      <c r="F1106" s="2"/>
    </row>
    <row r="1107" spans="2:6" x14ac:dyDescent="0.25">
      <c r="B1107" s="2"/>
      <c r="C1107" s="2"/>
      <c r="F1107" s="2"/>
    </row>
    <row r="1108" spans="2:6" x14ac:dyDescent="0.25">
      <c r="B1108" s="2"/>
      <c r="C1108" s="2"/>
      <c r="F1108" s="2"/>
    </row>
    <row r="1109" spans="2:6" x14ac:dyDescent="0.25">
      <c r="B1109" s="2"/>
      <c r="C1109" s="2"/>
      <c r="F1109" s="2"/>
    </row>
    <row r="1110" spans="2:6" x14ac:dyDescent="0.25">
      <c r="B1110" s="2"/>
      <c r="C1110" s="2"/>
      <c r="F1110" s="2"/>
    </row>
    <row r="1111" spans="2:6" x14ac:dyDescent="0.25">
      <c r="B1111" s="2"/>
      <c r="C1111" s="2"/>
      <c r="F1111" s="2"/>
    </row>
    <row r="1112" spans="2:6" x14ac:dyDescent="0.25">
      <c r="B1112" s="2"/>
      <c r="C1112" s="2"/>
      <c r="F1112" s="2"/>
    </row>
    <row r="1113" spans="2:6" x14ac:dyDescent="0.25">
      <c r="B1113" s="2"/>
      <c r="C1113" s="2"/>
      <c r="F1113" s="2"/>
    </row>
    <row r="1114" spans="2:6" x14ac:dyDescent="0.25">
      <c r="B1114" s="2"/>
      <c r="C1114" s="2"/>
      <c r="F1114" s="2"/>
    </row>
    <row r="1115" spans="2:6" x14ac:dyDescent="0.25">
      <c r="B1115" s="2"/>
      <c r="C1115" s="2"/>
      <c r="F1115" s="2"/>
    </row>
    <row r="1116" spans="2:6" x14ac:dyDescent="0.25">
      <c r="B1116" s="2"/>
      <c r="C1116" s="2"/>
      <c r="F1116" s="2"/>
    </row>
    <row r="1117" spans="2:6" x14ac:dyDescent="0.25">
      <c r="B1117" s="2"/>
      <c r="C1117" s="2"/>
      <c r="F1117" s="2"/>
    </row>
    <row r="1118" spans="2:6" x14ac:dyDescent="0.25">
      <c r="B1118" s="2"/>
      <c r="C1118" s="2"/>
      <c r="F1118" s="2"/>
    </row>
    <row r="1119" spans="2:6" x14ac:dyDescent="0.25">
      <c r="B1119" s="2"/>
      <c r="C1119" s="2"/>
      <c r="F1119" s="2"/>
    </row>
    <row r="1120" spans="2:6" x14ac:dyDescent="0.25">
      <c r="B1120" s="2"/>
      <c r="C1120" s="2"/>
      <c r="F1120" s="2"/>
    </row>
    <row r="1121" spans="2:6" x14ac:dyDescent="0.25">
      <c r="B1121" s="2"/>
      <c r="C1121" s="2"/>
      <c r="F1121" s="2"/>
    </row>
    <row r="1122" spans="2:6" x14ac:dyDescent="0.25">
      <c r="B1122" s="2"/>
      <c r="C1122" s="2"/>
      <c r="F1122" s="2"/>
    </row>
    <row r="1123" spans="2:6" x14ac:dyDescent="0.25">
      <c r="B1123" s="2"/>
      <c r="C1123" s="2"/>
      <c r="F1123" s="2"/>
    </row>
    <row r="1124" spans="2:6" x14ac:dyDescent="0.25">
      <c r="B1124" s="2"/>
      <c r="C1124" s="2"/>
      <c r="F1124" s="2"/>
    </row>
    <row r="1125" spans="2:6" x14ac:dyDescent="0.25">
      <c r="B1125" s="2"/>
      <c r="C1125" s="2"/>
      <c r="F1125" s="2"/>
    </row>
    <row r="1126" spans="2:6" x14ac:dyDescent="0.25">
      <c r="B1126" s="2"/>
      <c r="C1126" s="2"/>
      <c r="F1126" s="2"/>
    </row>
    <row r="1127" spans="2:6" x14ac:dyDescent="0.25">
      <c r="B1127" s="2"/>
      <c r="C1127" s="2"/>
      <c r="F1127" s="2"/>
    </row>
    <row r="1128" spans="2:6" x14ac:dyDescent="0.25">
      <c r="B1128" s="2"/>
      <c r="C1128" s="2"/>
      <c r="F1128" s="2"/>
    </row>
    <row r="1129" spans="2:6" x14ac:dyDescent="0.25">
      <c r="B1129" s="2"/>
      <c r="C1129" s="2"/>
      <c r="F1129" s="2"/>
    </row>
    <row r="1130" spans="2:6" x14ac:dyDescent="0.25">
      <c r="B1130" s="2"/>
      <c r="C1130" s="2"/>
      <c r="F1130" s="2"/>
    </row>
    <row r="1131" spans="2:6" x14ac:dyDescent="0.25">
      <c r="B1131" s="2"/>
      <c r="C1131" s="2"/>
      <c r="F1131" s="2"/>
    </row>
    <row r="1132" spans="2:6" x14ac:dyDescent="0.25">
      <c r="B1132" s="2"/>
      <c r="C1132" s="2"/>
      <c r="F1132" s="2"/>
    </row>
    <row r="1133" spans="2:6" x14ac:dyDescent="0.25">
      <c r="B1133" s="2"/>
      <c r="C1133" s="2"/>
      <c r="F1133" s="2"/>
    </row>
    <row r="1134" spans="2:6" x14ac:dyDescent="0.25">
      <c r="B1134" s="2"/>
      <c r="C1134" s="2"/>
      <c r="F1134" s="2"/>
    </row>
    <row r="1135" spans="2:6" x14ac:dyDescent="0.25">
      <c r="B1135" s="2"/>
      <c r="C1135" s="2"/>
      <c r="F1135" s="2"/>
    </row>
    <row r="1136" spans="2:6" x14ac:dyDescent="0.25">
      <c r="B1136" s="2"/>
      <c r="C1136" s="2"/>
      <c r="F1136" s="2"/>
    </row>
    <row r="1137" spans="2:6" x14ac:dyDescent="0.25">
      <c r="B1137" s="2"/>
      <c r="C1137" s="2"/>
      <c r="F1137" s="2"/>
    </row>
    <row r="1138" spans="2:6" x14ac:dyDescent="0.25">
      <c r="B1138" s="2"/>
      <c r="C1138" s="2"/>
      <c r="F1138" s="2"/>
    </row>
    <row r="1139" spans="2:6" x14ac:dyDescent="0.25">
      <c r="B1139" s="2"/>
      <c r="C1139" s="2"/>
      <c r="F1139" s="2"/>
    </row>
    <row r="1140" spans="2:6" x14ac:dyDescent="0.25">
      <c r="B1140" s="2"/>
      <c r="C1140" s="2"/>
      <c r="F1140" s="2"/>
    </row>
    <row r="1141" spans="2:6" x14ac:dyDescent="0.25">
      <c r="B1141" s="2"/>
      <c r="C1141" s="2"/>
      <c r="F1141" s="2"/>
    </row>
    <row r="1142" spans="2:6" x14ac:dyDescent="0.25">
      <c r="B1142" s="2"/>
      <c r="C1142" s="2"/>
      <c r="F1142" s="2"/>
    </row>
    <row r="1143" spans="2:6" x14ac:dyDescent="0.25">
      <c r="B1143" s="2"/>
      <c r="C1143" s="2"/>
      <c r="F1143" s="2"/>
    </row>
    <row r="1144" spans="2:6" x14ac:dyDescent="0.25">
      <c r="B1144" s="2"/>
      <c r="C1144" s="2"/>
      <c r="F1144" s="2"/>
    </row>
    <row r="1145" spans="2:6" x14ac:dyDescent="0.25">
      <c r="B1145" s="2"/>
      <c r="C1145" s="2"/>
      <c r="F1145" s="2"/>
    </row>
    <row r="1146" spans="2:6" x14ac:dyDescent="0.25">
      <c r="B1146" s="2"/>
      <c r="C1146" s="2"/>
      <c r="F1146" s="2"/>
    </row>
    <row r="1147" spans="2:6" x14ac:dyDescent="0.25">
      <c r="B1147" s="2"/>
      <c r="C1147" s="2"/>
      <c r="F1147" s="2"/>
    </row>
    <row r="1148" spans="2:6" x14ac:dyDescent="0.25">
      <c r="B1148" s="2"/>
      <c r="C1148" s="2"/>
      <c r="F1148" s="2"/>
    </row>
    <row r="1149" spans="2:6" x14ac:dyDescent="0.25">
      <c r="B1149" s="2"/>
      <c r="C1149" s="2"/>
      <c r="F1149" s="2"/>
    </row>
    <row r="1150" spans="2:6" x14ac:dyDescent="0.25">
      <c r="B1150" s="2"/>
      <c r="C1150" s="2"/>
      <c r="F1150" s="2"/>
    </row>
    <row r="1151" spans="2:6" x14ac:dyDescent="0.25">
      <c r="B1151" s="2"/>
      <c r="C1151" s="2"/>
      <c r="F1151" s="2"/>
    </row>
    <row r="1152" spans="2:6" x14ac:dyDescent="0.25">
      <c r="B1152" s="2"/>
      <c r="C1152" s="2"/>
      <c r="F1152" s="2"/>
    </row>
    <row r="1153" spans="2:6" x14ac:dyDescent="0.25">
      <c r="B1153" s="2"/>
      <c r="C1153" s="2"/>
      <c r="F1153" s="2"/>
    </row>
    <row r="1154" spans="2:6" x14ac:dyDescent="0.25">
      <c r="B1154" s="2"/>
      <c r="C1154" s="2"/>
      <c r="F1154" s="2"/>
    </row>
    <row r="1155" spans="2:6" x14ac:dyDescent="0.25">
      <c r="B1155" s="2"/>
      <c r="C1155" s="2"/>
      <c r="F1155" s="2"/>
    </row>
    <row r="1156" spans="2:6" x14ac:dyDescent="0.25">
      <c r="B1156" s="2"/>
      <c r="C1156" s="2"/>
      <c r="F1156" s="2"/>
    </row>
    <row r="1157" spans="2:6" x14ac:dyDescent="0.25">
      <c r="B1157" s="2"/>
      <c r="C1157" s="2"/>
      <c r="F1157" s="2"/>
    </row>
    <row r="1158" spans="2:6" x14ac:dyDescent="0.25">
      <c r="B1158" s="2"/>
      <c r="C1158" s="2"/>
      <c r="F1158" s="2"/>
    </row>
    <row r="1159" spans="2:6" x14ac:dyDescent="0.25">
      <c r="B1159" s="2"/>
      <c r="C1159" s="2"/>
      <c r="F1159" s="2"/>
    </row>
    <row r="1160" spans="2:6" x14ac:dyDescent="0.25">
      <c r="B1160" s="2"/>
      <c r="C1160" s="2"/>
      <c r="F1160" s="2"/>
    </row>
    <row r="1161" spans="2:6" x14ac:dyDescent="0.25">
      <c r="B1161" s="2"/>
      <c r="C1161" s="2"/>
      <c r="F1161" s="2"/>
    </row>
    <row r="1162" spans="2:6" x14ac:dyDescent="0.25">
      <c r="B1162" s="2"/>
      <c r="C1162" s="2"/>
      <c r="F1162" s="2"/>
    </row>
    <row r="1163" spans="2:6" x14ac:dyDescent="0.25">
      <c r="B1163" s="2"/>
      <c r="C1163" s="2"/>
      <c r="F1163" s="2"/>
    </row>
    <row r="1164" spans="2:6" x14ac:dyDescent="0.25">
      <c r="B1164" s="2"/>
      <c r="C1164" s="2"/>
      <c r="F1164" s="2"/>
    </row>
    <row r="1165" spans="2:6" x14ac:dyDescent="0.25">
      <c r="B1165" s="2"/>
      <c r="C1165" s="2"/>
      <c r="F1165" s="2"/>
    </row>
    <row r="1166" spans="2:6" x14ac:dyDescent="0.25">
      <c r="B1166" s="2"/>
      <c r="C1166" s="2"/>
      <c r="F1166" s="2"/>
    </row>
    <row r="1167" spans="2:6" x14ac:dyDescent="0.25">
      <c r="B1167" s="2"/>
      <c r="C1167" s="2"/>
      <c r="F1167" s="2"/>
    </row>
    <row r="1168" spans="2:6" x14ac:dyDescent="0.25">
      <c r="B1168" s="2"/>
      <c r="C1168" s="2"/>
      <c r="F1168" s="2"/>
    </row>
    <row r="1169" spans="2:6" x14ac:dyDescent="0.25">
      <c r="B1169" s="2"/>
      <c r="C1169" s="2"/>
      <c r="F1169" s="2"/>
    </row>
    <row r="1170" spans="2:6" x14ac:dyDescent="0.25">
      <c r="B1170" s="2"/>
      <c r="C1170" s="2"/>
      <c r="F1170" s="2"/>
    </row>
    <row r="1171" spans="2:6" x14ac:dyDescent="0.25">
      <c r="B1171" s="2"/>
      <c r="C1171" s="2"/>
      <c r="F1171" s="2"/>
    </row>
    <row r="1172" spans="2:6" x14ac:dyDescent="0.25">
      <c r="B1172" s="2"/>
      <c r="C1172" s="2"/>
      <c r="F1172" s="2"/>
    </row>
    <row r="1173" spans="2:6" x14ac:dyDescent="0.25">
      <c r="B1173" s="2"/>
      <c r="C1173" s="2"/>
      <c r="F1173" s="2"/>
    </row>
    <row r="1174" spans="2:6" x14ac:dyDescent="0.25">
      <c r="B1174" s="2"/>
      <c r="C1174" s="2"/>
      <c r="F1174" s="2"/>
    </row>
    <row r="1175" spans="2:6" x14ac:dyDescent="0.25">
      <c r="B1175" s="2"/>
      <c r="C1175" s="2"/>
      <c r="F1175" s="2"/>
    </row>
    <row r="1176" spans="2:6" x14ac:dyDescent="0.25">
      <c r="B1176" s="2"/>
      <c r="C1176" s="2"/>
      <c r="F1176" s="2"/>
    </row>
    <row r="1177" spans="2:6" x14ac:dyDescent="0.25">
      <c r="B1177" s="2"/>
      <c r="C1177" s="2"/>
      <c r="F1177" s="2"/>
    </row>
    <row r="1178" spans="2:6" x14ac:dyDescent="0.25">
      <c r="B1178" s="2"/>
      <c r="C1178" s="2"/>
      <c r="F1178" s="2"/>
    </row>
    <row r="1179" spans="2:6" x14ac:dyDescent="0.25">
      <c r="B1179" s="2"/>
      <c r="C1179" s="2"/>
      <c r="F1179" s="2"/>
    </row>
    <row r="1180" spans="2:6" x14ac:dyDescent="0.25">
      <c r="B1180" s="2"/>
      <c r="C1180" s="2"/>
      <c r="F1180" s="2"/>
    </row>
    <row r="1181" spans="2:6" x14ac:dyDescent="0.25">
      <c r="B1181" s="2"/>
      <c r="C1181" s="2"/>
      <c r="F1181" s="2"/>
    </row>
    <row r="1182" spans="2:6" x14ac:dyDescent="0.25">
      <c r="B1182" s="2"/>
      <c r="C1182" s="2"/>
      <c r="F1182" s="2"/>
    </row>
    <row r="1183" spans="2:6" x14ac:dyDescent="0.25">
      <c r="B1183" s="2"/>
      <c r="C1183" s="2"/>
      <c r="F1183" s="2"/>
    </row>
    <row r="1184" spans="2:6" x14ac:dyDescent="0.25">
      <c r="B1184" s="2"/>
      <c r="C1184" s="2"/>
      <c r="F1184" s="2"/>
    </row>
    <row r="1185" spans="2:6" x14ac:dyDescent="0.25">
      <c r="B1185" s="2"/>
      <c r="C1185" s="2"/>
      <c r="F1185" s="2"/>
    </row>
    <row r="1186" spans="2:6" x14ac:dyDescent="0.25">
      <c r="B1186" s="2"/>
      <c r="C1186" s="2"/>
      <c r="F1186" s="2"/>
    </row>
    <row r="1187" spans="2:6" x14ac:dyDescent="0.25">
      <c r="B1187" s="2"/>
      <c r="C1187" s="2"/>
      <c r="F1187" s="2"/>
    </row>
    <row r="1188" spans="2:6" x14ac:dyDescent="0.25">
      <c r="B1188" s="2"/>
      <c r="C1188" s="2"/>
      <c r="F1188" s="2"/>
    </row>
    <row r="1189" spans="2:6" x14ac:dyDescent="0.25">
      <c r="B1189" s="2"/>
      <c r="C1189" s="2"/>
      <c r="F1189" s="2"/>
    </row>
    <row r="1190" spans="2:6" x14ac:dyDescent="0.25">
      <c r="B1190" s="2"/>
      <c r="C1190" s="2"/>
      <c r="F1190" s="2"/>
    </row>
    <row r="1191" spans="2:6" x14ac:dyDescent="0.25">
      <c r="B1191" s="2"/>
      <c r="C1191" s="2"/>
      <c r="F1191" s="2"/>
    </row>
    <row r="1192" spans="2:6" x14ac:dyDescent="0.25">
      <c r="B1192" s="2"/>
      <c r="C1192" s="2"/>
      <c r="F1192" s="2"/>
    </row>
    <row r="1193" spans="2:6" x14ac:dyDescent="0.25">
      <c r="B1193" s="2"/>
      <c r="C1193" s="2"/>
      <c r="F1193" s="2"/>
    </row>
    <row r="1194" spans="2:6" x14ac:dyDescent="0.25">
      <c r="B1194" s="2"/>
      <c r="C1194" s="2"/>
      <c r="F1194" s="2"/>
    </row>
    <row r="1195" spans="2:6" x14ac:dyDescent="0.25">
      <c r="B1195" s="2"/>
      <c r="C1195" s="2"/>
      <c r="F1195" s="2"/>
    </row>
    <row r="1196" spans="2:6" x14ac:dyDescent="0.25">
      <c r="B1196" s="2"/>
      <c r="C1196" s="2"/>
      <c r="F1196" s="2"/>
    </row>
    <row r="1197" spans="2:6" x14ac:dyDescent="0.25">
      <c r="B1197" s="2"/>
      <c r="C1197" s="2"/>
      <c r="F1197" s="2"/>
    </row>
    <row r="1198" spans="2:6" x14ac:dyDescent="0.25">
      <c r="B1198" s="2"/>
      <c r="C1198" s="2"/>
      <c r="F1198" s="2"/>
    </row>
    <row r="1199" spans="2:6" x14ac:dyDescent="0.25">
      <c r="B1199" s="2"/>
      <c r="C1199" s="2"/>
      <c r="F1199" s="2"/>
    </row>
    <row r="1200" spans="2:6" x14ac:dyDescent="0.25">
      <c r="B1200" s="2"/>
      <c r="C1200" s="2"/>
      <c r="F1200" s="2"/>
    </row>
    <row r="1201" spans="2:6" x14ac:dyDescent="0.25">
      <c r="B1201" s="2"/>
      <c r="C1201" s="2"/>
      <c r="F1201" s="2"/>
    </row>
    <row r="1202" spans="2:6" x14ac:dyDescent="0.25">
      <c r="B1202" s="2"/>
      <c r="C1202" s="2"/>
      <c r="F1202" s="2"/>
    </row>
    <row r="1203" spans="2:6" x14ac:dyDescent="0.25">
      <c r="B1203" s="2"/>
      <c r="C1203" s="2"/>
      <c r="F1203" s="2"/>
    </row>
    <row r="1204" spans="2:6" x14ac:dyDescent="0.25">
      <c r="B1204" s="2"/>
      <c r="C1204" s="2"/>
      <c r="F1204" s="2"/>
    </row>
    <row r="1205" spans="2:6" x14ac:dyDescent="0.25">
      <c r="B1205" s="2"/>
      <c r="C1205" s="2"/>
      <c r="F1205" s="2"/>
    </row>
    <row r="1206" spans="2:6" x14ac:dyDescent="0.25">
      <c r="B1206" s="2"/>
      <c r="C1206" s="2"/>
      <c r="F1206" s="2"/>
    </row>
    <row r="1207" spans="2:6" x14ac:dyDescent="0.25">
      <c r="B1207" s="2"/>
      <c r="C1207" s="2"/>
      <c r="F1207" s="2"/>
    </row>
    <row r="1208" spans="2:6" x14ac:dyDescent="0.25">
      <c r="B1208" s="2"/>
      <c r="C1208" s="2"/>
      <c r="F1208" s="2"/>
    </row>
    <row r="1209" spans="2:6" x14ac:dyDescent="0.25">
      <c r="B1209" s="2"/>
      <c r="C1209" s="2"/>
      <c r="F1209" s="2"/>
    </row>
    <row r="1210" spans="2:6" x14ac:dyDescent="0.25">
      <c r="B1210" s="2"/>
      <c r="C1210" s="2"/>
      <c r="F1210" s="2"/>
    </row>
    <row r="1211" spans="2:6" x14ac:dyDescent="0.25">
      <c r="B1211" s="2"/>
      <c r="C1211" s="2"/>
      <c r="F1211" s="2"/>
    </row>
    <row r="1212" spans="2:6" x14ac:dyDescent="0.25">
      <c r="B1212" s="2"/>
      <c r="C1212" s="2"/>
      <c r="F1212" s="2"/>
    </row>
    <row r="1213" spans="2:6" x14ac:dyDescent="0.25">
      <c r="B1213" s="2"/>
      <c r="C1213" s="2"/>
      <c r="F1213" s="2"/>
    </row>
    <row r="1214" spans="2:6" x14ac:dyDescent="0.25">
      <c r="B1214" s="2"/>
      <c r="C1214" s="2"/>
      <c r="F1214" s="2"/>
    </row>
    <row r="1215" spans="2:6" x14ac:dyDescent="0.25">
      <c r="B1215" s="2"/>
      <c r="C1215" s="2"/>
      <c r="F1215" s="2"/>
    </row>
    <row r="1216" spans="2:6" x14ac:dyDescent="0.25">
      <c r="B1216" s="2"/>
      <c r="C1216" s="2"/>
      <c r="F1216" s="2"/>
    </row>
    <row r="1217" spans="2:6" x14ac:dyDescent="0.25">
      <c r="B1217" s="2"/>
      <c r="C1217" s="2"/>
      <c r="F1217" s="2"/>
    </row>
    <row r="1218" spans="2:6" x14ac:dyDescent="0.25">
      <c r="B1218" s="2"/>
      <c r="C1218" s="2"/>
      <c r="F1218" s="2"/>
    </row>
    <row r="1219" spans="2:6" x14ac:dyDescent="0.25">
      <c r="B1219" s="2"/>
      <c r="C1219" s="2"/>
      <c r="F1219" s="2"/>
    </row>
    <row r="1220" spans="2:6" x14ac:dyDescent="0.25">
      <c r="B1220" s="2"/>
      <c r="C1220" s="2"/>
      <c r="F1220" s="2"/>
    </row>
    <row r="1221" spans="2:6" x14ac:dyDescent="0.25">
      <c r="B1221" s="2"/>
      <c r="C1221" s="2"/>
      <c r="F1221" s="2"/>
    </row>
    <row r="1222" spans="2:6" x14ac:dyDescent="0.25">
      <c r="B1222" s="2"/>
      <c r="C1222" s="2"/>
      <c r="F1222" s="2"/>
    </row>
    <row r="1223" spans="2:6" x14ac:dyDescent="0.25">
      <c r="B1223" s="2"/>
      <c r="C1223" s="2"/>
      <c r="F1223" s="2"/>
    </row>
    <row r="1224" spans="2:6" x14ac:dyDescent="0.25">
      <c r="B1224" s="2"/>
      <c r="C1224" s="2"/>
      <c r="F1224" s="2"/>
    </row>
    <row r="1225" spans="2:6" x14ac:dyDescent="0.25">
      <c r="B1225" s="2"/>
      <c r="C1225" s="2"/>
      <c r="F1225" s="2"/>
    </row>
    <row r="1226" spans="2:6" x14ac:dyDescent="0.25">
      <c r="B1226" s="2"/>
      <c r="C1226" s="2"/>
      <c r="F1226" s="2"/>
    </row>
    <row r="1227" spans="2:6" x14ac:dyDescent="0.25">
      <c r="B1227" s="2"/>
      <c r="C1227" s="2"/>
      <c r="F1227" s="2"/>
    </row>
    <row r="1228" spans="2:6" x14ac:dyDescent="0.25">
      <c r="B1228" s="2"/>
      <c r="C1228" s="2"/>
      <c r="F1228" s="2"/>
    </row>
    <row r="1229" spans="2:6" x14ac:dyDescent="0.25">
      <c r="B1229" s="2"/>
      <c r="C1229" s="2"/>
      <c r="F1229" s="2"/>
    </row>
    <row r="1230" spans="2:6" x14ac:dyDescent="0.25">
      <c r="B1230" s="2"/>
      <c r="C1230" s="2"/>
      <c r="F1230" s="2"/>
    </row>
    <row r="1231" spans="2:6" x14ac:dyDescent="0.25">
      <c r="B1231" s="2"/>
      <c r="C1231" s="2"/>
      <c r="F1231" s="2"/>
    </row>
    <row r="1232" spans="2:6" x14ac:dyDescent="0.25">
      <c r="B1232" s="2"/>
      <c r="C1232" s="2"/>
      <c r="F1232" s="2"/>
    </row>
    <row r="1233" spans="2:6" x14ac:dyDescent="0.25">
      <c r="B1233" s="2"/>
      <c r="C1233" s="2"/>
      <c r="F1233" s="2"/>
    </row>
    <row r="1234" spans="2:6" x14ac:dyDescent="0.25">
      <c r="B1234" s="2"/>
      <c r="C1234" s="2"/>
      <c r="F1234" s="2"/>
    </row>
    <row r="1235" spans="2:6" x14ac:dyDescent="0.25">
      <c r="B1235" s="2"/>
      <c r="C1235" s="2"/>
      <c r="F1235" s="2"/>
    </row>
    <row r="1236" spans="2:6" x14ac:dyDescent="0.25">
      <c r="B1236" s="2"/>
      <c r="C1236" s="2"/>
      <c r="F1236" s="2"/>
    </row>
    <row r="1237" spans="2:6" x14ac:dyDescent="0.25">
      <c r="B1237" s="2"/>
      <c r="C1237" s="2"/>
      <c r="F1237" s="2"/>
    </row>
    <row r="1238" spans="2:6" x14ac:dyDescent="0.25">
      <c r="B1238" s="2"/>
      <c r="C1238" s="2"/>
      <c r="F1238" s="2"/>
    </row>
    <row r="1239" spans="2:6" x14ac:dyDescent="0.25">
      <c r="B1239" s="2"/>
      <c r="C1239" s="2"/>
      <c r="F1239" s="2"/>
    </row>
    <row r="1240" spans="2:6" x14ac:dyDescent="0.25">
      <c r="B1240" s="2"/>
      <c r="C1240" s="2"/>
      <c r="F1240" s="2"/>
    </row>
    <row r="1241" spans="2:6" x14ac:dyDescent="0.25">
      <c r="B1241" s="2"/>
      <c r="C1241" s="2"/>
      <c r="F1241" s="2"/>
    </row>
    <row r="1242" spans="2:6" x14ac:dyDescent="0.25">
      <c r="B1242" s="2"/>
      <c r="C1242" s="2"/>
      <c r="F1242" s="2"/>
    </row>
    <row r="1243" spans="2:6" x14ac:dyDescent="0.25">
      <c r="B1243" s="2"/>
      <c r="C1243" s="2"/>
      <c r="F1243" s="2"/>
    </row>
    <row r="1244" spans="2:6" x14ac:dyDescent="0.25">
      <c r="B1244" s="2"/>
      <c r="C1244" s="2"/>
      <c r="F1244" s="2"/>
    </row>
    <row r="1245" spans="2:6" x14ac:dyDescent="0.25">
      <c r="B1245" s="2"/>
      <c r="C1245" s="2"/>
      <c r="F1245" s="2"/>
    </row>
    <row r="1246" spans="2:6" x14ac:dyDescent="0.25">
      <c r="B1246" s="2"/>
      <c r="C1246" s="2"/>
      <c r="F1246" s="2"/>
    </row>
    <row r="1247" spans="2:6" x14ac:dyDescent="0.25">
      <c r="B1247" s="2"/>
      <c r="C1247" s="2"/>
      <c r="F1247" s="2"/>
    </row>
    <row r="1248" spans="2:6" x14ac:dyDescent="0.25">
      <c r="B1248" s="2"/>
      <c r="C1248" s="2"/>
      <c r="F1248" s="2"/>
    </row>
    <row r="1249" spans="2:6" x14ac:dyDescent="0.25">
      <c r="B1249" s="2"/>
      <c r="C1249" s="2"/>
      <c r="F1249" s="2"/>
    </row>
    <row r="1250" spans="2:6" x14ac:dyDescent="0.25">
      <c r="B1250" s="2"/>
      <c r="C1250" s="2"/>
      <c r="F1250" s="2"/>
    </row>
    <row r="1251" spans="2:6" x14ac:dyDescent="0.25">
      <c r="B1251" s="2"/>
      <c r="C1251" s="2"/>
      <c r="F1251" s="2"/>
    </row>
    <row r="1252" spans="2:6" x14ac:dyDescent="0.25">
      <c r="B1252" s="2"/>
      <c r="C1252" s="2"/>
      <c r="F1252" s="2"/>
    </row>
    <row r="1253" spans="2:6" x14ac:dyDescent="0.25">
      <c r="B1253" s="2"/>
      <c r="C1253" s="2"/>
      <c r="F1253" s="2"/>
    </row>
    <row r="1254" spans="2:6" x14ac:dyDescent="0.25">
      <c r="B1254" s="2"/>
      <c r="C1254" s="2"/>
      <c r="F1254" s="2"/>
    </row>
    <row r="1255" spans="2:6" x14ac:dyDescent="0.25">
      <c r="B1255" s="2"/>
      <c r="C1255" s="2"/>
      <c r="F1255" s="2"/>
    </row>
    <row r="1256" spans="2:6" x14ac:dyDescent="0.25">
      <c r="B1256" s="2"/>
      <c r="C1256" s="2"/>
      <c r="F1256" s="2"/>
    </row>
    <row r="1257" spans="2:6" x14ac:dyDescent="0.25">
      <c r="B1257" s="2"/>
      <c r="C1257" s="2"/>
      <c r="F1257" s="2"/>
    </row>
    <row r="1258" spans="2:6" x14ac:dyDescent="0.25">
      <c r="B1258" s="2"/>
      <c r="C1258" s="2"/>
      <c r="F1258" s="2"/>
    </row>
    <row r="1259" spans="2:6" x14ac:dyDescent="0.25">
      <c r="B1259" s="2"/>
      <c r="C1259" s="2"/>
      <c r="F1259" s="2"/>
    </row>
    <row r="1260" spans="2:6" x14ac:dyDescent="0.25">
      <c r="B1260" s="2"/>
      <c r="C1260" s="2"/>
      <c r="F1260" s="2"/>
    </row>
    <row r="1261" spans="2:6" x14ac:dyDescent="0.25">
      <c r="B1261" s="2"/>
      <c r="C1261" s="2"/>
      <c r="F1261" s="2"/>
    </row>
    <row r="1262" spans="2:6" x14ac:dyDescent="0.25">
      <c r="B1262" s="2"/>
      <c r="C1262" s="2"/>
      <c r="F1262" s="2"/>
    </row>
    <row r="1263" spans="2:6" x14ac:dyDescent="0.25">
      <c r="B1263" s="2"/>
      <c r="C1263" s="2"/>
      <c r="F1263" s="2"/>
    </row>
    <row r="1264" spans="2:6" x14ac:dyDescent="0.25">
      <c r="B1264" s="2"/>
      <c r="C1264" s="2"/>
      <c r="F1264" s="2"/>
    </row>
    <row r="1265" spans="2:6" x14ac:dyDescent="0.25">
      <c r="B1265" s="2"/>
      <c r="C1265" s="2"/>
      <c r="F1265" s="2"/>
    </row>
    <row r="1266" spans="2:6" x14ac:dyDescent="0.25">
      <c r="B1266" s="2"/>
      <c r="C1266" s="2"/>
      <c r="F1266" s="2"/>
    </row>
    <row r="1267" spans="2:6" x14ac:dyDescent="0.25">
      <c r="B1267" s="2"/>
      <c r="C1267" s="2"/>
      <c r="F1267" s="2"/>
    </row>
    <row r="1268" spans="2:6" x14ac:dyDescent="0.25">
      <c r="B1268" s="2"/>
      <c r="C1268" s="2"/>
      <c r="F1268" s="2"/>
    </row>
    <row r="1269" spans="2:6" x14ac:dyDescent="0.25">
      <c r="B1269" s="2"/>
      <c r="C1269" s="2"/>
      <c r="F1269" s="2"/>
    </row>
    <row r="1270" spans="2:6" x14ac:dyDescent="0.25">
      <c r="B1270" s="2"/>
      <c r="C1270" s="2"/>
      <c r="F1270" s="2"/>
    </row>
    <row r="1271" spans="2:6" x14ac:dyDescent="0.25">
      <c r="B1271" s="2"/>
      <c r="C1271" s="2"/>
      <c r="F1271" s="2"/>
    </row>
    <row r="1272" spans="2:6" x14ac:dyDescent="0.25">
      <c r="B1272" s="2"/>
      <c r="C1272" s="2"/>
      <c r="F1272" s="2"/>
    </row>
    <row r="1273" spans="2:6" x14ac:dyDescent="0.25">
      <c r="B1273" s="2"/>
      <c r="C1273" s="2"/>
      <c r="F1273" s="2"/>
    </row>
    <row r="1274" spans="2:6" x14ac:dyDescent="0.25">
      <c r="B1274" s="2"/>
      <c r="C1274" s="2"/>
      <c r="F1274" s="2"/>
    </row>
    <row r="1275" spans="2:6" x14ac:dyDescent="0.25">
      <c r="B1275" s="2"/>
      <c r="C1275" s="2"/>
      <c r="F1275" s="2"/>
    </row>
    <row r="1276" spans="2:6" x14ac:dyDescent="0.25">
      <c r="B1276" s="2"/>
      <c r="C1276" s="2"/>
      <c r="F1276" s="2"/>
    </row>
    <row r="1277" spans="2:6" x14ac:dyDescent="0.25">
      <c r="B1277" s="2"/>
      <c r="C1277" s="2"/>
      <c r="F1277" s="2"/>
    </row>
    <row r="1278" spans="2:6" x14ac:dyDescent="0.25">
      <c r="B1278" s="2"/>
      <c r="C1278" s="2"/>
      <c r="F1278" s="2"/>
    </row>
    <row r="1279" spans="2:6" x14ac:dyDescent="0.25">
      <c r="B1279" s="2"/>
      <c r="C1279" s="2"/>
      <c r="F1279" s="2"/>
    </row>
    <row r="1280" spans="2:6" x14ac:dyDescent="0.25">
      <c r="B1280" s="2"/>
      <c r="C1280" s="2"/>
      <c r="F1280" s="2"/>
    </row>
    <row r="1281" spans="2:6" x14ac:dyDescent="0.25">
      <c r="B1281" s="2"/>
      <c r="C1281" s="2"/>
      <c r="F1281" s="2"/>
    </row>
    <row r="1282" spans="2:6" x14ac:dyDescent="0.25">
      <c r="B1282" s="2"/>
      <c r="C1282" s="2"/>
      <c r="F1282" s="2"/>
    </row>
    <row r="1283" spans="2:6" x14ac:dyDescent="0.25">
      <c r="B1283" s="2"/>
      <c r="C1283" s="2"/>
      <c r="F1283" s="2"/>
    </row>
    <row r="1284" spans="2:6" x14ac:dyDescent="0.25">
      <c r="B1284" s="2"/>
      <c r="C1284" s="2"/>
      <c r="F1284" s="2"/>
    </row>
    <row r="1285" spans="2:6" x14ac:dyDescent="0.25">
      <c r="B1285" s="2"/>
      <c r="C1285" s="2"/>
      <c r="F1285" s="2"/>
    </row>
    <row r="1286" spans="2:6" x14ac:dyDescent="0.25">
      <c r="B1286" s="2"/>
      <c r="C1286" s="2"/>
      <c r="F1286" s="2"/>
    </row>
    <row r="1287" spans="2:6" x14ac:dyDescent="0.25">
      <c r="B1287" s="2"/>
      <c r="C1287" s="2"/>
      <c r="F1287" s="2"/>
    </row>
    <row r="1288" spans="2:6" x14ac:dyDescent="0.25">
      <c r="B1288" s="2"/>
      <c r="C1288" s="2"/>
      <c r="F1288" s="2"/>
    </row>
    <row r="1289" spans="2:6" x14ac:dyDescent="0.25">
      <c r="B1289" s="2"/>
      <c r="C1289" s="2"/>
      <c r="F1289" s="2"/>
    </row>
    <row r="1290" spans="2:6" x14ac:dyDescent="0.25">
      <c r="B1290" s="2"/>
      <c r="C1290" s="2"/>
      <c r="F1290" s="2"/>
    </row>
    <row r="1291" spans="2:6" x14ac:dyDescent="0.25">
      <c r="B1291" s="2"/>
      <c r="C1291" s="2"/>
      <c r="F1291" s="2"/>
    </row>
    <row r="1292" spans="2:6" x14ac:dyDescent="0.25">
      <c r="B1292" s="2"/>
      <c r="C1292" s="2"/>
      <c r="F1292" s="2"/>
    </row>
    <row r="1293" spans="2:6" x14ac:dyDescent="0.25">
      <c r="B1293" s="2"/>
      <c r="C1293" s="2"/>
      <c r="F1293" s="2"/>
    </row>
    <row r="1294" spans="2:6" x14ac:dyDescent="0.25">
      <c r="B1294" s="2"/>
      <c r="C1294" s="2"/>
      <c r="F1294" s="2"/>
    </row>
    <row r="1295" spans="2:6" x14ac:dyDescent="0.25">
      <c r="B1295" s="2"/>
      <c r="C1295" s="2"/>
      <c r="F1295" s="2"/>
    </row>
    <row r="1296" spans="2:6" x14ac:dyDescent="0.25">
      <c r="B1296" s="2"/>
      <c r="C1296" s="2"/>
      <c r="F1296" s="2"/>
    </row>
    <row r="1297" spans="2:6" x14ac:dyDescent="0.25">
      <c r="B1297" s="2"/>
      <c r="C1297" s="2"/>
      <c r="F1297" s="2"/>
    </row>
    <row r="1298" spans="2:6" x14ac:dyDescent="0.25">
      <c r="B1298" s="2"/>
      <c r="C1298" s="2"/>
      <c r="F1298" s="2"/>
    </row>
    <row r="1299" spans="2:6" x14ac:dyDescent="0.25">
      <c r="B1299" s="2"/>
      <c r="C1299" s="2"/>
      <c r="F1299" s="2"/>
    </row>
    <row r="1300" spans="2:6" x14ac:dyDescent="0.25">
      <c r="B1300" s="2"/>
      <c r="C1300" s="2"/>
      <c r="F1300" s="2"/>
    </row>
    <row r="1301" spans="2:6" x14ac:dyDescent="0.25">
      <c r="B1301" s="2"/>
      <c r="C1301" s="2"/>
      <c r="F1301" s="2"/>
    </row>
    <row r="1302" spans="2:6" x14ac:dyDescent="0.25">
      <c r="B1302" s="2"/>
      <c r="C1302" s="2"/>
      <c r="F1302" s="2"/>
    </row>
    <row r="1303" spans="2:6" x14ac:dyDescent="0.25">
      <c r="B1303" s="2"/>
      <c r="C1303" s="2"/>
      <c r="F1303" s="2"/>
    </row>
    <row r="1304" spans="2:6" x14ac:dyDescent="0.25">
      <c r="B1304" s="2"/>
      <c r="C1304" s="2"/>
      <c r="F1304" s="2"/>
    </row>
    <row r="1305" spans="2:6" x14ac:dyDescent="0.25">
      <c r="B1305" s="2"/>
      <c r="C1305" s="2"/>
      <c r="F1305" s="2"/>
    </row>
    <row r="1306" spans="2:6" x14ac:dyDescent="0.25">
      <c r="B1306" s="2"/>
      <c r="C1306" s="2"/>
      <c r="F1306" s="2"/>
    </row>
    <row r="1307" spans="2:6" x14ac:dyDescent="0.25">
      <c r="B1307" s="2"/>
      <c r="C1307" s="2"/>
      <c r="F1307" s="2"/>
    </row>
    <row r="1308" spans="2:6" x14ac:dyDescent="0.25">
      <c r="B1308" s="2"/>
      <c r="C1308" s="2"/>
      <c r="F1308" s="2"/>
    </row>
    <row r="1309" spans="2:6" x14ac:dyDescent="0.25">
      <c r="B1309" s="2"/>
      <c r="C1309" s="2"/>
      <c r="F1309" s="2"/>
    </row>
    <row r="1310" spans="2:6" x14ac:dyDescent="0.25">
      <c r="B1310" s="2"/>
      <c r="C1310" s="2"/>
      <c r="F1310" s="2"/>
    </row>
    <row r="1311" spans="2:6" x14ac:dyDescent="0.25">
      <c r="B1311" s="2"/>
      <c r="C1311" s="2"/>
      <c r="F1311" s="2"/>
    </row>
    <row r="1312" spans="2:6" x14ac:dyDescent="0.25">
      <c r="B1312" s="2"/>
      <c r="C1312" s="2"/>
      <c r="F1312" s="2"/>
    </row>
    <row r="1313" spans="2:6" x14ac:dyDescent="0.25">
      <c r="B1313" s="2"/>
      <c r="C1313" s="2"/>
      <c r="F1313" s="2"/>
    </row>
    <row r="1314" spans="2:6" x14ac:dyDescent="0.25">
      <c r="B1314" s="2"/>
      <c r="C1314" s="2"/>
      <c r="F1314" s="2"/>
    </row>
    <row r="1315" spans="2:6" x14ac:dyDescent="0.25">
      <c r="B1315" s="2"/>
      <c r="C1315" s="2"/>
      <c r="F1315" s="2"/>
    </row>
    <row r="1316" spans="2:6" x14ac:dyDescent="0.25">
      <c r="B1316" s="2"/>
      <c r="C1316" s="2"/>
      <c r="F1316" s="2"/>
    </row>
    <row r="1317" spans="2:6" x14ac:dyDescent="0.25">
      <c r="B1317" s="2"/>
      <c r="C1317" s="2"/>
      <c r="F1317" s="2"/>
    </row>
    <row r="1318" spans="2:6" x14ac:dyDescent="0.25">
      <c r="B1318" s="2"/>
      <c r="C1318" s="2"/>
      <c r="F1318" s="2"/>
    </row>
    <row r="1319" spans="2:6" x14ac:dyDescent="0.25">
      <c r="B1319" s="2"/>
      <c r="C1319" s="2"/>
      <c r="F1319" s="2"/>
    </row>
    <row r="1320" spans="2:6" x14ac:dyDescent="0.25">
      <c r="B1320" s="2"/>
      <c r="C1320" s="2"/>
      <c r="F1320" s="2"/>
    </row>
    <row r="1321" spans="2:6" x14ac:dyDescent="0.25">
      <c r="B1321" s="2"/>
      <c r="C1321" s="2"/>
      <c r="F1321" s="2"/>
    </row>
    <row r="1322" spans="2:6" x14ac:dyDescent="0.25">
      <c r="B1322" s="2"/>
      <c r="C1322" s="2"/>
      <c r="F1322" s="2"/>
    </row>
    <row r="1323" spans="2:6" x14ac:dyDescent="0.25">
      <c r="B1323" s="2"/>
      <c r="C1323" s="2"/>
      <c r="F1323" s="2"/>
    </row>
    <row r="1324" spans="2:6" x14ac:dyDescent="0.25">
      <c r="B1324" s="2"/>
      <c r="C1324" s="2"/>
      <c r="F1324" s="2"/>
    </row>
    <row r="1325" spans="2:6" x14ac:dyDescent="0.25">
      <c r="B1325" s="2"/>
      <c r="C1325" s="2"/>
      <c r="F1325" s="2"/>
    </row>
    <row r="1326" spans="2:6" x14ac:dyDescent="0.25">
      <c r="B1326" s="2"/>
      <c r="C1326" s="2"/>
      <c r="F1326" s="2"/>
    </row>
    <row r="1327" spans="2:6" x14ac:dyDescent="0.25">
      <c r="B1327" s="2"/>
      <c r="C1327" s="2"/>
      <c r="F1327" s="2"/>
    </row>
    <row r="1328" spans="2:6" x14ac:dyDescent="0.25">
      <c r="B1328" s="2"/>
      <c r="C1328" s="2"/>
      <c r="F1328" s="2"/>
    </row>
    <row r="1329" spans="2:6" x14ac:dyDescent="0.25">
      <c r="B1329" s="2"/>
      <c r="C1329" s="2"/>
      <c r="F1329" s="2"/>
    </row>
    <row r="1330" spans="2:6" x14ac:dyDescent="0.25">
      <c r="B1330" s="2"/>
      <c r="C1330" s="2"/>
      <c r="F1330" s="2"/>
    </row>
    <row r="1331" spans="2:6" x14ac:dyDescent="0.25">
      <c r="B1331" s="2"/>
      <c r="C1331" s="2"/>
      <c r="F1331" s="2"/>
    </row>
    <row r="1332" spans="2:6" x14ac:dyDescent="0.25">
      <c r="B1332" s="2"/>
      <c r="C1332" s="2"/>
      <c r="F1332" s="2"/>
    </row>
    <row r="1333" spans="2:6" x14ac:dyDescent="0.25">
      <c r="B1333" s="2"/>
      <c r="C1333" s="2"/>
      <c r="F1333" s="2"/>
    </row>
    <row r="1334" spans="2:6" x14ac:dyDescent="0.25">
      <c r="B1334" s="2"/>
      <c r="C1334" s="2"/>
      <c r="F1334" s="2"/>
    </row>
    <row r="1335" spans="2:6" x14ac:dyDescent="0.25">
      <c r="B1335" s="2"/>
      <c r="C1335" s="2"/>
      <c r="F1335" s="2"/>
    </row>
    <row r="1336" spans="2:6" x14ac:dyDescent="0.25">
      <c r="B1336" s="2"/>
      <c r="C1336" s="2"/>
      <c r="F1336" s="2"/>
    </row>
    <row r="1337" spans="2:6" x14ac:dyDescent="0.25">
      <c r="B1337" s="2"/>
      <c r="C1337" s="2"/>
      <c r="F1337" s="2"/>
    </row>
    <row r="1338" spans="2:6" x14ac:dyDescent="0.25">
      <c r="B1338" s="2"/>
      <c r="C1338" s="2"/>
      <c r="F1338" s="2"/>
    </row>
    <row r="1339" spans="2:6" x14ac:dyDescent="0.25">
      <c r="B1339" s="2"/>
      <c r="C1339" s="2"/>
      <c r="F1339" s="2"/>
    </row>
    <row r="1340" spans="2:6" x14ac:dyDescent="0.25">
      <c r="B1340" s="2"/>
      <c r="C1340" s="2"/>
      <c r="F1340" s="2"/>
    </row>
    <row r="1341" spans="2:6" x14ac:dyDescent="0.25">
      <c r="B1341" s="2"/>
      <c r="C1341" s="2"/>
      <c r="F1341" s="2"/>
    </row>
    <row r="1342" spans="2:6" x14ac:dyDescent="0.25">
      <c r="B1342" s="2"/>
      <c r="C1342" s="2"/>
      <c r="F1342" s="2"/>
    </row>
    <row r="1343" spans="2:6" x14ac:dyDescent="0.25">
      <c r="B1343" s="2"/>
      <c r="C1343" s="2"/>
      <c r="F1343" s="2"/>
    </row>
    <row r="1344" spans="2:6" x14ac:dyDescent="0.25">
      <c r="B1344" s="2"/>
      <c r="C1344" s="2"/>
      <c r="F1344" s="2"/>
    </row>
    <row r="1345" spans="2:6" x14ac:dyDescent="0.25">
      <c r="B1345" s="2"/>
      <c r="C1345" s="2"/>
      <c r="F1345" s="2"/>
    </row>
    <row r="1346" spans="2:6" x14ac:dyDescent="0.25">
      <c r="B1346" s="2"/>
      <c r="C1346" s="2"/>
      <c r="F1346" s="2"/>
    </row>
    <row r="1347" spans="2:6" x14ac:dyDescent="0.25">
      <c r="B1347" s="2"/>
      <c r="C1347" s="2"/>
      <c r="F1347" s="2"/>
    </row>
    <row r="1348" spans="2:6" x14ac:dyDescent="0.25">
      <c r="B1348" s="2"/>
      <c r="C1348" s="2"/>
      <c r="F1348" s="2"/>
    </row>
    <row r="1349" spans="2:6" x14ac:dyDescent="0.25">
      <c r="B1349" s="2"/>
      <c r="C1349" s="2"/>
      <c r="F1349" s="2"/>
    </row>
    <row r="1350" spans="2:6" x14ac:dyDescent="0.25">
      <c r="B1350" s="2"/>
      <c r="C1350" s="2"/>
      <c r="F1350" s="2"/>
    </row>
    <row r="1351" spans="2:6" x14ac:dyDescent="0.25">
      <c r="B1351" s="2"/>
      <c r="C1351" s="2"/>
      <c r="F1351" s="2"/>
    </row>
    <row r="1352" spans="2:6" x14ac:dyDescent="0.25">
      <c r="B1352" s="2"/>
      <c r="C1352" s="2"/>
      <c r="F1352" s="2"/>
    </row>
    <row r="1353" spans="2:6" x14ac:dyDescent="0.25">
      <c r="B1353" s="2"/>
      <c r="C1353" s="2"/>
      <c r="F1353" s="2"/>
    </row>
    <row r="1354" spans="2:6" x14ac:dyDescent="0.25">
      <c r="B1354" s="2"/>
      <c r="C1354" s="2"/>
      <c r="F1354" s="2"/>
    </row>
    <row r="1355" spans="2:6" x14ac:dyDescent="0.25">
      <c r="B1355" s="2"/>
      <c r="C1355" s="2"/>
      <c r="F1355" s="2"/>
    </row>
    <row r="1356" spans="2:6" x14ac:dyDescent="0.25">
      <c r="B1356" s="2"/>
      <c r="C1356" s="2"/>
      <c r="F1356" s="2"/>
    </row>
    <row r="1357" spans="2:6" x14ac:dyDescent="0.25">
      <c r="B1357" s="2"/>
      <c r="C1357" s="2"/>
      <c r="F1357" s="2"/>
    </row>
    <row r="1358" spans="2:6" x14ac:dyDescent="0.25">
      <c r="B1358" s="2"/>
      <c r="C1358" s="2"/>
      <c r="F1358" s="2"/>
    </row>
    <row r="1359" spans="2:6" x14ac:dyDescent="0.25">
      <c r="B1359" s="2"/>
      <c r="C1359" s="2"/>
      <c r="F1359" s="2"/>
    </row>
    <row r="1360" spans="2:6" x14ac:dyDescent="0.25">
      <c r="B1360" s="2"/>
      <c r="C1360" s="2"/>
      <c r="F1360" s="2"/>
    </row>
    <row r="1361" spans="2:6" x14ac:dyDescent="0.25">
      <c r="B1361" s="2"/>
      <c r="C1361" s="2"/>
      <c r="F1361" s="2"/>
    </row>
    <row r="1362" spans="2:6" x14ac:dyDescent="0.25">
      <c r="B1362" s="2"/>
      <c r="C1362" s="2"/>
      <c r="F1362" s="2"/>
    </row>
    <row r="1363" spans="2:6" x14ac:dyDescent="0.25">
      <c r="B1363" s="2"/>
      <c r="C1363" s="2"/>
      <c r="F1363" s="2"/>
    </row>
    <row r="1364" spans="2:6" x14ac:dyDescent="0.25">
      <c r="B1364" s="2"/>
      <c r="C1364" s="2"/>
      <c r="F1364" s="2"/>
    </row>
    <row r="1365" spans="2:6" x14ac:dyDescent="0.25">
      <c r="B1365" s="2"/>
      <c r="C1365" s="2"/>
      <c r="F1365" s="2"/>
    </row>
    <row r="1366" spans="2:6" x14ac:dyDescent="0.25">
      <c r="B1366" s="2"/>
      <c r="C1366" s="2"/>
      <c r="F1366" s="2"/>
    </row>
    <row r="1367" spans="2:6" x14ac:dyDescent="0.25">
      <c r="B1367" s="2"/>
      <c r="C1367" s="2"/>
      <c r="F1367" s="2"/>
    </row>
    <row r="1368" spans="2:6" x14ac:dyDescent="0.25">
      <c r="B1368" s="2"/>
      <c r="C1368" s="2"/>
      <c r="F1368" s="2"/>
    </row>
    <row r="1369" spans="2:6" x14ac:dyDescent="0.25">
      <c r="B1369" s="2"/>
      <c r="C1369" s="2"/>
      <c r="F1369" s="2"/>
    </row>
    <row r="1370" spans="2:6" x14ac:dyDescent="0.25">
      <c r="B1370" s="2"/>
      <c r="C1370" s="2"/>
      <c r="F1370" s="2"/>
    </row>
    <row r="1371" spans="2:6" x14ac:dyDescent="0.25">
      <c r="B1371" s="2"/>
      <c r="C1371" s="2"/>
      <c r="F1371" s="2"/>
    </row>
    <row r="1372" spans="2:6" x14ac:dyDescent="0.25">
      <c r="B1372" s="2"/>
      <c r="C1372" s="2"/>
      <c r="F1372" s="2"/>
    </row>
    <row r="1373" spans="2:6" x14ac:dyDescent="0.25">
      <c r="B1373" s="2"/>
      <c r="C1373" s="2"/>
      <c r="F1373" s="2"/>
    </row>
    <row r="1374" spans="2:6" x14ac:dyDescent="0.25">
      <c r="B1374" s="2"/>
      <c r="C1374" s="2"/>
      <c r="F1374" s="2"/>
    </row>
    <row r="1375" spans="2:6" x14ac:dyDescent="0.25">
      <c r="B1375" s="2"/>
      <c r="C1375" s="2"/>
      <c r="F1375" s="2"/>
    </row>
    <row r="1376" spans="2:6" x14ac:dyDescent="0.25">
      <c r="B1376" s="2"/>
      <c r="C1376" s="2"/>
      <c r="F1376" s="2"/>
    </row>
    <row r="1377" spans="2:6" x14ac:dyDescent="0.25">
      <c r="B1377" s="2"/>
      <c r="C1377" s="2"/>
      <c r="F1377" s="2"/>
    </row>
    <row r="1378" spans="2:6" x14ac:dyDescent="0.25">
      <c r="B1378" s="2"/>
      <c r="C1378" s="2"/>
      <c r="F1378" s="2"/>
    </row>
    <row r="1379" spans="2:6" x14ac:dyDescent="0.25">
      <c r="B1379" s="2"/>
      <c r="C1379" s="2"/>
      <c r="F1379" s="2"/>
    </row>
    <row r="1380" spans="2:6" x14ac:dyDescent="0.25">
      <c r="B1380" s="2"/>
      <c r="C1380" s="2"/>
      <c r="F1380" s="2"/>
    </row>
    <row r="1381" spans="2:6" x14ac:dyDescent="0.25">
      <c r="B1381" s="2"/>
      <c r="C1381" s="2"/>
      <c r="F1381" s="2"/>
    </row>
    <row r="1382" spans="2:6" x14ac:dyDescent="0.25">
      <c r="B1382" s="2"/>
      <c r="C1382" s="2"/>
      <c r="F1382" s="2"/>
    </row>
    <row r="1383" spans="2:6" x14ac:dyDescent="0.25">
      <c r="B1383" s="2"/>
      <c r="C1383" s="2"/>
      <c r="F1383" s="2"/>
    </row>
    <row r="1384" spans="2:6" x14ac:dyDescent="0.25">
      <c r="B1384" s="2"/>
      <c r="C1384" s="2"/>
      <c r="F1384" s="2"/>
    </row>
    <row r="1385" spans="2:6" x14ac:dyDescent="0.25">
      <c r="B1385" s="2"/>
      <c r="C1385" s="2"/>
      <c r="F1385" s="2"/>
    </row>
    <row r="1386" spans="2:6" x14ac:dyDescent="0.25">
      <c r="B1386" s="2"/>
      <c r="C1386" s="2"/>
      <c r="F1386" s="2"/>
    </row>
    <row r="1387" spans="2:6" x14ac:dyDescent="0.25">
      <c r="B1387" s="2"/>
      <c r="C1387" s="2"/>
      <c r="F1387" s="2"/>
    </row>
    <row r="1388" spans="2:6" x14ac:dyDescent="0.25">
      <c r="B1388" s="2"/>
      <c r="C1388" s="2"/>
      <c r="F1388" s="2"/>
    </row>
    <row r="1389" spans="2:6" x14ac:dyDescent="0.25">
      <c r="B1389" s="2"/>
      <c r="C1389" s="2"/>
      <c r="F1389" s="2"/>
    </row>
    <row r="1390" spans="2:6" x14ac:dyDescent="0.25">
      <c r="B1390" s="2"/>
      <c r="C1390" s="2"/>
      <c r="F1390" s="2"/>
    </row>
    <row r="1391" spans="2:6" x14ac:dyDescent="0.25">
      <c r="B1391" s="2"/>
      <c r="C1391" s="2"/>
      <c r="F1391" s="2"/>
    </row>
    <row r="1392" spans="2:6" x14ac:dyDescent="0.25">
      <c r="B1392" s="2"/>
      <c r="C1392" s="2"/>
      <c r="F1392" s="2"/>
    </row>
    <row r="1393" spans="2:6" x14ac:dyDescent="0.25">
      <c r="B1393" s="2"/>
      <c r="C1393" s="2"/>
      <c r="F1393" s="2"/>
    </row>
    <row r="1394" spans="2:6" x14ac:dyDescent="0.25">
      <c r="B1394" s="2"/>
      <c r="C1394" s="2"/>
      <c r="F1394" s="2"/>
    </row>
    <row r="1395" spans="2:6" x14ac:dyDescent="0.25">
      <c r="B1395" s="2"/>
      <c r="C1395" s="2"/>
      <c r="F1395" s="2"/>
    </row>
    <row r="1396" spans="2:6" x14ac:dyDescent="0.25">
      <c r="B1396" s="2"/>
      <c r="C1396" s="2"/>
      <c r="F1396" s="2"/>
    </row>
    <row r="1397" spans="2:6" x14ac:dyDescent="0.25">
      <c r="B1397" s="2"/>
      <c r="C1397" s="2"/>
      <c r="F1397" s="2"/>
    </row>
    <row r="1398" spans="2:6" x14ac:dyDescent="0.25">
      <c r="B1398" s="2"/>
      <c r="C1398" s="2"/>
      <c r="F1398" s="2"/>
    </row>
    <row r="1399" spans="2:6" x14ac:dyDescent="0.25">
      <c r="B1399" s="2"/>
      <c r="C1399" s="2"/>
      <c r="F1399" s="2"/>
    </row>
    <row r="1400" spans="2:6" x14ac:dyDescent="0.25">
      <c r="B1400" s="2"/>
      <c r="C1400" s="2"/>
      <c r="F1400" s="2"/>
    </row>
    <row r="1401" spans="2:6" x14ac:dyDescent="0.25">
      <c r="B1401" s="2"/>
      <c r="C1401" s="2"/>
      <c r="F1401" s="2"/>
    </row>
    <row r="1402" spans="2:6" x14ac:dyDescent="0.25">
      <c r="B1402" s="2"/>
      <c r="C1402" s="2"/>
      <c r="F1402" s="2"/>
    </row>
    <row r="1403" spans="2:6" x14ac:dyDescent="0.25">
      <c r="B1403" s="2"/>
      <c r="C1403" s="2"/>
      <c r="F1403" s="2"/>
    </row>
    <row r="1404" spans="2:6" x14ac:dyDescent="0.25">
      <c r="B1404" s="2"/>
      <c r="C1404" s="2"/>
      <c r="F1404" s="2"/>
    </row>
    <row r="1405" spans="2:6" x14ac:dyDescent="0.25">
      <c r="B1405" s="2"/>
      <c r="C1405" s="2"/>
      <c r="F1405" s="2"/>
    </row>
    <row r="1406" spans="2:6" x14ac:dyDescent="0.25">
      <c r="B1406" s="2"/>
      <c r="C1406" s="2"/>
      <c r="F1406" s="2"/>
    </row>
    <row r="1407" spans="2:6" x14ac:dyDescent="0.25">
      <c r="B1407" s="2"/>
      <c r="C1407" s="2"/>
      <c r="F1407" s="2"/>
    </row>
    <row r="1408" spans="2:6" x14ac:dyDescent="0.25">
      <c r="B1408" s="2"/>
      <c r="C1408" s="2"/>
      <c r="F1408" s="2"/>
    </row>
    <row r="1409" spans="2:6" x14ac:dyDescent="0.25">
      <c r="B1409" s="2"/>
      <c r="C1409" s="2"/>
      <c r="F1409" s="2"/>
    </row>
    <row r="1410" spans="2:6" x14ac:dyDescent="0.25">
      <c r="B1410" s="2"/>
      <c r="C1410" s="2"/>
      <c r="F1410" s="2"/>
    </row>
    <row r="1411" spans="2:6" x14ac:dyDescent="0.25">
      <c r="B1411" s="2"/>
      <c r="C1411" s="2"/>
      <c r="F1411" s="2"/>
    </row>
    <row r="1412" spans="2:6" x14ac:dyDescent="0.25">
      <c r="B1412" s="2"/>
      <c r="C1412" s="2"/>
      <c r="F1412" s="2"/>
    </row>
    <row r="1413" spans="2:6" x14ac:dyDescent="0.25">
      <c r="B1413" s="2"/>
      <c r="C1413" s="2"/>
      <c r="F1413" s="2"/>
    </row>
    <row r="1414" spans="2:6" x14ac:dyDescent="0.25">
      <c r="B1414" s="2"/>
      <c r="C1414" s="2"/>
      <c r="F1414" s="2"/>
    </row>
    <row r="1415" spans="2:6" x14ac:dyDescent="0.25">
      <c r="B1415" s="2"/>
      <c r="C1415" s="2"/>
      <c r="F1415" s="2"/>
    </row>
    <row r="1416" spans="2:6" x14ac:dyDescent="0.25">
      <c r="B1416" s="2"/>
      <c r="C1416" s="2"/>
      <c r="F1416" s="2"/>
    </row>
    <row r="1417" spans="2:6" x14ac:dyDescent="0.25">
      <c r="B1417" s="2"/>
      <c r="C1417" s="2"/>
      <c r="F1417" s="2"/>
    </row>
    <row r="1418" spans="2:6" x14ac:dyDescent="0.25">
      <c r="B1418" s="2"/>
      <c r="C1418" s="2"/>
      <c r="F1418" s="2"/>
    </row>
    <row r="1419" spans="2:6" x14ac:dyDescent="0.25">
      <c r="B1419" s="2"/>
      <c r="C1419" s="2"/>
      <c r="F1419" s="2"/>
    </row>
    <row r="1420" spans="2:6" x14ac:dyDescent="0.25">
      <c r="B1420" s="2"/>
      <c r="C1420" s="2"/>
      <c r="F1420" s="2"/>
    </row>
    <row r="1421" spans="2:6" x14ac:dyDescent="0.25">
      <c r="B1421" s="2"/>
      <c r="C1421" s="2"/>
      <c r="F1421" s="2"/>
    </row>
    <row r="1422" spans="2:6" x14ac:dyDescent="0.25">
      <c r="B1422" s="2"/>
      <c r="C1422" s="2"/>
      <c r="F1422" s="2"/>
    </row>
    <row r="1423" spans="2:6" x14ac:dyDescent="0.25">
      <c r="B1423" s="2"/>
      <c r="C1423" s="2"/>
      <c r="F1423" s="2"/>
    </row>
    <row r="1424" spans="2:6" x14ac:dyDescent="0.25">
      <c r="B1424" s="2"/>
      <c r="C1424" s="2"/>
      <c r="F1424" s="2"/>
    </row>
    <row r="1425" spans="2:6" x14ac:dyDescent="0.25">
      <c r="B1425" s="2"/>
      <c r="C1425" s="2"/>
      <c r="F1425" s="2"/>
    </row>
    <row r="1426" spans="2:6" x14ac:dyDescent="0.25">
      <c r="B1426" s="2"/>
      <c r="C1426" s="2"/>
      <c r="F1426" s="2"/>
    </row>
    <row r="1427" spans="2:6" x14ac:dyDescent="0.25">
      <c r="B1427" s="2"/>
      <c r="C1427" s="2"/>
      <c r="F1427" s="2"/>
    </row>
    <row r="1428" spans="2:6" x14ac:dyDescent="0.25">
      <c r="B1428" s="2"/>
      <c r="C1428" s="2"/>
      <c r="F1428" s="2"/>
    </row>
    <row r="1429" spans="2:6" x14ac:dyDescent="0.25">
      <c r="B1429" s="2"/>
      <c r="C1429" s="2"/>
      <c r="F1429" s="2"/>
    </row>
    <row r="1430" spans="2:6" x14ac:dyDescent="0.25">
      <c r="B1430" s="2"/>
      <c r="C1430" s="2"/>
      <c r="F1430" s="2"/>
    </row>
    <row r="1431" spans="2:6" x14ac:dyDescent="0.25">
      <c r="B1431" s="2"/>
      <c r="C1431" s="2"/>
      <c r="F1431" s="2"/>
    </row>
    <row r="1432" spans="2:6" x14ac:dyDescent="0.25">
      <c r="B1432" s="2"/>
      <c r="C1432" s="2"/>
      <c r="F1432" s="2"/>
    </row>
    <row r="1433" spans="2:6" x14ac:dyDescent="0.25">
      <c r="B1433" s="2"/>
      <c r="C1433" s="2"/>
      <c r="F1433" s="2"/>
    </row>
    <row r="1434" spans="2:6" x14ac:dyDescent="0.25">
      <c r="B1434" s="2"/>
      <c r="C1434" s="2"/>
      <c r="F1434" s="2"/>
    </row>
    <row r="1435" spans="2:6" x14ac:dyDescent="0.25">
      <c r="B1435" s="2"/>
      <c r="C1435" s="2"/>
      <c r="F1435" s="2"/>
    </row>
    <row r="1436" spans="2:6" x14ac:dyDescent="0.25">
      <c r="B1436" s="2"/>
      <c r="C1436" s="2"/>
      <c r="F1436" s="2"/>
    </row>
    <row r="1437" spans="2:6" x14ac:dyDescent="0.25">
      <c r="B1437" s="2"/>
      <c r="C1437" s="2"/>
      <c r="F1437" s="2"/>
    </row>
    <row r="1438" spans="2:6" x14ac:dyDescent="0.25">
      <c r="B1438" s="2"/>
      <c r="C1438" s="2"/>
      <c r="F1438" s="2"/>
    </row>
    <row r="1439" spans="2:6" x14ac:dyDescent="0.25">
      <c r="B1439" s="2"/>
      <c r="C1439" s="2"/>
      <c r="F1439" s="2"/>
    </row>
    <row r="1440" spans="2:6" x14ac:dyDescent="0.25">
      <c r="B1440" s="2"/>
      <c r="C1440" s="2"/>
      <c r="F1440" s="2"/>
    </row>
    <row r="1441" spans="2:6" x14ac:dyDescent="0.25">
      <c r="B1441" s="2"/>
      <c r="C1441" s="2"/>
      <c r="F1441" s="2"/>
    </row>
    <row r="1442" spans="2:6" x14ac:dyDescent="0.25">
      <c r="B1442" s="2"/>
      <c r="C1442" s="2"/>
      <c r="F1442" s="2"/>
    </row>
    <row r="1443" spans="2:6" x14ac:dyDescent="0.25">
      <c r="B1443" s="2"/>
      <c r="C1443" s="2"/>
      <c r="F1443" s="2"/>
    </row>
    <row r="1444" spans="2:6" x14ac:dyDescent="0.25">
      <c r="B1444" s="2"/>
      <c r="C1444" s="2"/>
      <c r="F1444" s="2"/>
    </row>
    <row r="1445" spans="2:6" x14ac:dyDescent="0.25">
      <c r="B1445" s="2"/>
      <c r="C1445" s="2"/>
      <c r="F1445" s="2"/>
    </row>
    <row r="1446" spans="2:6" x14ac:dyDescent="0.25">
      <c r="B1446" s="2"/>
      <c r="C1446" s="2"/>
      <c r="F1446" s="2"/>
    </row>
    <row r="1447" spans="2:6" x14ac:dyDescent="0.25">
      <c r="B1447" s="2"/>
      <c r="C1447" s="2"/>
      <c r="F1447" s="2"/>
    </row>
    <row r="1448" spans="2:6" x14ac:dyDescent="0.25">
      <c r="B1448" s="2"/>
      <c r="C1448" s="2"/>
      <c r="F1448" s="2"/>
    </row>
    <row r="1449" spans="2:6" x14ac:dyDescent="0.25">
      <c r="B1449" s="2"/>
      <c r="C1449" s="2"/>
      <c r="F1449" s="2"/>
    </row>
    <row r="1450" spans="2:6" x14ac:dyDescent="0.25">
      <c r="B1450" s="2"/>
      <c r="C1450" s="2"/>
      <c r="F1450" s="2"/>
    </row>
    <row r="1451" spans="2:6" x14ac:dyDescent="0.25">
      <c r="B1451" s="2"/>
      <c r="C1451" s="2"/>
      <c r="F1451" s="2"/>
    </row>
    <row r="1452" spans="2:6" x14ac:dyDescent="0.25">
      <c r="B1452" s="2"/>
      <c r="C1452" s="2"/>
      <c r="F1452" s="2"/>
    </row>
    <row r="1453" spans="2:6" x14ac:dyDescent="0.25">
      <c r="B1453" s="2"/>
      <c r="C1453" s="2"/>
      <c r="F1453" s="2"/>
    </row>
    <row r="1454" spans="2:6" x14ac:dyDescent="0.25">
      <c r="B1454" s="2"/>
      <c r="C1454" s="2"/>
      <c r="F1454" s="2"/>
    </row>
    <row r="1455" spans="2:6" x14ac:dyDescent="0.25">
      <c r="B1455" s="2"/>
      <c r="C1455" s="2"/>
      <c r="F1455" s="2"/>
    </row>
    <row r="1456" spans="2:6" x14ac:dyDescent="0.25">
      <c r="B1456" s="2"/>
      <c r="C1456" s="2"/>
      <c r="F1456" s="2"/>
    </row>
    <row r="1457" spans="2:6" x14ac:dyDescent="0.25">
      <c r="B1457" s="2"/>
      <c r="C1457" s="2"/>
      <c r="F1457" s="2"/>
    </row>
    <row r="1458" spans="2:6" x14ac:dyDescent="0.25">
      <c r="B1458" s="2"/>
      <c r="C1458" s="2"/>
      <c r="F1458" s="2"/>
    </row>
    <row r="1459" spans="2:6" x14ac:dyDescent="0.25">
      <c r="B1459" s="2"/>
      <c r="C1459" s="2"/>
      <c r="F1459" s="2"/>
    </row>
    <row r="1460" spans="2:6" x14ac:dyDescent="0.25">
      <c r="B1460" s="2"/>
      <c r="C1460" s="2"/>
      <c r="F1460" s="2"/>
    </row>
    <row r="1461" spans="2:6" x14ac:dyDescent="0.25">
      <c r="B1461" s="2"/>
      <c r="C1461" s="2"/>
      <c r="F1461" s="2"/>
    </row>
    <row r="1462" spans="2:6" x14ac:dyDescent="0.25">
      <c r="B1462" s="2"/>
      <c r="C1462" s="2"/>
      <c r="F1462" s="2"/>
    </row>
    <row r="1463" spans="2:6" x14ac:dyDescent="0.25">
      <c r="B1463" s="2"/>
      <c r="C1463" s="2"/>
      <c r="F1463" s="2"/>
    </row>
    <row r="1464" spans="2:6" x14ac:dyDescent="0.25">
      <c r="B1464" s="2"/>
      <c r="C1464" s="2"/>
      <c r="F1464" s="2"/>
    </row>
    <row r="1465" spans="2:6" x14ac:dyDescent="0.25">
      <c r="B1465" s="2"/>
      <c r="C1465" s="2"/>
      <c r="F1465" s="2"/>
    </row>
    <row r="1466" spans="2:6" x14ac:dyDescent="0.25">
      <c r="B1466" s="2"/>
      <c r="C1466" s="2"/>
      <c r="F1466" s="2"/>
    </row>
    <row r="1467" spans="2:6" x14ac:dyDescent="0.25">
      <c r="B1467" s="2"/>
      <c r="C1467" s="2"/>
      <c r="F1467" s="2"/>
    </row>
    <row r="1468" spans="2:6" x14ac:dyDescent="0.25">
      <c r="B1468" s="2"/>
      <c r="C1468" s="2"/>
      <c r="F1468" s="2"/>
    </row>
    <row r="1469" spans="2:6" x14ac:dyDescent="0.25">
      <c r="B1469" s="2"/>
      <c r="C1469" s="2"/>
      <c r="F1469" s="2"/>
    </row>
    <row r="1470" spans="2:6" x14ac:dyDescent="0.25">
      <c r="B1470" s="2"/>
      <c r="C1470" s="2"/>
      <c r="F1470" s="2"/>
    </row>
    <row r="1471" spans="2:6" x14ac:dyDescent="0.25">
      <c r="B1471" s="2"/>
      <c r="C1471" s="2"/>
      <c r="F1471" s="2"/>
    </row>
    <row r="1472" spans="2:6" x14ac:dyDescent="0.25">
      <c r="B1472" s="2"/>
      <c r="C1472" s="2"/>
      <c r="F1472" s="2"/>
    </row>
    <row r="1473" spans="2:6" x14ac:dyDescent="0.25">
      <c r="B1473" s="2"/>
      <c r="C1473" s="2"/>
      <c r="F1473" s="2"/>
    </row>
    <row r="1474" spans="2:6" x14ac:dyDescent="0.25">
      <c r="B1474" s="2"/>
      <c r="C1474" s="2"/>
      <c r="F1474" s="2"/>
    </row>
    <row r="1475" spans="2:6" x14ac:dyDescent="0.25">
      <c r="B1475" s="2"/>
      <c r="C1475" s="2"/>
      <c r="F1475" s="2"/>
    </row>
    <row r="1476" spans="2:6" x14ac:dyDescent="0.25">
      <c r="B1476" s="2"/>
      <c r="C1476" s="2"/>
      <c r="F1476" s="2"/>
    </row>
    <row r="1477" spans="2:6" x14ac:dyDescent="0.25">
      <c r="B1477" s="2"/>
      <c r="C1477" s="2"/>
      <c r="F1477" s="2"/>
    </row>
    <row r="1478" spans="2:6" x14ac:dyDescent="0.25">
      <c r="B1478" s="2"/>
      <c r="C1478" s="2"/>
      <c r="F1478" s="2"/>
    </row>
    <row r="1479" spans="2:6" x14ac:dyDescent="0.25">
      <c r="B1479" s="2"/>
      <c r="C1479" s="2"/>
      <c r="F1479" s="2"/>
    </row>
    <row r="1480" spans="2:6" x14ac:dyDescent="0.25">
      <c r="B1480" s="2"/>
      <c r="C1480" s="2"/>
      <c r="F1480" s="2"/>
    </row>
    <row r="1481" spans="2:6" x14ac:dyDescent="0.25">
      <c r="B1481" s="2"/>
      <c r="C1481" s="2"/>
      <c r="F1481" s="2"/>
    </row>
    <row r="1482" spans="2:6" x14ac:dyDescent="0.25">
      <c r="B1482" s="2"/>
      <c r="C1482" s="2"/>
      <c r="F1482" s="2"/>
    </row>
    <row r="1483" spans="2:6" x14ac:dyDescent="0.25">
      <c r="B1483" s="2"/>
      <c r="C1483" s="2"/>
      <c r="F1483" s="2"/>
    </row>
    <row r="1484" spans="2:6" x14ac:dyDescent="0.25">
      <c r="B1484" s="2"/>
      <c r="C1484" s="2"/>
      <c r="F1484" s="2"/>
    </row>
    <row r="1485" spans="2:6" x14ac:dyDescent="0.25">
      <c r="B1485" s="2"/>
      <c r="C1485" s="2"/>
      <c r="F1485" s="2"/>
    </row>
    <row r="1486" spans="2:6" x14ac:dyDescent="0.25">
      <c r="B1486" s="2"/>
      <c r="C1486" s="2"/>
      <c r="F1486" s="2"/>
    </row>
    <row r="1487" spans="2:6" x14ac:dyDescent="0.25">
      <c r="B1487" s="2"/>
      <c r="C1487" s="2"/>
      <c r="F1487" s="2"/>
    </row>
    <row r="1488" spans="2:6" x14ac:dyDescent="0.25">
      <c r="B1488" s="2"/>
      <c r="C1488" s="2"/>
      <c r="F1488" s="2"/>
    </row>
    <row r="1489" spans="2:6" x14ac:dyDescent="0.25">
      <c r="B1489" s="2"/>
      <c r="C1489" s="2"/>
      <c r="F1489" s="2"/>
    </row>
    <row r="1490" spans="2:6" x14ac:dyDescent="0.25">
      <c r="B1490" s="2"/>
      <c r="C1490" s="2"/>
      <c r="F1490" s="2"/>
    </row>
    <row r="1491" spans="2:6" x14ac:dyDescent="0.25">
      <c r="B1491" s="2"/>
      <c r="C1491" s="2"/>
      <c r="F1491" s="2"/>
    </row>
    <row r="1492" spans="2:6" x14ac:dyDescent="0.25">
      <c r="B1492" s="2"/>
      <c r="C1492" s="2"/>
      <c r="F1492" s="2"/>
    </row>
    <row r="1493" spans="2:6" x14ac:dyDescent="0.25">
      <c r="B1493" s="2"/>
      <c r="C1493" s="2"/>
      <c r="F1493" s="2"/>
    </row>
    <row r="1494" spans="2:6" x14ac:dyDescent="0.25">
      <c r="B1494" s="2"/>
      <c r="C1494" s="2"/>
      <c r="F1494" s="2"/>
    </row>
    <row r="1495" spans="2:6" x14ac:dyDescent="0.25">
      <c r="B1495" s="2"/>
      <c r="C1495" s="2"/>
      <c r="F1495" s="2"/>
    </row>
    <row r="1496" spans="2:6" x14ac:dyDescent="0.25">
      <c r="B1496" s="2"/>
      <c r="C1496" s="2"/>
      <c r="F1496" s="2"/>
    </row>
    <row r="1497" spans="2:6" x14ac:dyDescent="0.25">
      <c r="B1497" s="2"/>
      <c r="C1497" s="2"/>
      <c r="F1497" s="2"/>
    </row>
    <row r="1498" spans="2:6" x14ac:dyDescent="0.25">
      <c r="B1498" s="2"/>
      <c r="C1498" s="2"/>
      <c r="F1498" s="2"/>
    </row>
    <row r="1499" spans="2:6" x14ac:dyDescent="0.25">
      <c r="B1499" s="2"/>
      <c r="C1499" s="2"/>
      <c r="F1499" s="2"/>
    </row>
    <row r="1500" spans="2:6" x14ac:dyDescent="0.25">
      <c r="B1500" s="2"/>
      <c r="C1500" s="2"/>
      <c r="F1500" s="2"/>
    </row>
    <row r="1501" spans="2:6" x14ac:dyDescent="0.25">
      <c r="B1501" s="2"/>
      <c r="C1501" s="2"/>
      <c r="F1501" s="2"/>
    </row>
    <row r="1502" spans="2:6" x14ac:dyDescent="0.25">
      <c r="B1502" s="2"/>
      <c r="C1502" s="2"/>
      <c r="F1502" s="2"/>
    </row>
    <row r="1503" spans="2:6" x14ac:dyDescent="0.25">
      <c r="B1503" s="2"/>
      <c r="C1503" s="2"/>
      <c r="F1503" s="2"/>
    </row>
    <row r="1504" spans="2:6" x14ac:dyDescent="0.25">
      <c r="B1504" s="2"/>
      <c r="C1504" s="2"/>
      <c r="F1504" s="2"/>
    </row>
    <row r="1505" spans="2:6" x14ac:dyDescent="0.25">
      <c r="B1505" s="2"/>
      <c r="C1505" s="2"/>
      <c r="F1505" s="2"/>
    </row>
    <row r="1506" spans="2:6" x14ac:dyDescent="0.25">
      <c r="B1506" s="2"/>
      <c r="C1506" s="2"/>
      <c r="F1506" s="2"/>
    </row>
    <row r="1507" spans="2:6" x14ac:dyDescent="0.25">
      <c r="B1507" s="2"/>
      <c r="C1507" s="2"/>
      <c r="F1507" s="2"/>
    </row>
    <row r="1508" spans="2:6" x14ac:dyDescent="0.25">
      <c r="B1508" s="2"/>
      <c r="C1508" s="2"/>
      <c r="F1508" s="2"/>
    </row>
    <row r="1509" spans="2:6" x14ac:dyDescent="0.25">
      <c r="B1509" s="2"/>
      <c r="C1509" s="2"/>
      <c r="F1509" s="2"/>
    </row>
    <row r="1510" spans="2:6" x14ac:dyDescent="0.25">
      <c r="B1510" s="2"/>
      <c r="C1510" s="2"/>
      <c r="F1510" s="2"/>
    </row>
    <row r="1511" spans="2:6" x14ac:dyDescent="0.25">
      <c r="B1511" s="2"/>
      <c r="C1511" s="2"/>
      <c r="F1511" s="2"/>
    </row>
    <row r="1512" spans="2:6" x14ac:dyDescent="0.25">
      <c r="B1512" s="2"/>
      <c r="C1512" s="2"/>
      <c r="F1512" s="2"/>
    </row>
    <row r="1513" spans="2:6" x14ac:dyDescent="0.25">
      <c r="B1513" s="2"/>
      <c r="C1513" s="2"/>
      <c r="F1513" s="2"/>
    </row>
    <row r="1514" spans="2:6" x14ac:dyDescent="0.25">
      <c r="B1514" s="2"/>
      <c r="C1514" s="2"/>
      <c r="F1514" s="2"/>
    </row>
    <row r="1515" spans="2:6" x14ac:dyDescent="0.25">
      <c r="B1515" s="2"/>
      <c r="C1515" s="2"/>
      <c r="F1515" s="2"/>
    </row>
    <row r="1516" spans="2:6" x14ac:dyDescent="0.25">
      <c r="B1516" s="2"/>
      <c r="C1516" s="2"/>
      <c r="F1516" s="2"/>
    </row>
    <row r="1517" spans="2:6" x14ac:dyDescent="0.25">
      <c r="B1517" s="2"/>
      <c r="C1517" s="2"/>
      <c r="F1517" s="2"/>
    </row>
    <row r="1518" spans="2:6" x14ac:dyDescent="0.25">
      <c r="B1518" s="2"/>
      <c r="C1518" s="2"/>
      <c r="F1518" s="2"/>
    </row>
    <row r="1519" spans="2:6" x14ac:dyDescent="0.25">
      <c r="B1519" s="2"/>
      <c r="C1519" s="2"/>
      <c r="F1519" s="2"/>
    </row>
    <row r="1520" spans="2:6" x14ac:dyDescent="0.25">
      <c r="B1520" s="2"/>
      <c r="C1520" s="2"/>
      <c r="F1520" s="2"/>
    </row>
    <row r="1521" spans="2:6" x14ac:dyDescent="0.25">
      <c r="B1521" s="2"/>
      <c r="C1521" s="2"/>
      <c r="F1521" s="2"/>
    </row>
    <row r="1522" spans="2:6" x14ac:dyDescent="0.25">
      <c r="B1522" s="2"/>
      <c r="C1522" s="2"/>
      <c r="F1522" s="2"/>
    </row>
    <row r="1523" spans="2:6" x14ac:dyDescent="0.25">
      <c r="B1523" s="2"/>
      <c r="C1523" s="2"/>
      <c r="F1523" s="2"/>
    </row>
    <row r="1524" spans="2:6" x14ac:dyDescent="0.25">
      <c r="B1524" s="2"/>
      <c r="C1524" s="2"/>
      <c r="F1524" s="2"/>
    </row>
    <row r="1525" spans="2:6" x14ac:dyDescent="0.25">
      <c r="B1525" s="2"/>
      <c r="C1525" s="2"/>
      <c r="F1525" s="2"/>
    </row>
    <row r="1526" spans="2:6" x14ac:dyDescent="0.25">
      <c r="B1526" s="2"/>
      <c r="C1526" s="2"/>
      <c r="F1526" s="2"/>
    </row>
    <row r="1527" spans="2:6" x14ac:dyDescent="0.25">
      <c r="B1527" s="2"/>
      <c r="C1527" s="2"/>
      <c r="F1527" s="2"/>
    </row>
    <row r="1528" spans="2:6" x14ac:dyDescent="0.25">
      <c r="B1528" s="2"/>
      <c r="C1528" s="2"/>
      <c r="F1528" s="2"/>
    </row>
    <row r="1529" spans="2:6" x14ac:dyDescent="0.25">
      <c r="B1529" s="2"/>
      <c r="C1529" s="2"/>
      <c r="F1529" s="2"/>
    </row>
    <row r="1530" spans="2:6" x14ac:dyDescent="0.25">
      <c r="B1530" s="2"/>
      <c r="C1530" s="2"/>
      <c r="F1530" s="2"/>
    </row>
    <row r="1531" spans="2:6" x14ac:dyDescent="0.25">
      <c r="B1531" s="2"/>
      <c r="C1531" s="2"/>
      <c r="F1531" s="2"/>
    </row>
    <row r="1532" spans="2:6" x14ac:dyDescent="0.25">
      <c r="B1532" s="2"/>
      <c r="C1532" s="2"/>
      <c r="F1532" s="2"/>
    </row>
    <row r="1533" spans="2:6" x14ac:dyDescent="0.25">
      <c r="B1533" s="2"/>
      <c r="C1533" s="2"/>
      <c r="F1533" s="2"/>
    </row>
    <row r="1534" spans="2:6" x14ac:dyDescent="0.25">
      <c r="B1534" s="2"/>
      <c r="C1534" s="2"/>
      <c r="F1534" s="2"/>
    </row>
    <row r="1535" spans="2:6" x14ac:dyDescent="0.25">
      <c r="B1535" s="2"/>
      <c r="C1535" s="2"/>
      <c r="F1535" s="2"/>
    </row>
    <row r="1536" spans="2:6" x14ac:dyDescent="0.25">
      <c r="B1536" s="2"/>
      <c r="C1536" s="2"/>
      <c r="F1536" s="2"/>
    </row>
    <row r="1537" spans="2:6" x14ac:dyDescent="0.25">
      <c r="B1537" s="2"/>
      <c r="C1537" s="2"/>
      <c r="F1537" s="2"/>
    </row>
    <row r="1538" spans="2:6" x14ac:dyDescent="0.25">
      <c r="B1538" s="2"/>
      <c r="C1538" s="2"/>
      <c r="F1538" s="2"/>
    </row>
    <row r="1539" spans="2:6" x14ac:dyDescent="0.25">
      <c r="B1539" s="2"/>
      <c r="C1539" s="2"/>
      <c r="F1539" s="2"/>
    </row>
    <row r="1540" spans="2:6" x14ac:dyDescent="0.25">
      <c r="B1540" s="2"/>
      <c r="C1540" s="2"/>
      <c r="F1540" s="2"/>
    </row>
    <row r="1541" spans="2:6" x14ac:dyDescent="0.25">
      <c r="B1541" s="2"/>
      <c r="C1541" s="2"/>
      <c r="F1541" s="2"/>
    </row>
    <row r="1542" spans="2:6" x14ac:dyDescent="0.25">
      <c r="B1542" s="2"/>
      <c r="C1542" s="2"/>
      <c r="F1542" s="2"/>
    </row>
    <row r="1543" spans="2:6" x14ac:dyDescent="0.25">
      <c r="B1543" s="2"/>
      <c r="C1543" s="2"/>
      <c r="F1543" s="2"/>
    </row>
    <row r="1544" spans="2:6" x14ac:dyDescent="0.25">
      <c r="B1544" s="2"/>
      <c r="C1544" s="2"/>
      <c r="F1544" s="2"/>
    </row>
    <row r="1545" spans="2:6" x14ac:dyDescent="0.25">
      <c r="B1545" s="2"/>
      <c r="C1545" s="2"/>
      <c r="F1545" s="2"/>
    </row>
    <row r="1546" spans="2:6" x14ac:dyDescent="0.25">
      <c r="B1546" s="2"/>
      <c r="C1546" s="2"/>
      <c r="F1546" s="2"/>
    </row>
    <row r="1547" spans="2:6" x14ac:dyDescent="0.25">
      <c r="B1547" s="2"/>
      <c r="C1547" s="2"/>
      <c r="F1547" s="2"/>
    </row>
    <row r="1548" spans="2:6" x14ac:dyDescent="0.25">
      <c r="B1548" s="2"/>
      <c r="C1548" s="2"/>
      <c r="F1548" s="2"/>
    </row>
    <row r="1549" spans="2:6" x14ac:dyDescent="0.25">
      <c r="B1549" s="2"/>
      <c r="C1549" s="2"/>
      <c r="F1549" s="2"/>
    </row>
    <row r="1550" spans="2:6" x14ac:dyDescent="0.25">
      <c r="B1550" s="2"/>
      <c r="C1550" s="2"/>
      <c r="F1550" s="2"/>
    </row>
    <row r="1551" spans="2:6" x14ac:dyDescent="0.25">
      <c r="B1551" s="2"/>
      <c r="C1551" s="2"/>
      <c r="F1551" s="2"/>
    </row>
    <row r="1552" spans="2:6" x14ac:dyDescent="0.25">
      <c r="B1552" s="2"/>
      <c r="C1552" s="2"/>
      <c r="F1552" s="2"/>
    </row>
    <row r="1553" spans="2:7" x14ac:dyDescent="0.25">
      <c r="B1553" s="2"/>
      <c r="C1553" s="2"/>
      <c r="F1553" s="2"/>
    </row>
    <row r="1554" spans="2:7" x14ac:dyDescent="0.25">
      <c r="B1554" s="2"/>
      <c r="C1554" s="2"/>
      <c r="F1554" s="2"/>
    </row>
    <row r="1555" spans="2:7" x14ac:dyDescent="0.25">
      <c r="B1555" s="2"/>
      <c r="C1555" s="2"/>
      <c r="F1555" s="2"/>
    </row>
    <row r="1556" spans="2:7" x14ac:dyDescent="0.25">
      <c r="B1556" s="2"/>
      <c r="C1556" s="2"/>
      <c r="F1556" s="2"/>
    </row>
    <row r="1557" spans="2:7" x14ac:dyDescent="0.25">
      <c r="B1557" s="2"/>
      <c r="C1557" s="2"/>
      <c r="F1557" s="2"/>
    </row>
    <row r="1558" spans="2:7" x14ac:dyDescent="0.25">
      <c r="B1558" s="2"/>
      <c r="C1558" s="2"/>
      <c r="F1558" s="2"/>
    </row>
    <row r="1559" spans="2:7" x14ac:dyDescent="0.25">
      <c r="G1559" s="21"/>
    </row>
    <row r="1560" spans="2:7" x14ac:dyDescent="0.25">
      <c r="G1560" s="21"/>
    </row>
    <row r="1561" spans="2:7" x14ac:dyDescent="0.25">
      <c r="G1561" s="21"/>
    </row>
    <row r="1562" spans="2:7" x14ac:dyDescent="0.25">
      <c r="G1562" s="21"/>
    </row>
    <row r="1563" spans="2:7" x14ac:dyDescent="0.25">
      <c r="G1563" s="21"/>
    </row>
    <row r="1564" spans="2:7" x14ac:dyDescent="0.25">
      <c r="G1564" s="21"/>
    </row>
    <row r="1565" spans="2:7" x14ac:dyDescent="0.25">
      <c r="G1565" s="21"/>
    </row>
    <row r="1566" spans="2:7" x14ac:dyDescent="0.25">
      <c r="G1566" s="21"/>
    </row>
    <row r="1567" spans="2:7" x14ac:dyDescent="0.25">
      <c r="G1567" s="21"/>
    </row>
    <row r="1568" spans="2:7" x14ac:dyDescent="0.25">
      <c r="G1568" s="21"/>
    </row>
    <row r="1569" spans="7:7" x14ac:dyDescent="0.25">
      <c r="G1569" s="21"/>
    </row>
    <row r="1570" spans="7:7" x14ac:dyDescent="0.25">
      <c r="G1570" s="21"/>
    </row>
    <row r="1571" spans="7:7" x14ac:dyDescent="0.25">
      <c r="G1571" s="21"/>
    </row>
    <row r="1572" spans="7:7" x14ac:dyDescent="0.25">
      <c r="G1572" s="21"/>
    </row>
    <row r="1573" spans="7:7" x14ac:dyDescent="0.25">
      <c r="G1573" s="21"/>
    </row>
    <row r="1574" spans="7:7" x14ac:dyDescent="0.25">
      <c r="G1574" s="21"/>
    </row>
    <row r="1575" spans="7:7" x14ac:dyDescent="0.25">
      <c r="G1575" s="21"/>
    </row>
    <row r="1576" spans="7:7" x14ac:dyDescent="0.25">
      <c r="G1576" s="21"/>
    </row>
    <row r="1577" spans="7:7" x14ac:dyDescent="0.25">
      <c r="G1577" s="21"/>
    </row>
    <row r="1578" spans="7:7" x14ac:dyDescent="0.25">
      <c r="G1578" s="21"/>
    </row>
    <row r="1579" spans="7:7" x14ac:dyDescent="0.25">
      <c r="G1579" s="21"/>
    </row>
    <row r="1580" spans="7:7" x14ac:dyDescent="0.25">
      <c r="G1580" s="21"/>
    </row>
    <row r="1581" spans="7:7" x14ac:dyDescent="0.25">
      <c r="G1581" s="21"/>
    </row>
    <row r="1582" spans="7:7" x14ac:dyDescent="0.25">
      <c r="G1582" s="21"/>
    </row>
    <row r="1583" spans="7:7" x14ac:dyDescent="0.25">
      <c r="G1583" s="21"/>
    </row>
    <row r="1584" spans="7:7" x14ac:dyDescent="0.25">
      <c r="G1584" s="21"/>
    </row>
    <row r="1585" spans="7:7" x14ac:dyDescent="0.25">
      <c r="G1585" s="21"/>
    </row>
    <row r="1586" spans="7:7" x14ac:dyDescent="0.25">
      <c r="G1586" s="21"/>
    </row>
    <row r="1587" spans="7:7" x14ac:dyDescent="0.25">
      <c r="G1587" s="21"/>
    </row>
    <row r="1588" spans="7:7" x14ac:dyDescent="0.25">
      <c r="G1588" s="21"/>
    </row>
    <row r="1589" spans="7:7" x14ac:dyDescent="0.25">
      <c r="G1589" s="21"/>
    </row>
    <row r="1590" spans="7:7" x14ac:dyDescent="0.25">
      <c r="G1590" s="21"/>
    </row>
    <row r="1591" spans="7:7" x14ac:dyDescent="0.25">
      <c r="G1591" s="21"/>
    </row>
    <row r="1592" spans="7:7" x14ac:dyDescent="0.25">
      <c r="G1592" s="21"/>
    </row>
    <row r="1593" spans="7:7" x14ac:dyDescent="0.25">
      <c r="G1593" s="21"/>
    </row>
    <row r="1594" spans="7:7" x14ac:dyDescent="0.25">
      <c r="G1594" s="21"/>
    </row>
    <row r="1595" spans="7:7" x14ac:dyDescent="0.25">
      <c r="G1595" s="21"/>
    </row>
    <row r="1596" spans="7:7" x14ac:dyDescent="0.25">
      <c r="G1596" s="21"/>
    </row>
    <row r="1597" spans="7:7" x14ac:dyDescent="0.25">
      <c r="G1597" s="21"/>
    </row>
    <row r="1598" spans="7:7" x14ac:dyDescent="0.25">
      <c r="G1598" s="21"/>
    </row>
    <row r="1599" spans="7:7" x14ac:dyDescent="0.25">
      <c r="G1599" s="21"/>
    </row>
    <row r="1600" spans="7:7" x14ac:dyDescent="0.25">
      <c r="G1600" s="21"/>
    </row>
    <row r="1601" spans="7:7" x14ac:dyDescent="0.25">
      <c r="G1601" s="21"/>
    </row>
    <row r="1602" spans="7:7" x14ac:dyDescent="0.25">
      <c r="G1602" s="21"/>
    </row>
    <row r="1603" spans="7:7" x14ac:dyDescent="0.25">
      <c r="G1603" s="21"/>
    </row>
    <row r="1604" spans="7:7" x14ac:dyDescent="0.25">
      <c r="G1604" s="21"/>
    </row>
    <row r="1605" spans="7:7" x14ac:dyDescent="0.25">
      <c r="G1605" s="21"/>
    </row>
    <row r="1606" spans="7:7" x14ac:dyDescent="0.25">
      <c r="G1606" s="21"/>
    </row>
    <row r="1607" spans="7:7" x14ac:dyDescent="0.25">
      <c r="G1607" s="21"/>
    </row>
    <row r="1608" spans="7:7" x14ac:dyDescent="0.25">
      <c r="G1608" s="21"/>
    </row>
    <row r="1609" spans="7:7" x14ac:dyDescent="0.25">
      <c r="G1609" s="21"/>
    </row>
    <row r="1610" spans="7:7" x14ac:dyDescent="0.25">
      <c r="G1610" s="21"/>
    </row>
    <row r="1611" spans="7:7" x14ac:dyDescent="0.25">
      <c r="G1611" s="21"/>
    </row>
    <row r="1612" spans="7:7" x14ac:dyDescent="0.25">
      <c r="G1612" s="21"/>
    </row>
    <row r="1613" spans="7:7" x14ac:dyDescent="0.25">
      <c r="G1613" s="21"/>
    </row>
    <row r="1614" spans="7:7" x14ac:dyDescent="0.25">
      <c r="G1614" s="21"/>
    </row>
    <row r="1615" spans="7:7" x14ac:dyDescent="0.25">
      <c r="G1615" s="21"/>
    </row>
    <row r="1616" spans="7:7" x14ac:dyDescent="0.25">
      <c r="G1616" s="21"/>
    </row>
    <row r="1617" spans="7:7" x14ac:dyDescent="0.25">
      <c r="G1617" s="21"/>
    </row>
    <row r="1618" spans="7:7" x14ac:dyDescent="0.25">
      <c r="G1618" s="21"/>
    </row>
    <row r="1619" spans="7:7" x14ac:dyDescent="0.25">
      <c r="G1619" s="21"/>
    </row>
    <row r="1620" spans="7:7" x14ac:dyDescent="0.25">
      <c r="G1620" s="21"/>
    </row>
    <row r="1621" spans="7:7" x14ac:dyDescent="0.25">
      <c r="G1621" s="21"/>
    </row>
    <row r="1622" spans="7:7" x14ac:dyDescent="0.25">
      <c r="G1622" s="21"/>
    </row>
    <row r="1623" spans="7:7" x14ac:dyDescent="0.25">
      <c r="G1623" s="21"/>
    </row>
    <row r="1624" spans="7:7" x14ac:dyDescent="0.25">
      <c r="G1624" s="21"/>
    </row>
    <row r="1625" spans="7:7" x14ac:dyDescent="0.25">
      <c r="G1625" s="21"/>
    </row>
    <row r="1626" spans="7:7" x14ac:dyDescent="0.25">
      <c r="G1626" s="21"/>
    </row>
    <row r="1627" spans="7:7" x14ac:dyDescent="0.25">
      <c r="G1627" s="21"/>
    </row>
    <row r="1628" spans="7:7" x14ac:dyDescent="0.25">
      <c r="G1628" s="21"/>
    </row>
    <row r="1629" spans="7:7" x14ac:dyDescent="0.25">
      <c r="G1629" s="21"/>
    </row>
    <row r="1630" spans="7:7" x14ac:dyDescent="0.25">
      <c r="G1630" s="21"/>
    </row>
    <row r="1631" spans="7:7" x14ac:dyDescent="0.25">
      <c r="G1631" s="21"/>
    </row>
    <row r="1632" spans="7:7" x14ac:dyDescent="0.25">
      <c r="G1632" s="21"/>
    </row>
    <row r="1633" spans="7:7" x14ac:dyDescent="0.25">
      <c r="G1633" s="21"/>
    </row>
    <row r="1634" spans="7:7" x14ac:dyDescent="0.25">
      <c r="G1634" s="21"/>
    </row>
    <row r="1635" spans="7:7" x14ac:dyDescent="0.25">
      <c r="G1635" s="21"/>
    </row>
    <row r="1636" spans="7:7" x14ac:dyDescent="0.25">
      <c r="G1636" s="21"/>
    </row>
    <row r="1637" spans="7:7" x14ac:dyDescent="0.25">
      <c r="G1637" s="21"/>
    </row>
    <row r="1638" spans="7:7" x14ac:dyDescent="0.25">
      <c r="G1638" s="21"/>
    </row>
    <row r="1639" spans="7:7" x14ac:dyDescent="0.25">
      <c r="G1639" s="21"/>
    </row>
    <row r="1640" spans="7:7" x14ac:dyDescent="0.25">
      <c r="G1640" s="21"/>
    </row>
    <row r="1641" spans="7:7" x14ac:dyDescent="0.25">
      <c r="G1641" s="21"/>
    </row>
    <row r="1642" spans="7:7" x14ac:dyDescent="0.25">
      <c r="G1642" s="21"/>
    </row>
    <row r="1643" spans="7:7" x14ac:dyDescent="0.25">
      <c r="G1643" s="21"/>
    </row>
    <row r="1644" spans="7:7" x14ac:dyDescent="0.25">
      <c r="G1644" s="21"/>
    </row>
    <row r="1645" spans="7:7" x14ac:dyDescent="0.25">
      <c r="G1645" s="21"/>
    </row>
    <row r="1646" spans="7:7" x14ac:dyDescent="0.25">
      <c r="G1646" s="21"/>
    </row>
    <row r="1647" spans="7:7" x14ac:dyDescent="0.25">
      <c r="G1647" s="21"/>
    </row>
    <row r="1648" spans="7:7" x14ac:dyDescent="0.25">
      <c r="G1648" s="21"/>
    </row>
    <row r="1649" spans="7:7" x14ac:dyDescent="0.25">
      <c r="G1649" s="21"/>
    </row>
    <row r="1650" spans="7:7" x14ac:dyDescent="0.25">
      <c r="G1650" s="21"/>
    </row>
    <row r="1651" spans="7:7" x14ac:dyDescent="0.25">
      <c r="G1651" s="21"/>
    </row>
    <row r="1652" spans="7:7" x14ac:dyDescent="0.25">
      <c r="G1652" s="21"/>
    </row>
    <row r="1653" spans="7:7" x14ac:dyDescent="0.25">
      <c r="G1653" s="21"/>
    </row>
    <row r="1654" spans="7:7" x14ac:dyDescent="0.25">
      <c r="G1654" s="21"/>
    </row>
    <row r="1655" spans="7:7" x14ac:dyDescent="0.25">
      <c r="G1655" s="21"/>
    </row>
    <row r="1656" spans="7:7" x14ac:dyDescent="0.25">
      <c r="G1656" s="21"/>
    </row>
    <row r="1657" spans="7:7" x14ac:dyDescent="0.25">
      <c r="G1657" s="21"/>
    </row>
    <row r="1658" spans="7:7" x14ac:dyDescent="0.25">
      <c r="G1658" s="21"/>
    </row>
    <row r="1659" spans="7:7" x14ac:dyDescent="0.25">
      <c r="G1659" s="21"/>
    </row>
    <row r="1660" spans="7:7" x14ac:dyDescent="0.25">
      <c r="G1660" s="21"/>
    </row>
    <row r="1661" spans="7:7" x14ac:dyDescent="0.25">
      <c r="G1661" s="21"/>
    </row>
    <row r="1662" spans="7:7" x14ac:dyDescent="0.25">
      <c r="G1662" s="21"/>
    </row>
    <row r="1663" spans="7:7" x14ac:dyDescent="0.25">
      <c r="G1663" s="21"/>
    </row>
    <row r="1664" spans="7:7" x14ac:dyDescent="0.25">
      <c r="G1664" s="21"/>
    </row>
    <row r="1665" spans="7:7" x14ac:dyDescent="0.25">
      <c r="G1665" s="21"/>
    </row>
    <row r="1666" spans="7:7" x14ac:dyDescent="0.25">
      <c r="G1666" s="21"/>
    </row>
    <row r="1667" spans="7:7" x14ac:dyDescent="0.25">
      <c r="G1667" s="21"/>
    </row>
    <row r="1668" spans="7:7" x14ac:dyDescent="0.25">
      <c r="G1668" s="21"/>
    </row>
    <row r="1669" spans="7:7" x14ac:dyDescent="0.25">
      <c r="G1669" s="21"/>
    </row>
    <row r="1670" spans="7:7" x14ac:dyDescent="0.25">
      <c r="G1670" s="21"/>
    </row>
    <row r="1671" spans="7:7" x14ac:dyDescent="0.25">
      <c r="G1671" s="21"/>
    </row>
    <row r="1672" spans="7:7" x14ac:dyDescent="0.25">
      <c r="G1672" s="21"/>
    </row>
    <row r="1673" spans="7:7" x14ac:dyDescent="0.25">
      <c r="G1673" s="21"/>
    </row>
    <row r="1674" spans="7:7" x14ac:dyDescent="0.25">
      <c r="G1674" s="21"/>
    </row>
    <row r="1675" spans="7:7" x14ac:dyDescent="0.25">
      <c r="G1675" s="21"/>
    </row>
    <row r="1676" spans="7:7" x14ac:dyDescent="0.25">
      <c r="G1676" s="21"/>
    </row>
    <row r="1677" spans="7:7" x14ac:dyDescent="0.25">
      <c r="G1677" s="21"/>
    </row>
    <row r="1678" spans="7:7" x14ac:dyDescent="0.25">
      <c r="G1678" s="21"/>
    </row>
    <row r="1679" spans="7:7" x14ac:dyDescent="0.25">
      <c r="G1679" s="21"/>
    </row>
    <row r="1680" spans="7:7" x14ac:dyDescent="0.25">
      <c r="G1680" s="21"/>
    </row>
    <row r="1681" spans="7:7" x14ac:dyDescent="0.25">
      <c r="G1681" s="21"/>
    </row>
    <row r="1682" spans="7:7" x14ac:dyDescent="0.25">
      <c r="G1682" s="21"/>
    </row>
    <row r="1683" spans="7:7" x14ac:dyDescent="0.25">
      <c r="G1683" s="21"/>
    </row>
    <row r="1684" spans="7:7" x14ac:dyDescent="0.25">
      <c r="G1684" s="21"/>
    </row>
    <row r="1685" spans="7:7" x14ac:dyDescent="0.25">
      <c r="G1685" s="21"/>
    </row>
    <row r="1686" spans="7:7" x14ac:dyDescent="0.25">
      <c r="G1686" s="21"/>
    </row>
    <row r="1687" spans="7:7" x14ac:dyDescent="0.25">
      <c r="G1687" s="21"/>
    </row>
    <row r="1688" spans="7:7" x14ac:dyDescent="0.25">
      <c r="G1688" s="21"/>
    </row>
    <row r="1689" spans="7:7" x14ac:dyDescent="0.25">
      <c r="G1689" s="21"/>
    </row>
    <row r="1690" spans="7:7" x14ac:dyDescent="0.25">
      <c r="G1690" s="21"/>
    </row>
    <row r="1691" spans="7:7" x14ac:dyDescent="0.25">
      <c r="G1691" s="21"/>
    </row>
    <row r="1692" spans="7:7" x14ac:dyDescent="0.25">
      <c r="G1692" s="21"/>
    </row>
    <row r="1693" spans="7:7" x14ac:dyDescent="0.25">
      <c r="G1693" s="21"/>
    </row>
    <row r="1694" spans="7:7" x14ac:dyDescent="0.25">
      <c r="G1694" s="21"/>
    </row>
    <row r="1695" spans="7:7" x14ac:dyDescent="0.25">
      <c r="G1695" s="21"/>
    </row>
    <row r="1696" spans="7:7" x14ac:dyDescent="0.25">
      <c r="G1696" s="21"/>
    </row>
    <row r="1697" spans="7:7" x14ac:dyDescent="0.25">
      <c r="G1697" s="21"/>
    </row>
    <row r="1698" spans="7:7" x14ac:dyDescent="0.25">
      <c r="G1698" s="21"/>
    </row>
    <row r="1699" spans="7:7" x14ac:dyDescent="0.25">
      <c r="G1699" s="21"/>
    </row>
    <row r="1700" spans="7:7" x14ac:dyDescent="0.25">
      <c r="G1700" s="21"/>
    </row>
    <row r="1701" spans="7:7" x14ac:dyDescent="0.25">
      <c r="G1701" s="21"/>
    </row>
    <row r="1702" spans="7:7" x14ac:dyDescent="0.25">
      <c r="G1702" s="21"/>
    </row>
    <row r="1703" spans="7:7" x14ac:dyDescent="0.25">
      <c r="G1703" s="21"/>
    </row>
    <row r="1704" spans="7:7" x14ac:dyDescent="0.25">
      <c r="G1704" s="21"/>
    </row>
    <row r="1705" spans="7:7" x14ac:dyDescent="0.25">
      <c r="G1705" s="21"/>
    </row>
    <row r="1706" spans="7:7" x14ac:dyDescent="0.25">
      <c r="G1706" s="21"/>
    </row>
    <row r="1707" spans="7:7" x14ac:dyDescent="0.25">
      <c r="G1707" s="21"/>
    </row>
    <row r="1708" spans="7:7" x14ac:dyDescent="0.25">
      <c r="G1708" s="21"/>
    </row>
    <row r="1709" spans="7:7" x14ac:dyDescent="0.25">
      <c r="G1709" s="21"/>
    </row>
    <row r="1710" spans="7:7" x14ac:dyDescent="0.25">
      <c r="G1710" s="21"/>
    </row>
    <row r="1711" spans="7:7" x14ac:dyDescent="0.25">
      <c r="G1711" s="21"/>
    </row>
    <row r="1712" spans="7:7" x14ac:dyDescent="0.25">
      <c r="G1712" s="21"/>
    </row>
    <row r="1713" spans="7:7" x14ac:dyDescent="0.25">
      <c r="G1713" s="21"/>
    </row>
    <row r="1714" spans="7:7" x14ac:dyDescent="0.25">
      <c r="G1714" s="21"/>
    </row>
    <row r="1715" spans="7:7" x14ac:dyDescent="0.25">
      <c r="G1715" s="21"/>
    </row>
    <row r="1716" spans="7:7" x14ac:dyDescent="0.25">
      <c r="G1716" s="21"/>
    </row>
    <row r="1717" spans="7:7" x14ac:dyDescent="0.25">
      <c r="G1717" s="21"/>
    </row>
    <row r="1718" spans="7:7" x14ac:dyDescent="0.25">
      <c r="G1718" s="21"/>
    </row>
    <row r="1719" spans="7:7" x14ac:dyDescent="0.25">
      <c r="G1719" s="21"/>
    </row>
    <row r="1720" spans="7:7" x14ac:dyDescent="0.25">
      <c r="G1720" s="21"/>
    </row>
    <row r="1721" spans="7:7" x14ac:dyDescent="0.25">
      <c r="G1721" s="21"/>
    </row>
    <row r="1722" spans="7:7" x14ac:dyDescent="0.25">
      <c r="G1722" s="21"/>
    </row>
    <row r="1723" spans="7:7" x14ac:dyDescent="0.25">
      <c r="G1723" s="21"/>
    </row>
    <row r="1724" spans="7:7" x14ac:dyDescent="0.25">
      <c r="G1724" s="21"/>
    </row>
    <row r="1725" spans="7:7" x14ac:dyDescent="0.25">
      <c r="G1725" s="21"/>
    </row>
    <row r="1726" spans="7:7" x14ac:dyDescent="0.25">
      <c r="G1726" s="21"/>
    </row>
    <row r="1727" spans="7:7" x14ac:dyDescent="0.25">
      <c r="G1727" s="21"/>
    </row>
    <row r="1728" spans="7:7" x14ac:dyDescent="0.25">
      <c r="G1728" s="21"/>
    </row>
    <row r="1729" spans="7:7" x14ac:dyDescent="0.25">
      <c r="G1729" s="21"/>
    </row>
    <row r="1730" spans="7:7" x14ac:dyDescent="0.25">
      <c r="G1730" s="21"/>
    </row>
    <row r="1731" spans="7:7" x14ac:dyDescent="0.25">
      <c r="G1731" s="21"/>
    </row>
    <row r="1732" spans="7:7" x14ac:dyDescent="0.25">
      <c r="G1732" s="21"/>
    </row>
    <row r="1733" spans="7:7" x14ac:dyDescent="0.25">
      <c r="G1733" s="21"/>
    </row>
    <row r="1734" spans="7:7" x14ac:dyDescent="0.25">
      <c r="G1734" s="21"/>
    </row>
    <row r="1735" spans="7:7" x14ac:dyDescent="0.25">
      <c r="G1735" s="21"/>
    </row>
    <row r="1736" spans="7:7" x14ac:dyDescent="0.25">
      <c r="G1736" s="21"/>
    </row>
    <row r="1737" spans="7:7" x14ac:dyDescent="0.25">
      <c r="G1737" s="21"/>
    </row>
    <row r="1738" spans="7:7" x14ac:dyDescent="0.25">
      <c r="G1738" s="21"/>
    </row>
    <row r="1739" spans="7:7" x14ac:dyDescent="0.25">
      <c r="G1739" s="21"/>
    </row>
    <row r="1740" spans="7:7" x14ac:dyDescent="0.25">
      <c r="G1740" s="21"/>
    </row>
    <row r="1741" spans="7:7" x14ac:dyDescent="0.25">
      <c r="G1741" s="21"/>
    </row>
    <row r="1742" spans="7:7" x14ac:dyDescent="0.25">
      <c r="G1742" s="21"/>
    </row>
    <row r="1743" spans="7:7" x14ac:dyDescent="0.25">
      <c r="G1743" s="21"/>
    </row>
    <row r="1744" spans="7:7" x14ac:dyDescent="0.25">
      <c r="G1744" s="21"/>
    </row>
    <row r="1745" spans="7:7" x14ac:dyDescent="0.25">
      <c r="G1745" s="21"/>
    </row>
    <row r="1746" spans="7:7" x14ac:dyDescent="0.25">
      <c r="G1746" s="21"/>
    </row>
    <row r="1747" spans="7:7" x14ac:dyDescent="0.25">
      <c r="G1747" s="21"/>
    </row>
    <row r="1748" spans="7:7" x14ac:dyDescent="0.25">
      <c r="G1748" s="21"/>
    </row>
    <row r="1749" spans="7:7" x14ac:dyDescent="0.25">
      <c r="G1749" s="21"/>
    </row>
    <row r="1750" spans="7:7" x14ac:dyDescent="0.25">
      <c r="G1750" s="21"/>
    </row>
    <row r="1751" spans="7:7" x14ac:dyDescent="0.25">
      <c r="G1751" s="21"/>
    </row>
    <row r="1752" spans="7:7" x14ac:dyDescent="0.25">
      <c r="G1752" s="21"/>
    </row>
    <row r="1753" spans="7:7" x14ac:dyDescent="0.25">
      <c r="G1753" s="21"/>
    </row>
    <row r="1754" spans="7:7" x14ac:dyDescent="0.25">
      <c r="G1754" s="21"/>
    </row>
    <row r="1755" spans="7:7" x14ac:dyDescent="0.25">
      <c r="G1755" s="21"/>
    </row>
    <row r="1756" spans="7:7" x14ac:dyDescent="0.25">
      <c r="G1756" s="21"/>
    </row>
    <row r="1757" spans="7:7" x14ac:dyDescent="0.25">
      <c r="G1757" s="21"/>
    </row>
    <row r="1758" spans="7:7" x14ac:dyDescent="0.25">
      <c r="G1758" s="21"/>
    </row>
    <row r="1759" spans="7:7" x14ac:dyDescent="0.25">
      <c r="G1759" s="21"/>
    </row>
    <row r="1760" spans="7:7" x14ac:dyDescent="0.25">
      <c r="G1760" s="21"/>
    </row>
    <row r="1761" spans="7:7" x14ac:dyDescent="0.25">
      <c r="G1761" s="21"/>
    </row>
    <row r="1762" spans="7:7" x14ac:dyDescent="0.25">
      <c r="G1762" s="21"/>
    </row>
    <row r="1763" spans="7:7" x14ac:dyDescent="0.25">
      <c r="G1763" s="21"/>
    </row>
    <row r="1764" spans="7:7" x14ac:dyDescent="0.25">
      <c r="G1764" s="21"/>
    </row>
    <row r="1765" spans="7:7" x14ac:dyDescent="0.25">
      <c r="G1765" s="21"/>
    </row>
    <row r="1766" spans="7:7" x14ac:dyDescent="0.25">
      <c r="G1766" s="21"/>
    </row>
    <row r="1767" spans="7:7" x14ac:dyDescent="0.25">
      <c r="G1767" s="21"/>
    </row>
    <row r="1768" spans="7:7" x14ac:dyDescent="0.25">
      <c r="G1768" s="21"/>
    </row>
    <row r="1769" spans="7:7" x14ac:dyDescent="0.25">
      <c r="G1769" s="21"/>
    </row>
    <row r="1770" spans="7:7" x14ac:dyDescent="0.25">
      <c r="G1770" s="21"/>
    </row>
    <row r="1771" spans="7:7" x14ac:dyDescent="0.25">
      <c r="G1771" s="21"/>
    </row>
    <row r="1772" spans="7:7" x14ac:dyDescent="0.25">
      <c r="G1772" s="21"/>
    </row>
    <row r="1773" spans="7:7" x14ac:dyDescent="0.25">
      <c r="G1773" s="21"/>
    </row>
    <row r="1774" spans="7:7" x14ac:dyDescent="0.25">
      <c r="G1774" s="21"/>
    </row>
    <row r="1775" spans="7:7" x14ac:dyDescent="0.25">
      <c r="G1775" s="21"/>
    </row>
    <row r="1776" spans="7:7" x14ac:dyDescent="0.25">
      <c r="G1776" s="21"/>
    </row>
    <row r="1777" spans="7:7" x14ac:dyDescent="0.25">
      <c r="G1777" s="21"/>
    </row>
    <row r="1778" spans="7:7" x14ac:dyDescent="0.25">
      <c r="G1778" s="21"/>
    </row>
    <row r="1779" spans="7:7" x14ac:dyDescent="0.25">
      <c r="G1779" s="21"/>
    </row>
    <row r="1780" spans="7:7" x14ac:dyDescent="0.25">
      <c r="G1780" s="21"/>
    </row>
    <row r="1781" spans="7:7" x14ac:dyDescent="0.25">
      <c r="G1781" s="21"/>
    </row>
    <row r="1782" spans="7:7" x14ac:dyDescent="0.25">
      <c r="G1782" s="21"/>
    </row>
    <row r="1783" spans="7:7" x14ac:dyDescent="0.25">
      <c r="G1783" s="21"/>
    </row>
    <row r="1784" spans="7:7" x14ac:dyDescent="0.25">
      <c r="G1784" s="21"/>
    </row>
    <row r="1785" spans="7:7" x14ac:dyDescent="0.25">
      <c r="G1785" s="21"/>
    </row>
    <row r="1786" spans="7:7" x14ac:dyDescent="0.25">
      <c r="G1786" s="21"/>
    </row>
    <row r="1787" spans="7:7" x14ac:dyDescent="0.25">
      <c r="G1787" s="21"/>
    </row>
    <row r="1788" spans="7:7" x14ac:dyDescent="0.25">
      <c r="G1788" s="21"/>
    </row>
    <row r="1789" spans="7:7" x14ac:dyDescent="0.25">
      <c r="G1789" s="21"/>
    </row>
    <row r="1790" spans="7:7" x14ac:dyDescent="0.25">
      <c r="G1790" s="21"/>
    </row>
    <row r="1791" spans="7:7" x14ac:dyDescent="0.25">
      <c r="G1791" s="21"/>
    </row>
    <row r="1792" spans="7:7" x14ac:dyDescent="0.25">
      <c r="G1792" s="21"/>
    </row>
    <row r="1793" spans="7:7" x14ac:dyDescent="0.25">
      <c r="G1793" s="21"/>
    </row>
    <row r="1794" spans="7:7" x14ac:dyDescent="0.25">
      <c r="G1794" s="21"/>
    </row>
    <row r="1795" spans="7:7" x14ac:dyDescent="0.25">
      <c r="G1795" s="21"/>
    </row>
    <row r="1796" spans="7:7" x14ac:dyDescent="0.25">
      <c r="G1796" s="21"/>
    </row>
    <row r="1797" spans="7:7" x14ac:dyDescent="0.25">
      <c r="G1797" s="21"/>
    </row>
    <row r="1798" spans="7:7" x14ac:dyDescent="0.25">
      <c r="G1798" s="21"/>
    </row>
    <row r="1799" spans="7:7" x14ac:dyDescent="0.25">
      <c r="G1799" s="21"/>
    </row>
    <row r="1800" spans="7:7" x14ac:dyDescent="0.25">
      <c r="G1800" s="21"/>
    </row>
    <row r="1801" spans="7:7" x14ac:dyDescent="0.25">
      <c r="G1801" s="21"/>
    </row>
    <row r="1802" spans="7:7" x14ac:dyDescent="0.25">
      <c r="G1802" s="21"/>
    </row>
    <row r="1803" spans="7:7" x14ac:dyDescent="0.25">
      <c r="G1803" s="21"/>
    </row>
    <row r="1804" spans="7:7" x14ac:dyDescent="0.25">
      <c r="G1804" s="21"/>
    </row>
    <row r="1805" spans="7:7" x14ac:dyDescent="0.25">
      <c r="G1805" s="21"/>
    </row>
    <row r="1806" spans="7:7" x14ac:dyDescent="0.25">
      <c r="G1806" s="21"/>
    </row>
    <row r="1807" spans="7:7" x14ac:dyDescent="0.25">
      <c r="G1807" s="21"/>
    </row>
    <row r="1808" spans="7:7" x14ac:dyDescent="0.25">
      <c r="G1808" s="21"/>
    </row>
    <row r="1809" spans="7:7" x14ac:dyDescent="0.25">
      <c r="G1809" s="21"/>
    </row>
    <row r="1810" spans="7:7" x14ac:dyDescent="0.25">
      <c r="G1810" s="21"/>
    </row>
    <row r="1811" spans="7:7" x14ac:dyDescent="0.25">
      <c r="G1811" s="21"/>
    </row>
    <row r="1812" spans="7:7" x14ac:dyDescent="0.25">
      <c r="G1812" s="21"/>
    </row>
    <row r="1813" spans="7:7" x14ac:dyDescent="0.25">
      <c r="G1813" s="21"/>
    </row>
    <row r="1814" spans="7:7" x14ac:dyDescent="0.25">
      <c r="G1814" s="21"/>
    </row>
    <row r="1815" spans="7:7" x14ac:dyDescent="0.25">
      <c r="G1815" s="21"/>
    </row>
    <row r="1816" spans="7:7" x14ac:dyDescent="0.25">
      <c r="G1816" s="21"/>
    </row>
    <row r="1817" spans="7:7" x14ac:dyDescent="0.25">
      <c r="G1817" s="21"/>
    </row>
    <row r="1818" spans="7:7" x14ac:dyDescent="0.25">
      <c r="G1818" s="21"/>
    </row>
    <row r="1819" spans="7:7" x14ac:dyDescent="0.25">
      <c r="G1819" s="21"/>
    </row>
    <row r="1820" spans="7:7" x14ac:dyDescent="0.25">
      <c r="G1820" s="21"/>
    </row>
    <row r="1821" spans="7:7" x14ac:dyDescent="0.25">
      <c r="G1821" s="21"/>
    </row>
    <row r="1822" spans="7:7" x14ac:dyDescent="0.25">
      <c r="G1822" s="21"/>
    </row>
    <row r="1823" spans="7:7" x14ac:dyDescent="0.25">
      <c r="G1823" s="21"/>
    </row>
    <row r="1824" spans="7:7" x14ac:dyDescent="0.25">
      <c r="G1824" s="21"/>
    </row>
    <row r="1825" spans="7:7" x14ac:dyDescent="0.25">
      <c r="G1825" s="21"/>
    </row>
    <row r="1826" spans="7:7" x14ac:dyDescent="0.25">
      <c r="G1826" s="21"/>
    </row>
    <row r="1827" spans="7:7" x14ac:dyDescent="0.25">
      <c r="G1827" s="21"/>
    </row>
    <row r="1828" spans="7:7" x14ac:dyDescent="0.25">
      <c r="G1828" s="21"/>
    </row>
    <row r="1829" spans="7:7" x14ac:dyDescent="0.25">
      <c r="G1829" s="21"/>
    </row>
    <row r="1830" spans="7:7" x14ac:dyDescent="0.25">
      <c r="G1830" s="21"/>
    </row>
    <row r="1831" spans="7:7" x14ac:dyDescent="0.25">
      <c r="G1831" s="21"/>
    </row>
    <row r="1832" spans="7:7" x14ac:dyDescent="0.25">
      <c r="G1832" s="21"/>
    </row>
    <row r="1833" spans="7:7" x14ac:dyDescent="0.25">
      <c r="G1833" s="21"/>
    </row>
    <row r="1834" spans="7:7" x14ac:dyDescent="0.25">
      <c r="G1834" s="21"/>
    </row>
    <row r="1835" spans="7:7" x14ac:dyDescent="0.25">
      <c r="G1835" s="21"/>
    </row>
    <row r="1836" spans="7:7" x14ac:dyDescent="0.25">
      <c r="G1836" s="21"/>
    </row>
    <row r="1837" spans="7:7" x14ac:dyDescent="0.25">
      <c r="G1837" s="21"/>
    </row>
    <row r="1838" spans="7:7" x14ac:dyDescent="0.25">
      <c r="G1838" s="21"/>
    </row>
    <row r="1839" spans="7:7" x14ac:dyDescent="0.25">
      <c r="G1839" s="21"/>
    </row>
    <row r="1840" spans="7:7" x14ac:dyDescent="0.25">
      <c r="G1840" s="21"/>
    </row>
    <row r="1841" spans="7:7" x14ac:dyDescent="0.25">
      <c r="G1841" s="21"/>
    </row>
    <row r="1842" spans="7:7" x14ac:dyDescent="0.25">
      <c r="G1842" s="21"/>
    </row>
    <row r="1843" spans="7:7" x14ac:dyDescent="0.25">
      <c r="G1843" s="21"/>
    </row>
    <row r="1844" spans="7:7" x14ac:dyDescent="0.25">
      <c r="G1844" s="21"/>
    </row>
    <row r="1845" spans="7:7" x14ac:dyDescent="0.25">
      <c r="G1845" s="21"/>
    </row>
    <row r="1846" spans="7:7" x14ac:dyDescent="0.25">
      <c r="G1846" s="21"/>
    </row>
    <row r="1847" spans="7:7" x14ac:dyDescent="0.25">
      <c r="G1847" s="21"/>
    </row>
    <row r="1848" spans="7:7" x14ac:dyDescent="0.25">
      <c r="G1848" s="21"/>
    </row>
    <row r="1849" spans="7:7" x14ac:dyDescent="0.25">
      <c r="G1849" s="21"/>
    </row>
    <row r="1850" spans="7:7" x14ac:dyDescent="0.25">
      <c r="G1850" s="21"/>
    </row>
    <row r="1851" spans="7:7" x14ac:dyDescent="0.25">
      <c r="G1851" s="21"/>
    </row>
    <row r="1852" spans="7:7" x14ac:dyDescent="0.25">
      <c r="G1852" s="21"/>
    </row>
    <row r="1853" spans="7:7" x14ac:dyDescent="0.25">
      <c r="G1853" s="21"/>
    </row>
    <row r="1854" spans="7:7" x14ac:dyDescent="0.25">
      <c r="G1854" s="21"/>
    </row>
    <row r="1855" spans="7:7" x14ac:dyDescent="0.25">
      <c r="G1855" s="21"/>
    </row>
    <row r="1856" spans="7:7" x14ac:dyDescent="0.25">
      <c r="G1856" s="21"/>
    </row>
    <row r="1857" spans="7:7" x14ac:dyDescent="0.25">
      <c r="G1857" s="21"/>
    </row>
    <row r="1858" spans="7:7" x14ac:dyDescent="0.25">
      <c r="G1858" s="21"/>
    </row>
    <row r="1859" spans="7:7" x14ac:dyDescent="0.25">
      <c r="G1859" s="21"/>
    </row>
    <row r="1860" spans="7:7" x14ac:dyDescent="0.25">
      <c r="G1860" s="21"/>
    </row>
    <row r="1861" spans="7:7" x14ac:dyDescent="0.25">
      <c r="G1861" s="21"/>
    </row>
    <row r="1862" spans="7:7" x14ac:dyDescent="0.25">
      <c r="G1862" s="21"/>
    </row>
    <row r="1863" spans="7:7" x14ac:dyDescent="0.25">
      <c r="G1863" s="21"/>
    </row>
    <row r="1864" spans="7:7" x14ac:dyDescent="0.25">
      <c r="G1864" s="21"/>
    </row>
    <row r="1865" spans="7:7" x14ac:dyDescent="0.25">
      <c r="G1865" s="21"/>
    </row>
    <row r="1866" spans="7:7" x14ac:dyDescent="0.25">
      <c r="G1866" s="21"/>
    </row>
    <row r="1867" spans="7:7" x14ac:dyDescent="0.25">
      <c r="G1867" s="21"/>
    </row>
    <row r="1868" spans="7:7" x14ac:dyDescent="0.25">
      <c r="G1868" s="21"/>
    </row>
    <row r="1869" spans="7:7" x14ac:dyDescent="0.25">
      <c r="G1869" s="21"/>
    </row>
    <row r="1870" spans="7:7" x14ac:dyDescent="0.25">
      <c r="G1870" s="21"/>
    </row>
    <row r="1871" spans="7:7" x14ac:dyDescent="0.25">
      <c r="G1871" s="21"/>
    </row>
    <row r="1872" spans="7:7" x14ac:dyDescent="0.25">
      <c r="G1872" s="21"/>
    </row>
    <row r="1873" spans="7:7" x14ac:dyDescent="0.25">
      <c r="G1873" s="21"/>
    </row>
    <row r="1874" spans="7:7" x14ac:dyDescent="0.25">
      <c r="G1874" s="21"/>
    </row>
    <row r="1875" spans="7:7" x14ac:dyDescent="0.25">
      <c r="G1875" s="21"/>
    </row>
    <row r="1876" spans="7:7" x14ac:dyDescent="0.25">
      <c r="G1876" s="21"/>
    </row>
    <row r="1877" spans="7:7" x14ac:dyDescent="0.25">
      <c r="G1877" s="21"/>
    </row>
    <row r="1878" spans="7:7" x14ac:dyDescent="0.25">
      <c r="G1878" s="21"/>
    </row>
    <row r="1879" spans="7:7" x14ac:dyDescent="0.25">
      <c r="G1879" s="21"/>
    </row>
    <row r="1880" spans="7:7" x14ac:dyDescent="0.25">
      <c r="G1880" s="21"/>
    </row>
    <row r="1881" spans="7:7" x14ac:dyDescent="0.25">
      <c r="G1881" s="21"/>
    </row>
    <row r="1882" spans="7:7" x14ac:dyDescent="0.25">
      <c r="G1882" s="21"/>
    </row>
    <row r="1883" spans="7:7" x14ac:dyDescent="0.25">
      <c r="G1883" s="21"/>
    </row>
    <row r="1884" spans="7:7" x14ac:dyDescent="0.25">
      <c r="G1884" s="21"/>
    </row>
    <row r="1885" spans="7:7" x14ac:dyDescent="0.25">
      <c r="G1885" s="21"/>
    </row>
    <row r="1886" spans="7:7" x14ac:dyDescent="0.25">
      <c r="G1886" s="21"/>
    </row>
    <row r="1887" spans="7:7" x14ac:dyDescent="0.25">
      <c r="G1887" s="21"/>
    </row>
    <row r="1888" spans="7:7" x14ac:dyDescent="0.25">
      <c r="G1888" s="21"/>
    </row>
    <row r="1889" spans="7:7" x14ac:dyDescent="0.25">
      <c r="G1889" s="21"/>
    </row>
    <row r="1890" spans="7:7" x14ac:dyDescent="0.25">
      <c r="G1890" s="21"/>
    </row>
    <row r="1891" spans="7:7" x14ac:dyDescent="0.25">
      <c r="G1891" s="21"/>
    </row>
    <row r="1892" spans="7:7" x14ac:dyDescent="0.25">
      <c r="G1892" s="21"/>
    </row>
    <row r="1893" spans="7:7" x14ac:dyDescent="0.25">
      <c r="G1893" s="21"/>
    </row>
    <row r="1894" spans="7:7" x14ac:dyDescent="0.25">
      <c r="G1894" s="21"/>
    </row>
    <row r="1895" spans="7:7" x14ac:dyDescent="0.25">
      <c r="G1895" s="21"/>
    </row>
    <row r="1896" spans="7:7" x14ac:dyDescent="0.25">
      <c r="G1896" s="21"/>
    </row>
    <row r="1897" spans="7:7" x14ac:dyDescent="0.25">
      <c r="G1897" s="21"/>
    </row>
    <row r="1898" spans="7:7" x14ac:dyDescent="0.25">
      <c r="G1898" s="21"/>
    </row>
    <row r="1899" spans="7:7" x14ac:dyDescent="0.25">
      <c r="G1899" s="21"/>
    </row>
    <row r="1900" spans="7:7" x14ac:dyDescent="0.25">
      <c r="G1900" s="21"/>
    </row>
    <row r="1901" spans="7:7" x14ac:dyDescent="0.25">
      <c r="G1901" s="21"/>
    </row>
    <row r="1902" spans="7:7" x14ac:dyDescent="0.25">
      <c r="G1902" s="21"/>
    </row>
    <row r="1903" spans="7:7" x14ac:dyDescent="0.25">
      <c r="G1903" s="21"/>
    </row>
    <row r="1904" spans="7:7" x14ac:dyDescent="0.25">
      <c r="G1904" s="21"/>
    </row>
    <row r="1905" spans="7:7" x14ac:dyDescent="0.25">
      <c r="G1905" s="21"/>
    </row>
    <row r="1906" spans="7:7" x14ac:dyDescent="0.25">
      <c r="G1906" s="21"/>
    </row>
    <row r="1907" spans="7:7" x14ac:dyDescent="0.25">
      <c r="G1907" s="21"/>
    </row>
    <row r="1908" spans="7:7" x14ac:dyDescent="0.25">
      <c r="G1908" s="21"/>
    </row>
    <row r="1909" spans="7:7" x14ac:dyDescent="0.25">
      <c r="G1909" s="21"/>
    </row>
    <row r="1910" spans="7:7" x14ac:dyDescent="0.25">
      <c r="G1910" s="21"/>
    </row>
    <row r="1911" spans="7:7" x14ac:dyDescent="0.25">
      <c r="G1911" s="21"/>
    </row>
    <row r="1912" spans="7:7" x14ac:dyDescent="0.25">
      <c r="G1912" s="21"/>
    </row>
    <row r="1913" spans="7:7" x14ac:dyDescent="0.25">
      <c r="G1913" s="21"/>
    </row>
    <row r="1914" spans="7:7" x14ac:dyDescent="0.25">
      <c r="G1914" s="21"/>
    </row>
    <row r="1915" spans="7:7" x14ac:dyDescent="0.25">
      <c r="G1915" s="21"/>
    </row>
    <row r="1916" spans="7:7" x14ac:dyDescent="0.25">
      <c r="G1916" s="21"/>
    </row>
    <row r="1917" spans="7:7" x14ac:dyDescent="0.25">
      <c r="G1917" s="21"/>
    </row>
    <row r="1918" spans="7:7" x14ac:dyDescent="0.25">
      <c r="G1918" s="21"/>
    </row>
    <row r="1919" spans="7:7" x14ac:dyDescent="0.25">
      <c r="G1919" s="21"/>
    </row>
    <row r="1920" spans="7:7" x14ac:dyDescent="0.25">
      <c r="G1920" s="21"/>
    </row>
    <row r="1921" spans="7:7" x14ac:dyDescent="0.25">
      <c r="G1921" s="21"/>
    </row>
    <row r="1922" spans="7:7" x14ac:dyDescent="0.25">
      <c r="G1922" s="21"/>
    </row>
    <row r="1923" spans="7:7" x14ac:dyDescent="0.25">
      <c r="G1923" s="21"/>
    </row>
    <row r="1924" spans="7:7" x14ac:dyDescent="0.25">
      <c r="G1924" s="21"/>
    </row>
    <row r="1925" spans="7:7" x14ac:dyDescent="0.25">
      <c r="G1925" s="21"/>
    </row>
    <row r="1926" spans="7:7" x14ac:dyDescent="0.25">
      <c r="G1926" s="21"/>
    </row>
    <row r="1927" spans="7:7" x14ac:dyDescent="0.25">
      <c r="G1927" s="21"/>
    </row>
    <row r="1928" spans="7:7" x14ac:dyDescent="0.25">
      <c r="G1928" s="21"/>
    </row>
    <row r="1929" spans="7:7" x14ac:dyDescent="0.25">
      <c r="G1929" s="21"/>
    </row>
    <row r="1930" spans="7:7" x14ac:dyDescent="0.25">
      <c r="G1930" s="21"/>
    </row>
    <row r="1931" spans="7:7" x14ac:dyDescent="0.25">
      <c r="G1931" s="21"/>
    </row>
    <row r="1932" spans="7:7" x14ac:dyDescent="0.25">
      <c r="G1932" s="21"/>
    </row>
    <row r="1933" spans="7:7" x14ac:dyDescent="0.25">
      <c r="G1933" s="21"/>
    </row>
    <row r="1934" spans="7:7" x14ac:dyDescent="0.25">
      <c r="G1934" s="21"/>
    </row>
    <row r="1935" spans="7:7" x14ac:dyDescent="0.25">
      <c r="G1935" s="21"/>
    </row>
    <row r="1936" spans="7:7" x14ac:dyDescent="0.25">
      <c r="G1936" s="21"/>
    </row>
    <row r="1937" spans="7:7" x14ac:dyDescent="0.25">
      <c r="G1937" s="21"/>
    </row>
    <row r="1938" spans="7:7" x14ac:dyDescent="0.25">
      <c r="G1938" s="21"/>
    </row>
    <row r="1939" spans="7:7" x14ac:dyDescent="0.25">
      <c r="G1939" s="21"/>
    </row>
    <row r="1940" spans="7:7" x14ac:dyDescent="0.25">
      <c r="G1940" s="21"/>
    </row>
    <row r="1941" spans="7:7" x14ac:dyDescent="0.25">
      <c r="G1941" s="21"/>
    </row>
    <row r="1942" spans="7:7" x14ac:dyDescent="0.25">
      <c r="G1942" s="21"/>
    </row>
    <row r="1943" spans="7:7" x14ac:dyDescent="0.25">
      <c r="G1943" s="21"/>
    </row>
    <row r="1944" spans="7:7" x14ac:dyDescent="0.25">
      <c r="G1944" s="21"/>
    </row>
    <row r="1945" spans="7:7" x14ac:dyDescent="0.25">
      <c r="G1945" s="21"/>
    </row>
    <row r="1946" spans="7:7" x14ac:dyDescent="0.25">
      <c r="G1946" s="21"/>
    </row>
    <row r="1947" spans="7:7" x14ac:dyDescent="0.25">
      <c r="G1947" s="21"/>
    </row>
    <row r="1948" spans="7:7" x14ac:dyDescent="0.25">
      <c r="G1948" s="21"/>
    </row>
    <row r="1949" spans="7:7" x14ac:dyDescent="0.25">
      <c r="G1949" s="21"/>
    </row>
    <row r="1950" spans="7:7" x14ac:dyDescent="0.25">
      <c r="G1950" s="21"/>
    </row>
    <row r="1951" spans="7:7" x14ac:dyDescent="0.25">
      <c r="G1951" s="21"/>
    </row>
    <row r="1952" spans="7:7" x14ac:dyDescent="0.25">
      <c r="G1952" s="21"/>
    </row>
    <row r="1953" spans="7:7" x14ac:dyDescent="0.25">
      <c r="G1953" s="21"/>
    </row>
    <row r="1954" spans="7:7" x14ac:dyDescent="0.25">
      <c r="G1954" s="21"/>
    </row>
    <row r="1955" spans="7:7" x14ac:dyDescent="0.25">
      <c r="G1955" s="21"/>
    </row>
    <row r="1956" spans="7:7" x14ac:dyDescent="0.25">
      <c r="G1956" s="21"/>
    </row>
    <row r="1957" spans="7:7" x14ac:dyDescent="0.25">
      <c r="G1957" s="21"/>
    </row>
    <row r="1958" spans="7:7" x14ac:dyDescent="0.25">
      <c r="G1958" s="21"/>
    </row>
    <row r="1959" spans="7:7" x14ac:dyDescent="0.25">
      <c r="G1959" s="21"/>
    </row>
    <row r="1960" spans="7:7" x14ac:dyDescent="0.25">
      <c r="G1960" s="21"/>
    </row>
    <row r="1961" spans="7:7" x14ac:dyDescent="0.25">
      <c r="G1961" s="21"/>
    </row>
    <row r="1962" spans="7:7" x14ac:dyDescent="0.25">
      <c r="G1962" s="21"/>
    </row>
    <row r="1963" spans="7:7" x14ac:dyDescent="0.25">
      <c r="G1963" s="21"/>
    </row>
    <row r="1964" spans="7:7" x14ac:dyDescent="0.25">
      <c r="G1964" s="21"/>
    </row>
    <row r="1965" spans="7:7" x14ac:dyDescent="0.25">
      <c r="G1965" s="21"/>
    </row>
    <row r="1966" spans="7:7" x14ac:dyDescent="0.25">
      <c r="G1966" s="21"/>
    </row>
    <row r="1967" spans="7:7" x14ac:dyDescent="0.25">
      <c r="G1967" s="21"/>
    </row>
    <row r="1968" spans="7:7" x14ac:dyDescent="0.25">
      <c r="G1968" s="21"/>
    </row>
    <row r="1969" spans="7:7" x14ac:dyDescent="0.25">
      <c r="G1969" s="21"/>
    </row>
    <row r="1970" spans="7:7" x14ac:dyDescent="0.25">
      <c r="G1970" s="21"/>
    </row>
    <row r="1971" spans="7:7" x14ac:dyDescent="0.25">
      <c r="G1971" s="21"/>
    </row>
    <row r="1972" spans="7:7" x14ac:dyDescent="0.25">
      <c r="G1972" s="21"/>
    </row>
    <row r="1973" spans="7:7" x14ac:dyDescent="0.25">
      <c r="G1973" s="21"/>
    </row>
    <row r="1974" spans="7:7" x14ac:dyDescent="0.25">
      <c r="G1974" s="21"/>
    </row>
    <row r="1975" spans="7:7" x14ac:dyDescent="0.25">
      <c r="G1975" s="21"/>
    </row>
    <row r="1976" spans="7:7" x14ac:dyDescent="0.25">
      <c r="G1976" s="21"/>
    </row>
    <row r="1977" spans="7:7" x14ac:dyDescent="0.25">
      <c r="G1977" s="21"/>
    </row>
    <row r="1978" spans="7:7" x14ac:dyDescent="0.25">
      <c r="G1978" s="21"/>
    </row>
    <row r="1979" spans="7:7" x14ac:dyDescent="0.25">
      <c r="G1979" s="21"/>
    </row>
    <row r="1980" spans="7:7" x14ac:dyDescent="0.25">
      <c r="G1980" s="21"/>
    </row>
    <row r="1981" spans="7:7" x14ac:dyDescent="0.25">
      <c r="G1981" s="21"/>
    </row>
    <row r="1982" spans="7:7" x14ac:dyDescent="0.25">
      <c r="G1982" s="21"/>
    </row>
    <row r="1983" spans="7:7" x14ac:dyDescent="0.25">
      <c r="G1983" s="21"/>
    </row>
    <row r="1984" spans="7:7" x14ac:dyDescent="0.25">
      <c r="G1984" s="21"/>
    </row>
    <row r="1985" spans="7:7" x14ac:dyDescent="0.25">
      <c r="G1985" s="21"/>
    </row>
    <row r="1986" spans="7:7" x14ac:dyDescent="0.25">
      <c r="G1986" s="21"/>
    </row>
    <row r="1987" spans="7:7" x14ac:dyDescent="0.25">
      <c r="G1987" s="21"/>
    </row>
    <row r="1988" spans="7:7" x14ac:dyDescent="0.25">
      <c r="G1988" s="21"/>
    </row>
    <row r="1989" spans="7:7" x14ac:dyDescent="0.25">
      <c r="G1989" s="21"/>
    </row>
    <row r="1990" spans="7:7" x14ac:dyDescent="0.25">
      <c r="G1990" s="21"/>
    </row>
    <row r="1991" spans="7:7" x14ac:dyDescent="0.25">
      <c r="G1991" s="21"/>
    </row>
    <row r="1992" spans="7:7" x14ac:dyDescent="0.25">
      <c r="G1992" s="21"/>
    </row>
    <row r="1993" spans="7:7" x14ac:dyDescent="0.25">
      <c r="G1993" s="21"/>
    </row>
    <row r="1994" spans="7:7" x14ac:dyDescent="0.25">
      <c r="G1994" s="21"/>
    </row>
    <row r="1995" spans="7:7" x14ac:dyDescent="0.25">
      <c r="G1995" s="21"/>
    </row>
    <row r="1996" spans="7:7" x14ac:dyDescent="0.25">
      <c r="G1996" s="21"/>
    </row>
    <row r="1997" spans="7:7" x14ac:dyDescent="0.25">
      <c r="G1997" s="21"/>
    </row>
    <row r="1998" spans="7:7" x14ac:dyDescent="0.25">
      <c r="G1998" s="21"/>
    </row>
    <row r="1999" spans="7:7" x14ac:dyDescent="0.25">
      <c r="G1999" s="21"/>
    </row>
    <row r="2000" spans="7:7" x14ac:dyDescent="0.25">
      <c r="G2000" s="21"/>
    </row>
    <row r="2001" spans="7:7" x14ac:dyDescent="0.25">
      <c r="G2001" s="21"/>
    </row>
    <row r="2002" spans="7:7" x14ac:dyDescent="0.25">
      <c r="G2002" s="21"/>
    </row>
    <row r="2003" spans="7:7" x14ac:dyDescent="0.25">
      <c r="G2003" s="21"/>
    </row>
    <row r="2004" spans="7:7" x14ac:dyDescent="0.25">
      <c r="G2004" s="21"/>
    </row>
    <row r="2005" spans="7:7" x14ac:dyDescent="0.25">
      <c r="G2005" s="21"/>
    </row>
    <row r="2006" spans="7:7" x14ac:dyDescent="0.25">
      <c r="G2006" s="21"/>
    </row>
    <row r="2007" spans="7:7" x14ac:dyDescent="0.25">
      <c r="G2007" s="21"/>
    </row>
    <row r="2008" spans="7:7" x14ac:dyDescent="0.25">
      <c r="G2008" s="21"/>
    </row>
    <row r="2009" spans="7:7" x14ac:dyDescent="0.25">
      <c r="G2009" s="21"/>
    </row>
    <row r="2010" spans="7:7" x14ac:dyDescent="0.25">
      <c r="G2010" s="21"/>
    </row>
    <row r="2011" spans="7:7" x14ac:dyDescent="0.25">
      <c r="G2011" s="21"/>
    </row>
    <row r="2012" spans="7:7" x14ac:dyDescent="0.25">
      <c r="G2012" s="21"/>
    </row>
    <row r="2013" spans="7:7" x14ac:dyDescent="0.25">
      <c r="G2013" s="21"/>
    </row>
    <row r="2014" spans="7:7" x14ac:dyDescent="0.25">
      <c r="G2014" s="21"/>
    </row>
    <row r="2015" spans="7:7" x14ac:dyDescent="0.25">
      <c r="G2015" s="21"/>
    </row>
    <row r="2016" spans="7:7" x14ac:dyDescent="0.25">
      <c r="G2016" s="21"/>
    </row>
    <row r="2017" spans="7:7" x14ac:dyDescent="0.25">
      <c r="G2017" s="21"/>
    </row>
    <row r="2018" spans="7:7" x14ac:dyDescent="0.25">
      <c r="G2018" s="21"/>
    </row>
    <row r="2019" spans="7:7" x14ac:dyDescent="0.25">
      <c r="G2019" s="21"/>
    </row>
    <row r="2020" spans="7:7" x14ac:dyDescent="0.25">
      <c r="G2020" s="21"/>
    </row>
    <row r="2021" spans="7:7" x14ac:dyDescent="0.25">
      <c r="G2021" s="21"/>
    </row>
    <row r="2022" spans="7:7" x14ac:dyDescent="0.25">
      <c r="G2022" s="21"/>
    </row>
    <row r="2023" spans="7:7" x14ac:dyDescent="0.25">
      <c r="G2023" s="21"/>
    </row>
    <row r="2024" spans="7:7" x14ac:dyDescent="0.25">
      <c r="G2024" s="21"/>
    </row>
    <row r="2025" spans="7:7" x14ac:dyDescent="0.25">
      <c r="G2025" s="21"/>
    </row>
    <row r="2026" spans="7:7" x14ac:dyDescent="0.25">
      <c r="G2026" s="21"/>
    </row>
    <row r="2027" spans="7:7" x14ac:dyDescent="0.25">
      <c r="G2027" s="21"/>
    </row>
    <row r="2028" spans="7:7" x14ac:dyDescent="0.25">
      <c r="G2028" s="21"/>
    </row>
    <row r="2029" spans="7:7" x14ac:dyDescent="0.25">
      <c r="G2029" s="21"/>
    </row>
    <row r="2030" spans="7:7" x14ac:dyDescent="0.25">
      <c r="G2030" s="21"/>
    </row>
    <row r="2031" spans="7:7" x14ac:dyDescent="0.25">
      <c r="G2031" s="21"/>
    </row>
    <row r="2032" spans="7:7" x14ac:dyDescent="0.25">
      <c r="G2032" s="21"/>
    </row>
    <row r="2033" spans="7:7" x14ac:dyDescent="0.25">
      <c r="G2033" s="21"/>
    </row>
    <row r="2034" spans="7:7" x14ac:dyDescent="0.25">
      <c r="G2034" s="21"/>
    </row>
    <row r="2035" spans="7:7" x14ac:dyDescent="0.25">
      <c r="G2035" s="21"/>
    </row>
    <row r="2036" spans="7:7" x14ac:dyDescent="0.25">
      <c r="G2036" s="21"/>
    </row>
    <row r="2037" spans="7:7" x14ac:dyDescent="0.25">
      <c r="G2037" s="21"/>
    </row>
    <row r="2038" spans="7:7" x14ac:dyDescent="0.25">
      <c r="G2038" s="21"/>
    </row>
    <row r="2039" spans="7:7" x14ac:dyDescent="0.25">
      <c r="G2039" s="21"/>
    </row>
    <row r="2040" spans="7:7" x14ac:dyDescent="0.25">
      <c r="G2040" s="21"/>
    </row>
    <row r="2041" spans="7:7" x14ac:dyDescent="0.25">
      <c r="G2041" s="21"/>
    </row>
    <row r="2042" spans="7:7" x14ac:dyDescent="0.25">
      <c r="G2042" s="21"/>
    </row>
    <row r="2043" spans="7:7" x14ac:dyDescent="0.25">
      <c r="G2043" s="21"/>
    </row>
    <row r="2044" spans="7:7" x14ac:dyDescent="0.25">
      <c r="G2044" s="21"/>
    </row>
    <row r="2045" spans="7:7" x14ac:dyDescent="0.25">
      <c r="G2045" s="21"/>
    </row>
    <row r="2046" spans="7:7" x14ac:dyDescent="0.25">
      <c r="G2046" s="21"/>
    </row>
    <row r="2047" spans="7:7" x14ac:dyDescent="0.25">
      <c r="G2047" s="21"/>
    </row>
    <row r="2048" spans="7:7" x14ac:dyDescent="0.25">
      <c r="G2048" s="21"/>
    </row>
    <row r="2049" spans="7:7" x14ac:dyDescent="0.25">
      <c r="G2049" s="21"/>
    </row>
    <row r="2050" spans="7:7" x14ac:dyDescent="0.25">
      <c r="G2050" s="21"/>
    </row>
    <row r="2051" spans="7:7" x14ac:dyDescent="0.25">
      <c r="G2051" s="21"/>
    </row>
    <row r="2052" spans="7:7" x14ac:dyDescent="0.25">
      <c r="G2052" s="21"/>
    </row>
    <row r="2053" spans="7:7" x14ac:dyDescent="0.25">
      <c r="G2053" s="21"/>
    </row>
    <row r="2054" spans="7:7" x14ac:dyDescent="0.25">
      <c r="G2054" s="21"/>
    </row>
    <row r="2055" spans="7:7" x14ac:dyDescent="0.25">
      <c r="G2055" s="21"/>
    </row>
    <row r="2056" spans="7:7" x14ac:dyDescent="0.25">
      <c r="G2056" s="21"/>
    </row>
    <row r="2057" spans="7:7" x14ac:dyDescent="0.25">
      <c r="G2057" s="21"/>
    </row>
    <row r="2058" spans="7:7" x14ac:dyDescent="0.25">
      <c r="G2058" s="21"/>
    </row>
    <row r="2059" spans="7:7" x14ac:dyDescent="0.25">
      <c r="G2059" s="21"/>
    </row>
    <row r="2060" spans="7:7" x14ac:dyDescent="0.25">
      <c r="G2060" s="21"/>
    </row>
    <row r="2061" spans="7:7" x14ac:dyDescent="0.25">
      <c r="G2061" s="21"/>
    </row>
    <row r="2062" spans="7:7" x14ac:dyDescent="0.25">
      <c r="G2062" s="21"/>
    </row>
    <row r="2063" spans="7:7" x14ac:dyDescent="0.25">
      <c r="G2063" s="21"/>
    </row>
    <row r="2064" spans="7:7" x14ac:dyDescent="0.25">
      <c r="G2064" s="21"/>
    </row>
    <row r="2065" spans="7:7" x14ac:dyDescent="0.25">
      <c r="G2065" s="21"/>
    </row>
    <row r="2066" spans="7:7" x14ac:dyDescent="0.25">
      <c r="G2066" s="21"/>
    </row>
    <row r="2067" spans="7:7" x14ac:dyDescent="0.25">
      <c r="G2067" s="21"/>
    </row>
    <row r="2068" spans="7:7" x14ac:dyDescent="0.25">
      <c r="G2068" s="21"/>
    </row>
    <row r="2069" spans="7:7" x14ac:dyDescent="0.25">
      <c r="G2069" s="21"/>
    </row>
    <row r="2070" spans="7:7" x14ac:dyDescent="0.25">
      <c r="G2070" s="21"/>
    </row>
    <row r="2071" spans="7:7" x14ac:dyDescent="0.25">
      <c r="G2071" s="21"/>
    </row>
    <row r="2072" spans="7:7" x14ac:dyDescent="0.25">
      <c r="G2072" s="21"/>
    </row>
    <row r="2073" spans="7:7" x14ac:dyDescent="0.25">
      <c r="G2073" s="21"/>
    </row>
    <row r="2074" spans="7:7" x14ac:dyDescent="0.25">
      <c r="G2074" s="21"/>
    </row>
    <row r="2075" spans="7:7" x14ac:dyDescent="0.25">
      <c r="G2075" s="21"/>
    </row>
    <row r="2076" spans="7:7" x14ac:dyDescent="0.25">
      <c r="G2076" s="21"/>
    </row>
    <row r="2077" spans="7:7" x14ac:dyDescent="0.25">
      <c r="G2077" s="21"/>
    </row>
    <row r="2078" spans="7:7" x14ac:dyDescent="0.25">
      <c r="G2078" s="21"/>
    </row>
    <row r="2079" spans="7:7" x14ac:dyDescent="0.25">
      <c r="G2079" s="21"/>
    </row>
    <row r="2080" spans="7:7" x14ac:dyDescent="0.25">
      <c r="G2080" s="21"/>
    </row>
    <row r="2081" spans="7:7" x14ac:dyDescent="0.25">
      <c r="G2081" s="21"/>
    </row>
    <row r="2082" spans="7:7" x14ac:dyDescent="0.25">
      <c r="G2082" s="21"/>
    </row>
    <row r="2083" spans="7:7" x14ac:dyDescent="0.25">
      <c r="G2083" s="21"/>
    </row>
    <row r="2084" spans="7:7" x14ac:dyDescent="0.25">
      <c r="G2084" s="21"/>
    </row>
    <row r="2085" spans="7:7" x14ac:dyDescent="0.25">
      <c r="G2085" s="21"/>
    </row>
    <row r="2086" spans="7:7" x14ac:dyDescent="0.25">
      <c r="G2086" s="21"/>
    </row>
    <row r="2087" spans="7:7" x14ac:dyDescent="0.25">
      <c r="G2087" s="21"/>
    </row>
    <row r="2088" spans="7:7" x14ac:dyDescent="0.25">
      <c r="G2088" s="21"/>
    </row>
    <row r="2089" spans="7:7" x14ac:dyDescent="0.25">
      <c r="G2089" s="21"/>
    </row>
    <row r="2090" spans="7:7" x14ac:dyDescent="0.25">
      <c r="G2090" s="21"/>
    </row>
    <row r="2091" spans="7:7" x14ac:dyDescent="0.25">
      <c r="G2091" s="21"/>
    </row>
    <row r="2092" spans="7:7" x14ac:dyDescent="0.25">
      <c r="G2092" s="21"/>
    </row>
    <row r="2093" spans="7:7" x14ac:dyDescent="0.25">
      <c r="G2093" s="21"/>
    </row>
    <row r="2094" spans="7:7" x14ac:dyDescent="0.25">
      <c r="G2094" s="21"/>
    </row>
    <row r="2095" spans="7:7" x14ac:dyDescent="0.25">
      <c r="G2095" s="21"/>
    </row>
    <row r="2096" spans="7:7" x14ac:dyDescent="0.25">
      <c r="G2096" s="21"/>
    </row>
    <row r="2097" spans="7:7" x14ac:dyDescent="0.25">
      <c r="G2097" s="21"/>
    </row>
    <row r="2098" spans="7:7" x14ac:dyDescent="0.25">
      <c r="G2098" s="21"/>
    </row>
    <row r="2099" spans="7:7" x14ac:dyDescent="0.25">
      <c r="G2099" s="21"/>
    </row>
    <row r="2100" spans="7:7" x14ac:dyDescent="0.25">
      <c r="G2100" s="21"/>
    </row>
    <row r="2101" spans="7:7" x14ac:dyDescent="0.25">
      <c r="G2101" s="21"/>
    </row>
    <row r="2102" spans="7:7" x14ac:dyDescent="0.25">
      <c r="G2102" s="21"/>
    </row>
    <row r="2103" spans="7:7" x14ac:dyDescent="0.25">
      <c r="G2103" s="21"/>
    </row>
    <row r="2104" spans="7:7" x14ac:dyDescent="0.25">
      <c r="G2104" s="21"/>
    </row>
    <row r="2105" spans="7:7" x14ac:dyDescent="0.25">
      <c r="G2105" s="21"/>
    </row>
    <row r="2106" spans="7:7" x14ac:dyDescent="0.25">
      <c r="G2106" s="21"/>
    </row>
    <row r="2107" spans="7:7" x14ac:dyDescent="0.25">
      <c r="G2107" s="21"/>
    </row>
    <row r="2108" spans="7:7" x14ac:dyDescent="0.25">
      <c r="G2108" s="21"/>
    </row>
    <row r="2109" spans="7:7" x14ac:dyDescent="0.25">
      <c r="G2109" s="21"/>
    </row>
    <row r="2110" spans="7:7" x14ac:dyDescent="0.25">
      <c r="G2110" s="21"/>
    </row>
    <row r="2111" spans="7:7" x14ac:dyDescent="0.25">
      <c r="G2111" s="21"/>
    </row>
    <row r="2112" spans="7:7" x14ac:dyDescent="0.25">
      <c r="G2112" s="21"/>
    </row>
    <row r="2113" spans="7:7" x14ac:dyDescent="0.25">
      <c r="G2113" s="21"/>
    </row>
    <row r="2114" spans="7:7" x14ac:dyDescent="0.25">
      <c r="G2114" s="21"/>
    </row>
    <row r="2115" spans="7:7" x14ac:dyDescent="0.25">
      <c r="G2115" s="21"/>
    </row>
    <row r="2116" spans="7:7" x14ac:dyDescent="0.25">
      <c r="G2116" s="21"/>
    </row>
    <row r="2117" spans="7:7" x14ac:dyDescent="0.25">
      <c r="G2117" s="21"/>
    </row>
    <row r="2118" spans="7:7" x14ac:dyDescent="0.25">
      <c r="G2118" s="21"/>
    </row>
    <row r="2119" spans="7:7" x14ac:dyDescent="0.25">
      <c r="G2119" s="21"/>
    </row>
    <row r="2120" spans="7:7" x14ac:dyDescent="0.25">
      <c r="G2120" s="21"/>
    </row>
    <row r="2121" spans="7:7" x14ac:dyDescent="0.25">
      <c r="G2121" s="21"/>
    </row>
    <row r="2122" spans="7:7" x14ac:dyDescent="0.25">
      <c r="G2122" s="21"/>
    </row>
    <row r="2123" spans="7:7" x14ac:dyDescent="0.25">
      <c r="G2123" s="21"/>
    </row>
    <row r="2124" spans="7:7" x14ac:dyDescent="0.25">
      <c r="G2124" s="21"/>
    </row>
    <row r="2125" spans="7:7" x14ac:dyDescent="0.25">
      <c r="G2125" s="21"/>
    </row>
    <row r="2126" spans="7:7" x14ac:dyDescent="0.25">
      <c r="G2126" s="21"/>
    </row>
    <row r="2127" spans="7:7" x14ac:dyDescent="0.25">
      <c r="G2127" s="21"/>
    </row>
    <row r="2128" spans="7:7" x14ac:dyDescent="0.25">
      <c r="G2128" s="21"/>
    </row>
    <row r="2129" spans="7:7" x14ac:dyDescent="0.25">
      <c r="G2129" s="21"/>
    </row>
    <row r="2130" spans="7:7" x14ac:dyDescent="0.25">
      <c r="G2130" s="21"/>
    </row>
    <row r="2131" spans="7:7" x14ac:dyDescent="0.25">
      <c r="G2131" s="21"/>
    </row>
    <row r="2132" spans="7:7" x14ac:dyDescent="0.25">
      <c r="G2132" s="21"/>
    </row>
    <row r="2133" spans="7:7" x14ac:dyDescent="0.25">
      <c r="G2133" s="21"/>
    </row>
    <row r="2134" spans="7:7" x14ac:dyDescent="0.25">
      <c r="G2134" s="21"/>
    </row>
    <row r="2135" spans="7:7" x14ac:dyDescent="0.25">
      <c r="G2135" s="21"/>
    </row>
    <row r="2136" spans="7:7" x14ac:dyDescent="0.25">
      <c r="G2136" s="21"/>
    </row>
    <row r="2137" spans="7:7" x14ac:dyDescent="0.25">
      <c r="G2137" s="21"/>
    </row>
    <row r="2138" spans="7:7" x14ac:dyDescent="0.25">
      <c r="G2138" s="21"/>
    </row>
    <row r="2139" spans="7:7" x14ac:dyDescent="0.25">
      <c r="G2139" s="21"/>
    </row>
    <row r="2140" spans="7:7" x14ac:dyDescent="0.25">
      <c r="G2140" s="21"/>
    </row>
    <row r="2141" spans="7:7" x14ac:dyDescent="0.25">
      <c r="G2141" s="21"/>
    </row>
    <row r="2142" spans="7:7" x14ac:dyDescent="0.25">
      <c r="G2142" s="21"/>
    </row>
    <row r="2143" spans="7:7" x14ac:dyDescent="0.25">
      <c r="G2143" s="21"/>
    </row>
    <row r="2144" spans="7:7" x14ac:dyDescent="0.25">
      <c r="G2144" s="21"/>
    </row>
    <row r="2145" spans="7:7" x14ac:dyDescent="0.25">
      <c r="G2145" s="21"/>
    </row>
    <row r="2146" spans="7:7" x14ac:dyDescent="0.25">
      <c r="G2146" s="21"/>
    </row>
    <row r="2147" spans="7:7" x14ac:dyDescent="0.25">
      <c r="G2147" s="21"/>
    </row>
    <row r="2148" spans="7:7" x14ac:dyDescent="0.25">
      <c r="G2148" s="21"/>
    </row>
    <row r="2149" spans="7:7" x14ac:dyDescent="0.25">
      <c r="G2149" s="21"/>
    </row>
    <row r="2150" spans="7:7" x14ac:dyDescent="0.25">
      <c r="G2150" s="21"/>
    </row>
    <row r="2151" spans="7:7" x14ac:dyDescent="0.25">
      <c r="G2151" s="21"/>
    </row>
    <row r="2152" spans="7:7" x14ac:dyDescent="0.25">
      <c r="G2152" s="21"/>
    </row>
    <row r="2153" spans="7:7" x14ac:dyDescent="0.25">
      <c r="G2153" s="21"/>
    </row>
    <row r="2154" spans="7:7" x14ac:dyDescent="0.25">
      <c r="G2154" s="21"/>
    </row>
    <row r="2155" spans="7:7" x14ac:dyDescent="0.25">
      <c r="G2155" s="21"/>
    </row>
    <row r="2156" spans="7:7" x14ac:dyDescent="0.25">
      <c r="G2156" s="21"/>
    </row>
    <row r="2157" spans="7:7" x14ac:dyDescent="0.25">
      <c r="G2157" s="21"/>
    </row>
    <row r="2158" spans="7:7" x14ac:dyDescent="0.25">
      <c r="G2158" s="21"/>
    </row>
    <row r="2159" spans="7:7" x14ac:dyDescent="0.25">
      <c r="G2159" s="21"/>
    </row>
    <row r="2160" spans="7:7" x14ac:dyDescent="0.25">
      <c r="G2160" s="21"/>
    </row>
    <row r="2161" spans="7:7" x14ac:dyDescent="0.25">
      <c r="G2161" s="21"/>
    </row>
    <row r="2162" spans="7:7" x14ac:dyDescent="0.25">
      <c r="G2162" s="21"/>
    </row>
    <row r="2163" spans="7:7" x14ac:dyDescent="0.25">
      <c r="G2163" s="21"/>
    </row>
    <row r="2164" spans="7:7" x14ac:dyDescent="0.25">
      <c r="G2164" s="21"/>
    </row>
    <row r="2165" spans="7:7" x14ac:dyDescent="0.25">
      <c r="G2165" s="21"/>
    </row>
    <row r="2166" spans="7:7" x14ac:dyDescent="0.25">
      <c r="G2166" s="21"/>
    </row>
    <row r="2167" spans="7:7" x14ac:dyDescent="0.25">
      <c r="G2167" s="21"/>
    </row>
    <row r="2168" spans="7:7" x14ac:dyDescent="0.25">
      <c r="G2168" s="21"/>
    </row>
    <row r="2169" spans="7:7" x14ac:dyDescent="0.25">
      <c r="G2169" s="21"/>
    </row>
    <row r="2170" spans="7:7" x14ac:dyDescent="0.25">
      <c r="G2170" s="21"/>
    </row>
    <row r="2171" spans="7:7" x14ac:dyDescent="0.25">
      <c r="G2171" s="21"/>
    </row>
    <row r="2172" spans="7:7" x14ac:dyDescent="0.25">
      <c r="G2172" s="21"/>
    </row>
    <row r="2173" spans="7:7" x14ac:dyDescent="0.25">
      <c r="G2173" s="21"/>
    </row>
    <row r="2174" spans="7:7" x14ac:dyDescent="0.25">
      <c r="G2174" s="21"/>
    </row>
    <row r="2175" spans="7:7" x14ac:dyDescent="0.25">
      <c r="G2175" s="21"/>
    </row>
    <row r="2176" spans="7:7" x14ac:dyDescent="0.25">
      <c r="G2176" s="21"/>
    </row>
    <row r="2177" spans="7:7" x14ac:dyDescent="0.25">
      <c r="G2177" s="21"/>
    </row>
    <row r="2178" spans="7:7" x14ac:dyDescent="0.25">
      <c r="G2178" s="21"/>
    </row>
    <row r="2179" spans="7:7" x14ac:dyDescent="0.25">
      <c r="G2179" s="21"/>
    </row>
    <row r="2180" spans="7:7" x14ac:dyDescent="0.25">
      <c r="G2180" s="21"/>
    </row>
    <row r="2181" spans="7:7" x14ac:dyDescent="0.25">
      <c r="G2181" s="21"/>
    </row>
    <row r="2182" spans="7:7" x14ac:dyDescent="0.25">
      <c r="G2182" s="21"/>
    </row>
    <row r="2183" spans="7:7" x14ac:dyDescent="0.25">
      <c r="G2183" s="21"/>
    </row>
    <row r="2184" spans="7:7" x14ac:dyDescent="0.25">
      <c r="G2184" s="21"/>
    </row>
    <row r="2185" spans="7:7" x14ac:dyDescent="0.25">
      <c r="G2185" s="21"/>
    </row>
    <row r="2186" spans="7:7" x14ac:dyDescent="0.25">
      <c r="G2186" s="21"/>
    </row>
    <row r="2187" spans="7:7" x14ac:dyDescent="0.25">
      <c r="G2187" s="21"/>
    </row>
    <row r="2188" spans="7:7" x14ac:dyDescent="0.25">
      <c r="G2188" s="21"/>
    </row>
    <row r="2189" spans="7:7" x14ac:dyDescent="0.25">
      <c r="G2189" s="21"/>
    </row>
    <row r="2190" spans="7:7" x14ac:dyDescent="0.25">
      <c r="G2190" s="21"/>
    </row>
    <row r="2191" spans="7:7" x14ac:dyDescent="0.25">
      <c r="G2191" s="21"/>
    </row>
    <row r="2192" spans="7:7" x14ac:dyDescent="0.25">
      <c r="G2192" s="21"/>
    </row>
    <row r="2193" spans="7:7" x14ac:dyDescent="0.25">
      <c r="G2193" s="21"/>
    </row>
    <row r="2194" spans="7:7" x14ac:dyDescent="0.25">
      <c r="G2194" s="21"/>
    </row>
    <row r="2195" spans="7:7" x14ac:dyDescent="0.25">
      <c r="G2195" s="21"/>
    </row>
    <row r="2196" spans="7:7" x14ac:dyDescent="0.25">
      <c r="G2196" s="21"/>
    </row>
    <row r="2197" spans="7:7" x14ac:dyDescent="0.25">
      <c r="G2197" s="21"/>
    </row>
    <row r="2198" spans="7:7" x14ac:dyDescent="0.25">
      <c r="G2198" s="21"/>
    </row>
    <row r="2199" spans="7:7" x14ac:dyDescent="0.25">
      <c r="G2199" s="21"/>
    </row>
    <row r="2200" spans="7:7" x14ac:dyDescent="0.25">
      <c r="G2200" s="21"/>
    </row>
    <row r="2201" spans="7:7" x14ac:dyDescent="0.25">
      <c r="G2201" s="21"/>
    </row>
    <row r="2202" spans="7:7" x14ac:dyDescent="0.25">
      <c r="G2202" s="21"/>
    </row>
    <row r="2203" spans="7:7" x14ac:dyDescent="0.25">
      <c r="G2203" s="21"/>
    </row>
    <row r="2204" spans="7:7" x14ac:dyDescent="0.25">
      <c r="G2204" s="21"/>
    </row>
    <row r="2205" spans="7:7" x14ac:dyDescent="0.25">
      <c r="G2205" s="21"/>
    </row>
    <row r="2206" spans="7:7" x14ac:dyDescent="0.25">
      <c r="G2206" s="21"/>
    </row>
    <row r="2207" spans="7:7" x14ac:dyDescent="0.25">
      <c r="G2207" s="21"/>
    </row>
    <row r="2208" spans="7:7" x14ac:dyDescent="0.25">
      <c r="G2208" s="21"/>
    </row>
    <row r="2209" spans="7:7" x14ac:dyDescent="0.25">
      <c r="G2209" s="21"/>
    </row>
    <row r="2210" spans="7:7" x14ac:dyDescent="0.25">
      <c r="G2210" s="21"/>
    </row>
    <row r="2211" spans="7:7" x14ac:dyDescent="0.25">
      <c r="G2211" s="21"/>
    </row>
    <row r="2212" spans="7:7" x14ac:dyDescent="0.25">
      <c r="G2212" s="21"/>
    </row>
    <row r="2213" spans="7:7" x14ac:dyDescent="0.25">
      <c r="G2213" s="21"/>
    </row>
    <row r="2214" spans="7:7" x14ac:dyDescent="0.25">
      <c r="G2214" s="21"/>
    </row>
    <row r="2215" spans="7:7" x14ac:dyDescent="0.25">
      <c r="G2215" s="21"/>
    </row>
    <row r="2216" spans="7:7" x14ac:dyDescent="0.25">
      <c r="G2216" s="21"/>
    </row>
    <row r="2217" spans="7:7" x14ac:dyDescent="0.25">
      <c r="G2217" s="21"/>
    </row>
    <row r="2218" spans="7:7" x14ac:dyDescent="0.25">
      <c r="G2218" s="21"/>
    </row>
    <row r="2219" spans="7:7" x14ac:dyDescent="0.25">
      <c r="G2219" s="21"/>
    </row>
    <row r="2220" spans="7:7" x14ac:dyDescent="0.25">
      <c r="G2220" s="21"/>
    </row>
    <row r="2221" spans="7:7" x14ac:dyDescent="0.25">
      <c r="G2221" s="21"/>
    </row>
    <row r="2222" spans="7:7" x14ac:dyDescent="0.25">
      <c r="G2222" s="21"/>
    </row>
    <row r="2223" spans="7:7" x14ac:dyDescent="0.25">
      <c r="G2223" s="21"/>
    </row>
    <row r="2224" spans="7:7" x14ac:dyDescent="0.25">
      <c r="G2224" s="21"/>
    </row>
    <row r="2225" spans="7:7" x14ac:dyDescent="0.25">
      <c r="G2225" s="21"/>
    </row>
    <row r="2226" spans="7:7" x14ac:dyDescent="0.25">
      <c r="G2226" s="21"/>
    </row>
    <row r="2227" spans="7:7" x14ac:dyDescent="0.25">
      <c r="G2227" s="21"/>
    </row>
    <row r="2228" spans="7:7" x14ac:dyDescent="0.25">
      <c r="G2228" s="21"/>
    </row>
    <row r="2229" spans="7:7" x14ac:dyDescent="0.25">
      <c r="G2229" s="21"/>
    </row>
    <row r="2230" spans="7:7" x14ac:dyDescent="0.25">
      <c r="G2230" s="21"/>
    </row>
    <row r="2231" spans="7:7" x14ac:dyDescent="0.25">
      <c r="G2231" s="21"/>
    </row>
    <row r="2232" spans="7:7" x14ac:dyDescent="0.25">
      <c r="G2232" s="21"/>
    </row>
    <row r="2233" spans="7:7" x14ac:dyDescent="0.25">
      <c r="G2233" s="21"/>
    </row>
    <row r="2234" spans="7:7" x14ac:dyDescent="0.25">
      <c r="G2234" s="21"/>
    </row>
    <row r="2235" spans="7:7" x14ac:dyDescent="0.25">
      <c r="G2235" s="21"/>
    </row>
    <row r="2236" spans="7:7" x14ac:dyDescent="0.25">
      <c r="G2236" s="21"/>
    </row>
    <row r="2237" spans="7:7" x14ac:dyDescent="0.25">
      <c r="G2237" s="21"/>
    </row>
    <row r="2238" spans="7:7" x14ac:dyDescent="0.25">
      <c r="G2238" s="21"/>
    </row>
    <row r="2239" spans="7:7" x14ac:dyDescent="0.25">
      <c r="G2239" s="21"/>
    </row>
    <row r="2240" spans="7:7" x14ac:dyDescent="0.25">
      <c r="G2240" s="21"/>
    </row>
    <row r="2241" spans="7:7" x14ac:dyDescent="0.25">
      <c r="G2241" s="21"/>
    </row>
    <row r="2242" spans="7:7" x14ac:dyDescent="0.25">
      <c r="G2242" s="21"/>
    </row>
    <row r="2243" spans="7:7" x14ac:dyDescent="0.25">
      <c r="G2243" s="21"/>
    </row>
    <row r="2244" spans="7:7" x14ac:dyDescent="0.25">
      <c r="G2244" s="21"/>
    </row>
    <row r="2245" spans="7:7" x14ac:dyDescent="0.25">
      <c r="G2245" s="21"/>
    </row>
    <row r="2246" spans="7:7" x14ac:dyDescent="0.25">
      <c r="G2246" s="21"/>
    </row>
    <row r="2247" spans="7:7" x14ac:dyDescent="0.25">
      <c r="G2247" s="21"/>
    </row>
    <row r="2248" spans="7:7" x14ac:dyDescent="0.25">
      <c r="G2248" s="21"/>
    </row>
    <row r="2249" spans="7:7" x14ac:dyDescent="0.25">
      <c r="G2249" s="21"/>
    </row>
    <row r="2250" spans="7:7" x14ac:dyDescent="0.25">
      <c r="G2250" s="21"/>
    </row>
    <row r="2251" spans="7:7" x14ac:dyDescent="0.25">
      <c r="G2251" s="21"/>
    </row>
    <row r="2252" spans="7:7" x14ac:dyDescent="0.25">
      <c r="G2252" s="21"/>
    </row>
    <row r="2253" spans="7:7" x14ac:dyDescent="0.25">
      <c r="G2253" s="21"/>
    </row>
    <row r="2254" spans="7:7" x14ac:dyDescent="0.25">
      <c r="G2254" s="21"/>
    </row>
    <row r="2255" spans="7:7" x14ac:dyDescent="0.25">
      <c r="G2255" s="21"/>
    </row>
    <row r="2256" spans="7:7" x14ac:dyDescent="0.25">
      <c r="G2256" s="21"/>
    </row>
    <row r="2257" spans="7:7" x14ac:dyDescent="0.25">
      <c r="G2257" s="21"/>
    </row>
    <row r="2258" spans="7:7" x14ac:dyDescent="0.25">
      <c r="G2258" s="21"/>
    </row>
    <row r="2259" spans="7:7" x14ac:dyDescent="0.25">
      <c r="G2259" s="21"/>
    </row>
    <row r="2260" spans="7:7" x14ac:dyDescent="0.25">
      <c r="G2260" s="21"/>
    </row>
    <row r="2261" spans="7:7" x14ac:dyDescent="0.25">
      <c r="G2261" s="21"/>
    </row>
    <row r="2262" spans="7:7" x14ac:dyDescent="0.25">
      <c r="G2262" s="21"/>
    </row>
    <row r="2263" spans="7:7" x14ac:dyDescent="0.25">
      <c r="G2263" s="21"/>
    </row>
    <row r="2264" spans="7:7" x14ac:dyDescent="0.25">
      <c r="G2264" s="21"/>
    </row>
    <row r="2265" spans="7:7" x14ac:dyDescent="0.25">
      <c r="G2265" s="21"/>
    </row>
    <row r="2266" spans="7:7" x14ac:dyDescent="0.25">
      <c r="G2266" s="21"/>
    </row>
    <row r="2267" spans="7:7" x14ac:dyDescent="0.25">
      <c r="G2267" s="21"/>
    </row>
    <row r="2268" spans="7:7" x14ac:dyDescent="0.25">
      <c r="G2268" s="21"/>
    </row>
    <row r="2269" spans="7:7" x14ac:dyDescent="0.25">
      <c r="G2269" s="21"/>
    </row>
    <row r="2270" spans="7:7" x14ac:dyDescent="0.25">
      <c r="G2270" s="21"/>
    </row>
    <row r="2271" spans="7:7" x14ac:dyDescent="0.25">
      <c r="G2271" s="21"/>
    </row>
    <row r="2272" spans="7:7" x14ac:dyDescent="0.25">
      <c r="G2272" s="21"/>
    </row>
    <row r="2273" spans="7:7" x14ac:dyDescent="0.25">
      <c r="G2273" s="21"/>
    </row>
    <row r="2274" spans="7:7" x14ac:dyDescent="0.25">
      <c r="G2274" s="21"/>
    </row>
    <row r="2275" spans="7:7" x14ac:dyDescent="0.25">
      <c r="G2275" s="21"/>
    </row>
    <row r="2276" spans="7:7" x14ac:dyDescent="0.25">
      <c r="G2276" s="21"/>
    </row>
    <row r="2277" spans="7:7" x14ac:dyDescent="0.25">
      <c r="G2277" s="21"/>
    </row>
    <row r="2278" spans="7:7" x14ac:dyDescent="0.25">
      <c r="G2278" s="21"/>
    </row>
    <row r="2279" spans="7:7" x14ac:dyDescent="0.25">
      <c r="G2279" s="21"/>
    </row>
    <row r="2280" spans="7:7" x14ac:dyDescent="0.25">
      <c r="G2280" s="21"/>
    </row>
    <row r="2281" spans="7:7" x14ac:dyDescent="0.25">
      <c r="G2281" s="21"/>
    </row>
    <row r="2282" spans="7:7" x14ac:dyDescent="0.25">
      <c r="G2282" s="21"/>
    </row>
    <row r="2283" spans="7:7" x14ac:dyDescent="0.25">
      <c r="G2283" s="21"/>
    </row>
    <row r="2284" spans="7:7" x14ac:dyDescent="0.25">
      <c r="G2284" s="21"/>
    </row>
    <row r="2285" spans="7:7" x14ac:dyDescent="0.25">
      <c r="G2285" s="21"/>
    </row>
    <row r="2286" spans="7:7" x14ac:dyDescent="0.25">
      <c r="G2286" s="21"/>
    </row>
    <row r="2287" spans="7:7" x14ac:dyDescent="0.25">
      <c r="G2287" s="21"/>
    </row>
    <row r="2288" spans="7:7" x14ac:dyDescent="0.25">
      <c r="G2288" s="21"/>
    </row>
    <row r="2289" spans="7:7" x14ac:dyDescent="0.25">
      <c r="G2289" s="21"/>
    </row>
    <row r="2290" spans="7:7" x14ac:dyDescent="0.25">
      <c r="G2290" s="21"/>
    </row>
    <row r="2291" spans="7:7" x14ac:dyDescent="0.25">
      <c r="G2291" s="21"/>
    </row>
    <row r="2292" spans="7:7" x14ac:dyDescent="0.25">
      <c r="G2292" s="21"/>
    </row>
    <row r="2293" spans="7:7" x14ac:dyDescent="0.25">
      <c r="G2293" s="21"/>
    </row>
    <row r="2294" spans="7:7" x14ac:dyDescent="0.25">
      <c r="G2294" s="21"/>
    </row>
    <row r="2295" spans="7:7" x14ac:dyDescent="0.25">
      <c r="G2295" s="21"/>
    </row>
    <row r="2296" spans="7:7" x14ac:dyDescent="0.25">
      <c r="G2296" s="21"/>
    </row>
    <row r="2297" spans="7:7" x14ac:dyDescent="0.25">
      <c r="G2297" s="21"/>
    </row>
    <row r="2298" spans="7:7" x14ac:dyDescent="0.25">
      <c r="G2298" s="21"/>
    </row>
    <row r="2299" spans="7:7" x14ac:dyDescent="0.25">
      <c r="G2299" s="21"/>
    </row>
    <row r="2300" spans="7:7" x14ac:dyDescent="0.25">
      <c r="G2300" s="21"/>
    </row>
    <row r="2301" spans="7:7" x14ac:dyDescent="0.25">
      <c r="G2301" s="21"/>
    </row>
    <row r="2302" spans="7:7" x14ac:dyDescent="0.25">
      <c r="G2302" s="21"/>
    </row>
    <row r="2303" spans="7:7" x14ac:dyDescent="0.25">
      <c r="G2303" s="21"/>
    </row>
    <row r="2304" spans="7:7" x14ac:dyDescent="0.25">
      <c r="G2304" s="21"/>
    </row>
    <row r="2305" spans="7:7" x14ac:dyDescent="0.25">
      <c r="G2305" s="21"/>
    </row>
    <row r="2306" spans="7:7" x14ac:dyDescent="0.25">
      <c r="G2306" s="21"/>
    </row>
    <row r="2307" spans="7:7" x14ac:dyDescent="0.25">
      <c r="G2307" s="21"/>
    </row>
    <row r="2308" spans="7:7" x14ac:dyDescent="0.25">
      <c r="G2308" s="21"/>
    </row>
    <row r="2309" spans="7:7" x14ac:dyDescent="0.25">
      <c r="G2309" s="21"/>
    </row>
    <row r="2310" spans="7:7" x14ac:dyDescent="0.25">
      <c r="G2310" s="21"/>
    </row>
    <row r="2311" spans="7:7" x14ac:dyDescent="0.25">
      <c r="G2311" s="21"/>
    </row>
    <row r="2312" spans="7:7" x14ac:dyDescent="0.25">
      <c r="G2312" s="21"/>
    </row>
    <row r="2313" spans="7:7" x14ac:dyDescent="0.25">
      <c r="G2313" s="21"/>
    </row>
    <row r="2314" spans="7:7" x14ac:dyDescent="0.25">
      <c r="G2314" s="21"/>
    </row>
    <row r="2315" spans="7:7" x14ac:dyDescent="0.25">
      <c r="G2315" s="21"/>
    </row>
    <row r="2316" spans="7:7" x14ac:dyDescent="0.25">
      <c r="G2316" s="21"/>
    </row>
    <row r="2317" spans="7:7" x14ac:dyDescent="0.25">
      <c r="G2317" s="21"/>
    </row>
    <row r="2318" spans="7:7" x14ac:dyDescent="0.25">
      <c r="G2318" s="21"/>
    </row>
    <row r="2319" spans="7:7" x14ac:dyDescent="0.25">
      <c r="G2319" s="21"/>
    </row>
    <row r="2320" spans="7:7" x14ac:dyDescent="0.25">
      <c r="G2320" s="21"/>
    </row>
    <row r="2321" spans="7:7" x14ac:dyDescent="0.25">
      <c r="G2321" s="21"/>
    </row>
    <row r="2322" spans="7:7" x14ac:dyDescent="0.25">
      <c r="G2322" s="21"/>
    </row>
    <row r="2323" spans="7:7" x14ac:dyDescent="0.25">
      <c r="G2323" s="21"/>
    </row>
    <row r="2324" spans="7:7" x14ac:dyDescent="0.25">
      <c r="G2324" s="21"/>
    </row>
    <row r="2325" spans="7:7" x14ac:dyDescent="0.25">
      <c r="G2325" s="21"/>
    </row>
    <row r="2326" spans="7:7" x14ac:dyDescent="0.25">
      <c r="G2326" s="21"/>
    </row>
    <row r="2327" spans="7:7" x14ac:dyDescent="0.25">
      <c r="G2327" s="21"/>
    </row>
    <row r="2328" spans="7:7" x14ac:dyDescent="0.25">
      <c r="G2328" s="21"/>
    </row>
    <row r="2329" spans="7:7" x14ac:dyDescent="0.25">
      <c r="G2329" s="21"/>
    </row>
    <row r="2330" spans="7:7" x14ac:dyDescent="0.25">
      <c r="G2330" s="21"/>
    </row>
    <row r="2331" spans="7:7" x14ac:dyDescent="0.25">
      <c r="G2331" s="21"/>
    </row>
    <row r="2332" spans="7:7" x14ac:dyDescent="0.25">
      <c r="G2332" s="21"/>
    </row>
    <row r="2333" spans="7:7" x14ac:dyDescent="0.25">
      <c r="G2333" s="21"/>
    </row>
    <row r="2334" spans="7:7" x14ac:dyDescent="0.25">
      <c r="G2334" s="21"/>
    </row>
    <row r="2335" spans="7:7" x14ac:dyDescent="0.25">
      <c r="G2335" s="21"/>
    </row>
    <row r="2336" spans="7:7" x14ac:dyDescent="0.25">
      <c r="G2336" s="21"/>
    </row>
    <row r="2337" spans="7:7" x14ac:dyDescent="0.25">
      <c r="G2337" s="21"/>
    </row>
    <row r="2338" spans="7:7" x14ac:dyDescent="0.25">
      <c r="G2338" s="21"/>
    </row>
    <row r="2339" spans="7:7" x14ac:dyDescent="0.25">
      <c r="G2339" s="21"/>
    </row>
    <row r="2340" spans="7:7" x14ac:dyDescent="0.25">
      <c r="G2340" s="21"/>
    </row>
    <row r="2341" spans="7:7" x14ac:dyDescent="0.25">
      <c r="G2341" s="21"/>
    </row>
    <row r="2342" spans="7:7" x14ac:dyDescent="0.25">
      <c r="G2342" s="21"/>
    </row>
    <row r="2343" spans="7:7" x14ac:dyDescent="0.25">
      <c r="G2343" s="21"/>
    </row>
    <row r="2344" spans="7:7" x14ac:dyDescent="0.25">
      <c r="G2344" s="21"/>
    </row>
    <row r="2345" spans="7:7" x14ac:dyDescent="0.25">
      <c r="G2345" s="21"/>
    </row>
    <row r="2346" spans="7:7" x14ac:dyDescent="0.25">
      <c r="G2346" s="21"/>
    </row>
    <row r="2347" spans="7:7" x14ac:dyDescent="0.25">
      <c r="G2347" s="21"/>
    </row>
    <row r="2348" spans="7:7" x14ac:dyDescent="0.25">
      <c r="G2348" s="21"/>
    </row>
    <row r="2349" spans="7:7" x14ac:dyDescent="0.25">
      <c r="G2349" s="21"/>
    </row>
    <row r="2350" spans="7:7" x14ac:dyDescent="0.25">
      <c r="G2350" s="21"/>
    </row>
    <row r="2351" spans="7:7" x14ac:dyDescent="0.25">
      <c r="G2351" s="21"/>
    </row>
    <row r="2352" spans="7:7" x14ac:dyDescent="0.25">
      <c r="G2352" s="21"/>
    </row>
    <row r="2353" spans="7:7" x14ac:dyDescent="0.25">
      <c r="G2353" s="21"/>
    </row>
    <row r="2354" spans="7:7" x14ac:dyDescent="0.25">
      <c r="G2354" s="21"/>
    </row>
    <row r="2355" spans="7:7" x14ac:dyDescent="0.25">
      <c r="G2355" s="21"/>
    </row>
    <row r="2356" spans="7:7" x14ac:dyDescent="0.25">
      <c r="G2356" s="21"/>
    </row>
    <row r="2357" spans="7:7" x14ac:dyDescent="0.25">
      <c r="G2357" s="21"/>
    </row>
    <row r="2358" spans="7:7" x14ac:dyDescent="0.25">
      <c r="G2358" s="21"/>
    </row>
    <row r="2359" spans="7:7" x14ac:dyDescent="0.25">
      <c r="G2359" s="21"/>
    </row>
    <row r="2360" spans="7:7" x14ac:dyDescent="0.25">
      <c r="G2360" s="21"/>
    </row>
    <row r="2361" spans="7:7" x14ac:dyDescent="0.25">
      <c r="G2361" s="21"/>
    </row>
    <row r="2362" spans="7:7" x14ac:dyDescent="0.25">
      <c r="G2362" s="21"/>
    </row>
    <row r="2363" spans="7:7" x14ac:dyDescent="0.25">
      <c r="G2363" s="21"/>
    </row>
    <row r="2364" spans="7:7" x14ac:dyDescent="0.25">
      <c r="G2364" s="21"/>
    </row>
    <row r="2365" spans="7:7" x14ac:dyDescent="0.25">
      <c r="G2365" s="21"/>
    </row>
    <row r="2366" spans="7:7" x14ac:dyDescent="0.25">
      <c r="G2366" s="21"/>
    </row>
    <row r="2367" spans="7:7" x14ac:dyDescent="0.25">
      <c r="G2367" s="21"/>
    </row>
    <row r="2368" spans="7:7" x14ac:dyDescent="0.25">
      <c r="G2368" s="21"/>
    </row>
    <row r="2369" spans="7:7" x14ac:dyDescent="0.25">
      <c r="G2369" s="21"/>
    </row>
    <row r="2370" spans="7:7" x14ac:dyDescent="0.25">
      <c r="G2370" s="21"/>
    </row>
    <row r="2371" spans="7:7" x14ac:dyDescent="0.25">
      <c r="G2371" s="21"/>
    </row>
    <row r="2372" spans="7:7" x14ac:dyDescent="0.25">
      <c r="G2372" s="21"/>
    </row>
    <row r="2373" spans="7:7" x14ac:dyDescent="0.25">
      <c r="G2373" s="21"/>
    </row>
    <row r="2374" spans="7:7" x14ac:dyDescent="0.25">
      <c r="G2374" s="21"/>
    </row>
    <row r="2375" spans="7:7" x14ac:dyDescent="0.25">
      <c r="G2375" s="21"/>
    </row>
    <row r="2376" spans="7:7" x14ac:dyDescent="0.25">
      <c r="G2376" s="21"/>
    </row>
    <row r="2377" spans="7:7" x14ac:dyDescent="0.25">
      <c r="G2377" s="21"/>
    </row>
    <row r="2378" spans="7:7" x14ac:dyDescent="0.25">
      <c r="G2378" s="21"/>
    </row>
    <row r="2379" spans="7:7" x14ac:dyDescent="0.25">
      <c r="G2379" s="21"/>
    </row>
    <row r="2380" spans="7:7" x14ac:dyDescent="0.25">
      <c r="G2380" s="21"/>
    </row>
    <row r="2381" spans="7:7" x14ac:dyDescent="0.25">
      <c r="G2381" s="21"/>
    </row>
    <row r="2382" spans="7:7" x14ac:dyDescent="0.25">
      <c r="G2382" s="21"/>
    </row>
    <row r="2383" spans="7:7" x14ac:dyDescent="0.25">
      <c r="G2383" s="21"/>
    </row>
    <row r="2384" spans="7:7" x14ac:dyDescent="0.25">
      <c r="G2384" s="21"/>
    </row>
    <row r="2385" spans="7:7" x14ac:dyDescent="0.25">
      <c r="G2385" s="21"/>
    </row>
    <row r="2386" spans="7:7" x14ac:dyDescent="0.25">
      <c r="G2386" s="21"/>
    </row>
    <row r="2387" spans="7:7" x14ac:dyDescent="0.25">
      <c r="G2387" s="21"/>
    </row>
    <row r="2388" spans="7:7" x14ac:dyDescent="0.25">
      <c r="G2388" s="21"/>
    </row>
    <row r="2389" spans="7:7" x14ac:dyDescent="0.25">
      <c r="G2389" s="21"/>
    </row>
    <row r="2390" spans="7:7" x14ac:dyDescent="0.25">
      <c r="G2390" s="21"/>
    </row>
    <row r="2391" spans="7:7" x14ac:dyDescent="0.25">
      <c r="G2391" s="21"/>
    </row>
    <row r="2392" spans="7:7" x14ac:dyDescent="0.25">
      <c r="G2392" s="21"/>
    </row>
    <row r="2393" spans="7:7" x14ac:dyDescent="0.25">
      <c r="G2393" s="21"/>
    </row>
    <row r="2394" spans="7:7" x14ac:dyDescent="0.25">
      <c r="G2394" s="21"/>
    </row>
    <row r="2395" spans="7:7" x14ac:dyDescent="0.25">
      <c r="G2395" s="21"/>
    </row>
    <row r="2396" spans="7:7" x14ac:dyDescent="0.25">
      <c r="G2396" s="21"/>
    </row>
    <row r="2397" spans="7:7" x14ac:dyDescent="0.25">
      <c r="G2397" s="21"/>
    </row>
    <row r="2398" spans="7:7" x14ac:dyDescent="0.25">
      <c r="G2398" s="21"/>
    </row>
    <row r="2399" spans="7:7" x14ac:dyDescent="0.25">
      <c r="G2399" s="21"/>
    </row>
    <row r="2400" spans="7:7" x14ac:dyDescent="0.25">
      <c r="G2400" s="21"/>
    </row>
    <row r="2401" spans="7:7" x14ac:dyDescent="0.25">
      <c r="G2401" s="21"/>
    </row>
    <row r="2402" spans="7:7" x14ac:dyDescent="0.25">
      <c r="G2402" s="21"/>
    </row>
    <row r="2403" spans="7:7" x14ac:dyDescent="0.25">
      <c r="G2403" s="21"/>
    </row>
    <row r="2404" spans="7:7" x14ac:dyDescent="0.25">
      <c r="G2404" s="21"/>
    </row>
    <row r="2405" spans="7:7" x14ac:dyDescent="0.25">
      <c r="G2405" s="21"/>
    </row>
    <row r="2406" spans="7:7" x14ac:dyDescent="0.25">
      <c r="G2406" s="21"/>
    </row>
    <row r="2407" spans="7:7" x14ac:dyDescent="0.25">
      <c r="G2407" s="21"/>
    </row>
    <row r="2408" spans="7:7" x14ac:dyDescent="0.25">
      <c r="G2408" s="21"/>
    </row>
    <row r="2409" spans="7:7" x14ac:dyDescent="0.25">
      <c r="G2409" s="21"/>
    </row>
    <row r="2410" spans="7:7" x14ac:dyDescent="0.25">
      <c r="G2410" s="21"/>
    </row>
    <row r="2411" spans="7:7" x14ac:dyDescent="0.25">
      <c r="G2411" s="21"/>
    </row>
    <row r="2412" spans="7:7" x14ac:dyDescent="0.25">
      <c r="G2412" s="21"/>
    </row>
    <row r="2413" spans="7:7" x14ac:dyDescent="0.25">
      <c r="G2413" s="21"/>
    </row>
    <row r="2414" spans="7:7" x14ac:dyDescent="0.25">
      <c r="G2414" s="21"/>
    </row>
    <row r="2415" spans="7:7" x14ac:dyDescent="0.25">
      <c r="G2415" s="21"/>
    </row>
    <row r="2416" spans="7:7" x14ac:dyDescent="0.25">
      <c r="G2416" s="21"/>
    </row>
    <row r="2417" spans="7:7" x14ac:dyDescent="0.25">
      <c r="G2417" s="21"/>
    </row>
    <row r="2418" spans="7:7" x14ac:dyDescent="0.25">
      <c r="G2418" s="21"/>
    </row>
    <row r="2419" spans="7:7" x14ac:dyDescent="0.25">
      <c r="G2419" s="21"/>
    </row>
    <row r="2420" spans="7:7" x14ac:dyDescent="0.25">
      <c r="G2420" s="21"/>
    </row>
    <row r="2421" spans="7:7" x14ac:dyDescent="0.25">
      <c r="G2421" s="21"/>
    </row>
    <row r="2422" spans="7:7" x14ac:dyDescent="0.25">
      <c r="G2422" s="21"/>
    </row>
    <row r="2423" spans="7:7" x14ac:dyDescent="0.25">
      <c r="G2423" s="21"/>
    </row>
    <row r="2424" spans="7:7" x14ac:dyDescent="0.25">
      <c r="G2424" s="21"/>
    </row>
    <row r="2425" spans="7:7" x14ac:dyDescent="0.25">
      <c r="G2425" s="21"/>
    </row>
    <row r="2426" spans="7:7" x14ac:dyDescent="0.25">
      <c r="G2426" s="21"/>
    </row>
    <row r="2427" spans="7:7" x14ac:dyDescent="0.25">
      <c r="G2427" s="21"/>
    </row>
    <row r="2428" spans="7:7" x14ac:dyDescent="0.25">
      <c r="G2428" s="21"/>
    </row>
    <row r="2429" spans="7:7" x14ac:dyDescent="0.25">
      <c r="G2429" s="21"/>
    </row>
    <row r="2430" spans="7:7" x14ac:dyDescent="0.25">
      <c r="G2430" s="21"/>
    </row>
    <row r="2431" spans="7:7" x14ac:dyDescent="0.25">
      <c r="G2431" s="21"/>
    </row>
    <row r="2432" spans="7:7" x14ac:dyDescent="0.25">
      <c r="G2432" s="21"/>
    </row>
    <row r="2433" spans="7:7" x14ac:dyDescent="0.25">
      <c r="G2433" s="21"/>
    </row>
    <row r="2434" spans="7:7" x14ac:dyDescent="0.25">
      <c r="G2434" s="21"/>
    </row>
    <row r="2435" spans="7:7" x14ac:dyDescent="0.25">
      <c r="G2435" s="21"/>
    </row>
    <row r="2436" spans="7:7" x14ac:dyDescent="0.25">
      <c r="G2436" s="21"/>
    </row>
    <row r="2437" spans="7:7" x14ac:dyDescent="0.25">
      <c r="G2437" s="21"/>
    </row>
    <row r="2438" spans="7:7" x14ac:dyDescent="0.25">
      <c r="G2438" s="21"/>
    </row>
    <row r="2439" spans="7:7" x14ac:dyDescent="0.25">
      <c r="G2439" s="21"/>
    </row>
    <row r="2440" spans="7:7" x14ac:dyDescent="0.25">
      <c r="G2440" s="21"/>
    </row>
    <row r="2441" spans="7:7" x14ac:dyDescent="0.25">
      <c r="G2441" s="21"/>
    </row>
    <row r="2442" spans="7:7" x14ac:dyDescent="0.25">
      <c r="G2442" s="21"/>
    </row>
    <row r="2443" spans="7:7" x14ac:dyDescent="0.25">
      <c r="G2443" s="21"/>
    </row>
    <row r="2444" spans="7:7" x14ac:dyDescent="0.25">
      <c r="G2444" s="21"/>
    </row>
    <row r="2445" spans="7:7" x14ac:dyDescent="0.25">
      <c r="G2445" s="21"/>
    </row>
    <row r="2446" spans="7:7" x14ac:dyDescent="0.25">
      <c r="G2446" s="21"/>
    </row>
    <row r="2447" spans="7:7" x14ac:dyDescent="0.25">
      <c r="G2447" s="21"/>
    </row>
    <row r="2448" spans="7:7" x14ac:dyDescent="0.25">
      <c r="G2448" s="21"/>
    </row>
    <row r="2449" spans="7:7" x14ac:dyDescent="0.25">
      <c r="G2449" s="21"/>
    </row>
    <row r="2450" spans="7:7" x14ac:dyDescent="0.25">
      <c r="G2450" s="21"/>
    </row>
    <row r="2451" spans="7:7" x14ac:dyDescent="0.25">
      <c r="G2451" s="21"/>
    </row>
    <row r="2452" spans="7:7" x14ac:dyDescent="0.25">
      <c r="G2452" s="21"/>
    </row>
    <row r="2453" spans="7:7" x14ac:dyDescent="0.25">
      <c r="G2453" s="21"/>
    </row>
    <row r="2454" spans="7:7" x14ac:dyDescent="0.25">
      <c r="G2454" s="21"/>
    </row>
    <row r="2455" spans="7:7" x14ac:dyDescent="0.25">
      <c r="G2455" s="21"/>
    </row>
    <row r="2456" spans="7:7" x14ac:dyDescent="0.25">
      <c r="G2456" s="21"/>
    </row>
    <row r="2457" spans="7:7" x14ac:dyDescent="0.25">
      <c r="G2457" s="21"/>
    </row>
    <row r="2458" spans="7:7" x14ac:dyDescent="0.25">
      <c r="G2458" s="21"/>
    </row>
    <row r="2459" spans="7:7" x14ac:dyDescent="0.25">
      <c r="G2459" s="21"/>
    </row>
    <row r="2460" spans="7:7" x14ac:dyDescent="0.25">
      <c r="G2460" s="21"/>
    </row>
    <row r="2461" spans="7:7" x14ac:dyDescent="0.25">
      <c r="G2461" s="21"/>
    </row>
    <row r="2462" spans="7:7" x14ac:dyDescent="0.25">
      <c r="G2462" s="21"/>
    </row>
    <row r="2463" spans="7:7" x14ac:dyDescent="0.25">
      <c r="G2463" s="21"/>
    </row>
    <row r="2464" spans="7:7" x14ac:dyDescent="0.25">
      <c r="G2464" s="21"/>
    </row>
    <row r="2465" spans="7:7" x14ac:dyDescent="0.25">
      <c r="G2465" s="21"/>
    </row>
    <row r="2466" spans="7:7" x14ac:dyDescent="0.25">
      <c r="G2466" s="21"/>
    </row>
    <row r="2467" spans="7:7" x14ac:dyDescent="0.25">
      <c r="G2467" s="21"/>
    </row>
    <row r="2468" spans="7:7" x14ac:dyDescent="0.25">
      <c r="G2468" s="21"/>
    </row>
    <row r="2469" spans="7:7" x14ac:dyDescent="0.25">
      <c r="G2469" s="21"/>
    </row>
    <row r="2470" spans="7:7" x14ac:dyDescent="0.25">
      <c r="G2470" s="21"/>
    </row>
    <row r="2471" spans="7:7" x14ac:dyDescent="0.25">
      <c r="G2471" s="21"/>
    </row>
    <row r="2472" spans="7:7" x14ac:dyDescent="0.25">
      <c r="G2472" s="21"/>
    </row>
    <row r="2473" spans="7:7" x14ac:dyDescent="0.25">
      <c r="G2473" s="21"/>
    </row>
    <row r="2474" spans="7:7" x14ac:dyDescent="0.25">
      <c r="G2474" s="21"/>
    </row>
    <row r="2475" spans="7:7" x14ac:dyDescent="0.25">
      <c r="G2475" s="21"/>
    </row>
    <row r="2476" spans="7:7" x14ac:dyDescent="0.25">
      <c r="G2476" s="21"/>
    </row>
    <row r="2477" spans="7:7" x14ac:dyDescent="0.25">
      <c r="G2477" s="21"/>
    </row>
    <row r="2478" spans="7:7" x14ac:dyDescent="0.25">
      <c r="G2478" s="21"/>
    </row>
    <row r="2479" spans="7:7" x14ac:dyDescent="0.25">
      <c r="G2479" s="21"/>
    </row>
    <row r="2480" spans="7:7" x14ac:dyDescent="0.25">
      <c r="G2480" s="21"/>
    </row>
    <row r="2481" spans="7:7" x14ac:dyDescent="0.25">
      <c r="G2481" s="21"/>
    </row>
    <row r="2482" spans="7:7" x14ac:dyDescent="0.25">
      <c r="G2482" s="21"/>
    </row>
    <row r="2483" spans="7:7" x14ac:dyDescent="0.25">
      <c r="G2483" s="21"/>
    </row>
    <row r="2484" spans="7:7" x14ac:dyDescent="0.25">
      <c r="G2484" s="21"/>
    </row>
    <row r="2485" spans="7:7" x14ac:dyDescent="0.25">
      <c r="G2485" s="21"/>
    </row>
    <row r="2486" spans="7:7" x14ac:dyDescent="0.25">
      <c r="G2486" s="21"/>
    </row>
    <row r="2487" spans="7:7" x14ac:dyDescent="0.25">
      <c r="G2487" s="21"/>
    </row>
    <row r="2488" spans="7:7" x14ac:dyDescent="0.25">
      <c r="G2488" s="21"/>
    </row>
    <row r="2489" spans="7:7" x14ac:dyDescent="0.25">
      <c r="G2489" s="21"/>
    </row>
    <row r="2490" spans="7:7" x14ac:dyDescent="0.25">
      <c r="G2490" s="21"/>
    </row>
    <row r="2491" spans="7:7" x14ac:dyDescent="0.25">
      <c r="G2491" s="21"/>
    </row>
    <row r="2492" spans="7:7" x14ac:dyDescent="0.25">
      <c r="G2492" s="21"/>
    </row>
    <row r="2493" spans="7:7" x14ac:dyDescent="0.25">
      <c r="G2493" s="21"/>
    </row>
    <row r="2494" spans="7:7" x14ac:dyDescent="0.25">
      <c r="G2494" s="21"/>
    </row>
    <row r="2495" spans="7:7" x14ac:dyDescent="0.25">
      <c r="G2495" s="21"/>
    </row>
    <row r="2496" spans="7:7" x14ac:dyDescent="0.25">
      <c r="G2496" s="21"/>
    </row>
    <row r="2497" spans="7:7" x14ac:dyDescent="0.25">
      <c r="G2497" s="21"/>
    </row>
    <row r="2498" spans="7:7" x14ac:dyDescent="0.25">
      <c r="G2498" s="21"/>
    </row>
    <row r="2499" spans="7:7" x14ac:dyDescent="0.25">
      <c r="G2499" s="21"/>
    </row>
    <row r="2500" spans="7:7" x14ac:dyDescent="0.25">
      <c r="G2500" s="21"/>
    </row>
    <row r="2501" spans="7:7" x14ac:dyDescent="0.25">
      <c r="G2501" s="21"/>
    </row>
    <row r="2502" spans="7:7" x14ac:dyDescent="0.25">
      <c r="G2502" s="21"/>
    </row>
    <row r="2503" spans="7:7" x14ac:dyDescent="0.25">
      <c r="G2503" s="21"/>
    </row>
    <row r="2504" spans="7:7" x14ac:dyDescent="0.25">
      <c r="G2504" s="21"/>
    </row>
    <row r="2505" spans="7:7" x14ac:dyDescent="0.25">
      <c r="G2505" s="21"/>
    </row>
    <row r="2506" spans="7:7" x14ac:dyDescent="0.25">
      <c r="G2506" s="21"/>
    </row>
    <row r="2507" spans="7:7" x14ac:dyDescent="0.25">
      <c r="G2507" s="21"/>
    </row>
    <row r="2508" spans="7:7" x14ac:dyDescent="0.25">
      <c r="G2508" s="21"/>
    </row>
    <row r="2509" spans="7:7" x14ac:dyDescent="0.25">
      <c r="G2509" s="21"/>
    </row>
    <row r="2510" spans="7:7" x14ac:dyDescent="0.25">
      <c r="G2510" s="21"/>
    </row>
    <row r="2511" spans="7:7" x14ac:dyDescent="0.25">
      <c r="G2511" s="21"/>
    </row>
    <row r="2512" spans="7:7" x14ac:dyDescent="0.25">
      <c r="G2512" s="21"/>
    </row>
    <row r="2513" spans="7:7" x14ac:dyDescent="0.25">
      <c r="G2513" s="21"/>
    </row>
    <row r="2514" spans="7:7" x14ac:dyDescent="0.25">
      <c r="G2514" s="21"/>
    </row>
    <row r="2515" spans="7:7" x14ac:dyDescent="0.25">
      <c r="G2515" s="21"/>
    </row>
    <row r="2516" spans="7:7" x14ac:dyDescent="0.25">
      <c r="G2516" s="21"/>
    </row>
    <row r="2517" spans="7:7" x14ac:dyDescent="0.25">
      <c r="G2517" s="21"/>
    </row>
    <row r="2518" spans="7:7" x14ac:dyDescent="0.25">
      <c r="G2518" s="21"/>
    </row>
    <row r="2519" spans="7:7" x14ac:dyDescent="0.25">
      <c r="G2519" s="21"/>
    </row>
    <row r="2520" spans="7:7" x14ac:dyDescent="0.25">
      <c r="G2520" s="21"/>
    </row>
    <row r="2521" spans="7:7" x14ac:dyDescent="0.25">
      <c r="G2521" s="21"/>
    </row>
    <row r="2522" spans="7:7" x14ac:dyDescent="0.25">
      <c r="G2522" s="21"/>
    </row>
    <row r="2523" spans="7:7" x14ac:dyDescent="0.25">
      <c r="G2523" s="21"/>
    </row>
    <row r="2524" spans="7:7" x14ac:dyDescent="0.25">
      <c r="G2524" s="21"/>
    </row>
    <row r="2525" spans="7:7" x14ac:dyDescent="0.25">
      <c r="G2525" s="21"/>
    </row>
    <row r="2526" spans="7:7" x14ac:dyDescent="0.25">
      <c r="G2526" s="21"/>
    </row>
    <row r="2527" spans="7:7" x14ac:dyDescent="0.25">
      <c r="G2527" s="21"/>
    </row>
    <row r="2528" spans="7:7" x14ac:dyDescent="0.25">
      <c r="G2528" s="21"/>
    </row>
    <row r="2529" spans="7:7" x14ac:dyDescent="0.25">
      <c r="G2529" s="21"/>
    </row>
    <row r="2530" spans="7:7" x14ac:dyDescent="0.25">
      <c r="G2530" s="21"/>
    </row>
    <row r="2531" spans="7:7" x14ac:dyDescent="0.25">
      <c r="G2531" s="21"/>
    </row>
    <row r="2532" spans="7:7" x14ac:dyDescent="0.25">
      <c r="G2532" s="21"/>
    </row>
    <row r="2533" spans="7:7" x14ac:dyDescent="0.25">
      <c r="G2533" s="21"/>
    </row>
    <row r="2534" spans="7:7" x14ac:dyDescent="0.25">
      <c r="G2534" s="21"/>
    </row>
    <row r="2535" spans="7:7" x14ac:dyDescent="0.25">
      <c r="G2535" s="21"/>
    </row>
    <row r="2536" spans="7:7" x14ac:dyDescent="0.25">
      <c r="G2536" s="21"/>
    </row>
    <row r="2537" spans="7:7" x14ac:dyDescent="0.25">
      <c r="G2537" s="21"/>
    </row>
    <row r="2538" spans="7:7" x14ac:dyDescent="0.25">
      <c r="G2538" s="21"/>
    </row>
    <row r="2539" spans="7:7" x14ac:dyDescent="0.25">
      <c r="G2539" s="21"/>
    </row>
    <row r="2540" spans="7:7" x14ac:dyDescent="0.25">
      <c r="G2540" s="21"/>
    </row>
    <row r="2541" spans="7:7" x14ac:dyDescent="0.25">
      <c r="G2541" s="21"/>
    </row>
    <row r="2542" spans="7:7" x14ac:dyDescent="0.25">
      <c r="G2542" s="21"/>
    </row>
    <row r="2543" spans="7:7" x14ac:dyDescent="0.25">
      <c r="G2543" s="21"/>
    </row>
    <row r="2544" spans="7:7" x14ac:dyDescent="0.25">
      <c r="G2544" s="21"/>
    </row>
    <row r="2545" spans="7:7" x14ac:dyDescent="0.25">
      <c r="G2545" s="21"/>
    </row>
    <row r="2546" spans="7:7" x14ac:dyDescent="0.25">
      <c r="G2546" s="21"/>
    </row>
    <row r="2547" spans="7:7" x14ac:dyDescent="0.25">
      <c r="G2547" s="21"/>
    </row>
    <row r="2548" spans="7:7" x14ac:dyDescent="0.25">
      <c r="G2548" s="21"/>
    </row>
    <row r="2549" spans="7:7" x14ac:dyDescent="0.25">
      <c r="G2549" s="21"/>
    </row>
    <row r="2550" spans="7:7" x14ac:dyDescent="0.25">
      <c r="G2550" s="21"/>
    </row>
    <row r="2551" spans="7:7" x14ac:dyDescent="0.25">
      <c r="G2551" s="21"/>
    </row>
    <row r="2552" spans="7:7" x14ac:dyDescent="0.25">
      <c r="G2552" s="21"/>
    </row>
    <row r="2553" spans="7:7" x14ac:dyDescent="0.25">
      <c r="G2553" s="21"/>
    </row>
    <row r="2554" spans="7:7" x14ac:dyDescent="0.25">
      <c r="G2554" s="21"/>
    </row>
    <row r="2555" spans="7:7" x14ac:dyDescent="0.25">
      <c r="G2555" s="21"/>
    </row>
    <row r="2556" spans="7:7" x14ac:dyDescent="0.25">
      <c r="G2556" s="21"/>
    </row>
    <row r="2557" spans="7:7" x14ac:dyDescent="0.25">
      <c r="G2557" s="21"/>
    </row>
    <row r="2558" spans="7:7" x14ac:dyDescent="0.25">
      <c r="G2558" s="21"/>
    </row>
    <row r="2559" spans="7:7" x14ac:dyDescent="0.25">
      <c r="G2559" s="21"/>
    </row>
    <row r="2560" spans="7:7" x14ac:dyDescent="0.25">
      <c r="G2560" s="21"/>
    </row>
    <row r="2561" spans="7:7" x14ac:dyDescent="0.25">
      <c r="G2561" s="21"/>
    </row>
    <row r="2562" spans="7:7" x14ac:dyDescent="0.25">
      <c r="G2562" s="21"/>
    </row>
    <row r="2563" spans="7:7" x14ac:dyDescent="0.25">
      <c r="G2563" s="21"/>
    </row>
    <row r="2564" spans="7:7" x14ac:dyDescent="0.25">
      <c r="G2564" s="21"/>
    </row>
    <row r="2565" spans="7:7" x14ac:dyDescent="0.25">
      <c r="G2565" s="21"/>
    </row>
    <row r="2566" spans="7:7" x14ac:dyDescent="0.25">
      <c r="G2566" s="21"/>
    </row>
    <row r="2567" spans="7:7" x14ac:dyDescent="0.25">
      <c r="G2567" s="21"/>
    </row>
    <row r="2568" spans="7:7" x14ac:dyDescent="0.25">
      <c r="G2568" s="21"/>
    </row>
    <row r="2569" spans="7:7" x14ac:dyDescent="0.25">
      <c r="G2569" s="21"/>
    </row>
    <row r="2570" spans="7:7" x14ac:dyDescent="0.25">
      <c r="G2570" s="21"/>
    </row>
    <row r="2571" spans="7:7" x14ac:dyDescent="0.25">
      <c r="G2571" s="21"/>
    </row>
    <row r="2572" spans="7:7" x14ac:dyDescent="0.25">
      <c r="G2572" s="21"/>
    </row>
    <row r="2573" spans="7:7" x14ac:dyDescent="0.25">
      <c r="G2573" s="21"/>
    </row>
    <row r="2574" spans="7:7" x14ac:dyDescent="0.25">
      <c r="G2574" s="21"/>
    </row>
    <row r="2575" spans="7:7" x14ac:dyDescent="0.25">
      <c r="G2575" s="21"/>
    </row>
    <row r="2576" spans="7:7" x14ac:dyDescent="0.25">
      <c r="G2576" s="21"/>
    </row>
    <row r="2577" spans="7:7" x14ac:dyDescent="0.25">
      <c r="G2577" s="21"/>
    </row>
    <row r="2578" spans="7:7" x14ac:dyDescent="0.25">
      <c r="G2578" s="21"/>
    </row>
    <row r="2579" spans="7:7" x14ac:dyDescent="0.25">
      <c r="G2579" s="21"/>
    </row>
    <row r="2580" spans="7:7" x14ac:dyDescent="0.25">
      <c r="G2580" s="21"/>
    </row>
    <row r="2581" spans="7:7" x14ac:dyDescent="0.25">
      <c r="G2581" s="21"/>
    </row>
    <row r="2582" spans="7:7" x14ac:dyDescent="0.25">
      <c r="G2582" s="21"/>
    </row>
    <row r="2583" spans="7:7" x14ac:dyDescent="0.25">
      <c r="G2583" s="21"/>
    </row>
    <row r="2584" spans="7:7" x14ac:dyDescent="0.25">
      <c r="G2584" s="21"/>
    </row>
    <row r="2585" spans="7:7" x14ac:dyDescent="0.25">
      <c r="G2585" s="21"/>
    </row>
    <row r="2586" spans="7:7" x14ac:dyDescent="0.25">
      <c r="G2586" s="21"/>
    </row>
    <row r="2587" spans="7:7" x14ac:dyDescent="0.25">
      <c r="G2587" s="21"/>
    </row>
    <row r="2588" spans="7:7" x14ac:dyDescent="0.25">
      <c r="G2588" s="21"/>
    </row>
    <row r="2589" spans="7:7" x14ac:dyDescent="0.25">
      <c r="G2589" s="21"/>
    </row>
    <row r="2590" spans="7:7" x14ac:dyDescent="0.25">
      <c r="G2590" s="21"/>
    </row>
    <row r="2591" spans="7:7" x14ac:dyDescent="0.25">
      <c r="G2591" s="21"/>
    </row>
    <row r="2592" spans="7:7" x14ac:dyDescent="0.25">
      <c r="G2592" s="21"/>
    </row>
    <row r="2593" spans="7:7" x14ac:dyDescent="0.25">
      <c r="G2593" s="21"/>
    </row>
    <row r="2594" spans="7:7" x14ac:dyDescent="0.25">
      <c r="G2594" s="21"/>
    </row>
    <row r="2595" spans="7:7" x14ac:dyDescent="0.25">
      <c r="G2595" s="21"/>
    </row>
    <row r="2596" spans="7:7" x14ac:dyDescent="0.25">
      <c r="G2596" s="21"/>
    </row>
    <row r="2597" spans="7:7" x14ac:dyDescent="0.25">
      <c r="G2597" s="21"/>
    </row>
    <row r="2598" spans="7:7" x14ac:dyDescent="0.25">
      <c r="G2598" s="21"/>
    </row>
    <row r="2599" spans="7:7" x14ac:dyDescent="0.25">
      <c r="G2599" s="21"/>
    </row>
    <row r="2600" spans="7:7" x14ac:dyDescent="0.25">
      <c r="G2600" s="21"/>
    </row>
    <row r="2601" spans="7:7" x14ac:dyDescent="0.25">
      <c r="G2601" s="21"/>
    </row>
    <row r="2602" spans="7:7" x14ac:dyDescent="0.25">
      <c r="G2602" s="21"/>
    </row>
    <row r="2603" spans="7:7" x14ac:dyDescent="0.25">
      <c r="G2603" s="21"/>
    </row>
    <row r="2604" spans="7:7" x14ac:dyDescent="0.25">
      <c r="G2604" s="21"/>
    </row>
    <row r="2605" spans="7:7" x14ac:dyDescent="0.25">
      <c r="G2605" s="21"/>
    </row>
    <row r="2606" spans="7:7" x14ac:dyDescent="0.25">
      <c r="G2606" s="21"/>
    </row>
    <row r="2607" spans="7:7" x14ac:dyDescent="0.25">
      <c r="G2607" s="21"/>
    </row>
    <row r="2608" spans="7:7" x14ac:dyDescent="0.25">
      <c r="G2608" s="21"/>
    </row>
    <row r="2609" spans="7:7" x14ac:dyDescent="0.25">
      <c r="G2609" s="21"/>
    </row>
    <row r="2610" spans="7:7" x14ac:dyDescent="0.25">
      <c r="G2610" s="21"/>
    </row>
    <row r="2611" spans="7:7" x14ac:dyDescent="0.25">
      <c r="G2611" s="21"/>
    </row>
    <row r="2612" spans="7:7" x14ac:dyDescent="0.25">
      <c r="G2612" s="21"/>
    </row>
    <row r="2613" spans="7:7" x14ac:dyDescent="0.25">
      <c r="G2613" s="21"/>
    </row>
    <row r="2614" spans="7:7" x14ac:dyDescent="0.25">
      <c r="G2614" s="21"/>
    </row>
    <row r="2615" spans="7:7" x14ac:dyDescent="0.25">
      <c r="G2615" s="21"/>
    </row>
    <row r="2616" spans="7:7" x14ac:dyDescent="0.25">
      <c r="G2616" s="21"/>
    </row>
    <row r="2617" spans="7:7" x14ac:dyDescent="0.25">
      <c r="G2617" s="21"/>
    </row>
    <row r="2618" spans="7:7" x14ac:dyDescent="0.25">
      <c r="G2618" s="21"/>
    </row>
    <row r="2619" spans="7:7" x14ac:dyDescent="0.25">
      <c r="G2619" s="21"/>
    </row>
    <row r="2620" spans="7:7" x14ac:dyDescent="0.25">
      <c r="G2620" s="21"/>
    </row>
    <row r="2621" spans="7:7" x14ac:dyDescent="0.25">
      <c r="G2621" s="21"/>
    </row>
    <row r="2622" spans="7:7" x14ac:dyDescent="0.25">
      <c r="G2622" s="21"/>
    </row>
    <row r="2623" spans="7:7" x14ac:dyDescent="0.25">
      <c r="G2623" s="21"/>
    </row>
    <row r="2624" spans="7:7" x14ac:dyDescent="0.25">
      <c r="G2624" s="21"/>
    </row>
    <row r="2625" spans="7:7" x14ac:dyDescent="0.25">
      <c r="G2625" s="21"/>
    </row>
    <row r="2626" spans="7:7" x14ac:dyDescent="0.25">
      <c r="G2626" s="21"/>
    </row>
    <row r="2627" spans="7:7" x14ac:dyDescent="0.25">
      <c r="G2627" s="21"/>
    </row>
    <row r="2628" spans="7:7" x14ac:dyDescent="0.25">
      <c r="G2628" s="21"/>
    </row>
    <row r="2629" spans="7:7" x14ac:dyDescent="0.25">
      <c r="G2629" s="21"/>
    </row>
    <row r="2630" spans="7:7" x14ac:dyDescent="0.25">
      <c r="G2630" s="21"/>
    </row>
    <row r="2631" spans="7:7" x14ac:dyDescent="0.25">
      <c r="G2631" s="21"/>
    </row>
    <row r="2632" spans="7:7" x14ac:dyDescent="0.25">
      <c r="G2632" s="21"/>
    </row>
    <row r="2633" spans="7:7" x14ac:dyDescent="0.25">
      <c r="G2633" s="21"/>
    </row>
    <row r="2634" spans="7:7" x14ac:dyDescent="0.25">
      <c r="G2634" s="21"/>
    </row>
    <row r="2635" spans="7:7" x14ac:dyDescent="0.25">
      <c r="G2635" s="21"/>
    </row>
    <row r="2636" spans="7:7" x14ac:dyDescent="0.25">
      <c r="G2636" s="21"/>
    </row>
    <row r="2637" spans="7:7" x14ac:dyDescent="0.25">
      <c r="G2637" s="21"/>
    </row>
    <row r="2638" spans="7:7" x14ac:dyDescent="0.25">
      <c r="G2638" s="21"/>
    </row>
    <row r="2639" spans="7:7" x14ac:dyDescent="0.25">
      <c r="G2639" s="21"/>
    </row>
    <row r="2640" spans="7:7" x14ac:dyDescent="0.25">
      <c r="G2640" s="21"/>
    </row>
    <row r="2641" spans="7:7" x14ac:dyDescent="0.25">
      <c r="G2641" s="21"/>
    </row>
    <row r="2642" spans="7:7" x14ac:dyDescent="0.25">
      <c r="G2642" s="21"/>
    </row>
    <row r="2643" spans="7:7" x14ac:dyDescent="0.25">
      <c r="G2643" s="21"/>
    </row>
    <row r="2644" spans="7:7" x14ac:dyDescent="0.25">
      <c r="G2644" s="21"/>
    </row>
    <row r="2645" spans="7:7" x14ac:dyDescent="0.25">
      <c r="G2645" s="21"/>
    </row>
    <row r="2646" spans="7:7" x14ac:dyDescent="0.25">
      <c r="G2646" s="21"/>
    </row>
    <row r="2647" spans="7:7" x14ac:dyDescent="0.25">
      <c r="G2647" s="21"/>
    </row>
    <row r="2648" spans="7:7" x14ac:dyDescent="0.25">
      <c r="G2648" s="21"/>
    </row>
    <row r="2649" spans="7:7" x14ac:dyDescent="0.25">
      <c r="G2649" s="21"/>
    </row>
    <row r="2650" spans="7:7" x14ac:dyDescent="0.25">
      <c r="G2650" s="21"/>
    </row>
    <row r="2651" spans="7:7" x14ac:dyDescent="0.25">
      <c r="G2651" s="21"/>
    </row>
    <row r="2652" spans="7:7" x14ac:dyDescent="0.25">
      <c r="G2652" s="21"/>
    </row>
    <row r="2653" spans="7:7" x14ac:dyDescent="0.25">
      <c r="G2653" s="21"/>
    </row>
    <row r="2654" spans="7:7" x14ac:dyDescent="0.25">
      <c r="G2654" s="21"/>
    </row>
    <row r="2655" spans="7:7" x14ac:dyDescent="0.25">
      <c r="G2655" s="21"/>
    </row>
    <row r="2656" spans="7:7" x14ac:dyDescent="0.25">
      <c r="G2656" s="21"/>
    </row>
    <row r="2657" spans="7:7" x14ac:dyDescent="0.25">
      <c r="G2657" s="21"/>
    </row>
    <row r="2658" spans="7:7" x14ac:dyDescent="0.25">
      <c r="G2658" s="21"/>
    </row>
    <row r="2659" spans="7:7" x14ac:dyDescent="0.25">
      <c r="G2659" s="21"/>
    </row>
    <row r="2660" spans="7:7" x14ac:dyDescent="0.25">
      <c r="G2660" s="21"/>
    </row>
    <row r="2661" spans="7:7" x14ac:dyDescent="0.25">
      <c r="G2661" s="21"/>
    </row>
    <row r="2662" spans="7:7" x14ac:dyDescent="0.25">
      <c r="G2662" s="21"/>
    </row>
    <row r="2663" spans="7:7" x14ac:dyDescent="0.25">
      <c r="G2663" s="21"/>
    </row>
    <row r="2664" spans="7:7" x14ac:dyDescent="0.25">
      <c r="G2664" s="21"/>
    </row>
    <row r="2665" spans="7:7" x14ac:dyDescent="0.25">
      <c r="G2665" s="21"/>
    </row>
    <row r="2666" spans="7:7" x14ac:dyDescent="0.25">
      <c r="G2666" s="21"/>
    </row>
    <row r="2667" spans="7:7" x14ac:dyDescent="0.25">
      <c r="G2667" s="21"/>
    </row>
    <row r="2668" spans="7:7" x14ac:dyDescent="0.25">
      <c r="G2668" s="21"/>
    </row>
    <row r="2669" spans="7:7" x14ac:dyDescent="0.25">
      <c r="G2669" s="21"/>
    </row>
    <row r="2670" spans="7:7" x14ac:dyDescent="0.25">
      <c r="G2670" s="21"/>
    </row>
    <row r="2671" spans="7:7" x14ac:dyDescent="0.25">
      <c r="G2671" s="21"/>
    </row>
    <row r="2672" spans="7:7" x14ac:dyDescent="0.25">
      <c r="G2672" s="21"/>
    </row>
    <row r="2673" spans="7:7" x14ac:dyDescent="0.25">
      <c r="G2673" s="21"/>
    </row>
    <row r="2674" spans="7:7" x14ac:dyDescent="0.25">
      <c r="G2674" s="21"/>
    </row>
    <row r="2675" spans="7:7" x14ac:dyDescent="0.25">
      <c r="G2675" s="21"/>
    </row>
    <row r="2676" spans="7:7" x14ac:dyDescent="0.25">
      <c r="G2676" s="21"/>
    </row>
    <row r="2677" spans="7:7" x14ac:dyDescent="0.25">
      <c r="G2677" s="21"/>
    </row>
    <row r="2678" spans="7:7" x14ac:dyDescent="0.25">
      <c r="G2678" s="21"/>
    </row>
    <row r="2679" spans="7:7" x14ac:dyDescent="0.25">
      <c r="G2679" s="21"/>
    </row>
    <row r="2680" spans="7:7" x14ac:dyDescent="0.25">
      <c r="G2680" s="21"/>
    </row>
    <row r="2681" spans="7:7" x14ac:dyDescent="0.25">
      <c r="G2681" s="21"/>
    </row>
    <row r="2682" spans="7:7" x14ac:dyDescent="0.25">
      <c r="G2682" s="21"/>
    </row>
    <row r="2683" spans="7:7" x14ac:dyDescent="0.25">
      <c r="G2683" s="21"/>
    </row>
    <row r="2684" spans="7:7" x14ac:dyDescent="0.25">
      <c r="G2684" s="21"/>
    </row>
    <row r="2685" spans="7:7" x14ac:dyDescent="0.25">
      <c r="G2685" s="21"/>
    </row>
    <row r="2686" spans="7:7" x14ac:dyDescent="0.25">
      <c r="G2686" s="21"/>
    </row>
    <row r="2687" spans="7:7" x14ac:dyDescent="0.25">
      <c r="G2687" s="21"/>
    </row>
    <row r="2688" spans="7:7" x14ac:dyDescent="0.25">
      <c r="G2688" s="21"/>
    </row>
    <row r="2689" spans="7:7" x14ac:dyDescent="0.25">
      <c r="G2689" s="21"/>
    </row>
    <row r="2690" spans="7:7" x14ac:dyDescent="0.25">
      <c r="G2690" s="21"/>
    </row>
    <row r="2691" spans="7:7" x14ac:dyDescent="0.25">
      <c r="G2691" s="21"/>
    </row>
    <row r="2692" spans="7:7" x14ac:dyDescent="0.25">
      <c r="G2692" s="21"/>
    </row>
    <row r="2693" spans="7:7" x14ac:dyDescent="0.25">
      <c r="G2693" s="21"/>
    </row>
    <row r="2694" spans="7:7" x14ac:dyDescent="0.25">
      <c r="G2694" s="21"/>
    </row>
    <row r="2695" spans="7:7" x14ac:dyDescent="0.25">
      <c r="G2695" s="21"/>
    </row>
    <row r="2696" spans="7:7" x14ac:dyDescent="0.25">
      <c r="G2696" s="21"/>
    </row>
    <row r="2697" spans="7:7" x14ac:dyDescent="0.25">
      <c r="G2697" s="21"/>
    </row>
    <row r="2698" spans="7:7" x14ac:dyDescent="0.25">
      <c r="G2698" s="21"/>
    </row>
    <row r="2699" spans="7:7" x14ac:dyDescent="0.25">
      <c r="G2699" s="21"/>
    </row>
    <row r="2700" spans="7:7" x14ac:dyDescent="0.25">
      <c r="G2700" s="21"/>
    </row>
    <row r="2701" spans="7:7" x14ac:dyDescent="0.25">
      <c r="G2701" s="21"/>
    </row>
    <row r="2702" spans="7:7" x14ac:dyDescent="0.25">
      <c r="G2702" s="21"/>
    </row>
    <row r="2703" spans="7:7" x14ac:dyDescent="0.25">
      <c r="G2703" s="21"/>
    </row>
    <row r="2704" spans="7:7" x14ac:dyDescent="0.25">
      <c r="G2704" s="21"/>
    </row>
    <row r="2705" spans="7:7" x14ac:dyDescent="0.25">
      <c r="G2705" s="21"/>
    </row>
    <row r="2706" spans="7:7" x14ac:dyDescent="0.25">
      <c r="G2706" s="21"/>
    </row>
    <row r="2707" spans="7:7" x14ac:dyDescent="0.25">
      <c r="G2707" s="21"/>
    </row>
    <row r="2708" spans="7:7" x14ac:dyDescent="0.25">
      <c r="G2708" s="21"/>
    </row>
    <row r="2709" spans="7:7" x14ac:dyDescent="0.25">
      <c r="G2709" s="21"/>
    </row>
    <row r="2710" spans="7:7" x14ac:dyDescent="0.25">
      <c r="G2710" s="21"/>
    </row>
    <row r="2711" spans="7:7" x14ac:dyDescent="0.25">
      <c r="G2711" s="21"/>
    </row>
    <row r="2712" spans="7:7" x14ac:dyDescent="0.25">
      <c r="G2712" s="21"/>
    </row>
    <row r="2713" spans="7:7" x14ac:dyDescent="0.25">
      <c r="G2713" s="21"/>
    </row>
    <row r="2714" spans="7:7" x14ac:dyDescent="0.25">
      <c r="G2714" s="21"/>
    </row>
    <row r="2715" spans="7:7" x14ac:dyDescent="0.25">
      <c r="G2715" s="21"/>
    </row>
    <row r="2716" spans="7:7" x14ac:dyDescent="0.25">
      <c r="G2716" s="21"/>
    </row>
    <row r="2717" spans="7:7" x14ac:dyDescent="0.25">
      <c r="G2717" s="21"/>
    </row>
    <row r="2718" spans="7:7" x14ac:dyDescent="0.25">
      <c r="G2718" s="21"/>
    </row>
    <row r="2719" spans="7:7" x14ac:dyDescent="0.25">
      <c r="G2719" s="21"/>
    </row>
    <row r="2720" spans="7:7" x14ac:dyDescent="0.25">
      <c r="G2720" s="21"/>
    </row>
    <row r="2721" spans="7:7" x14ac:dyDescent="0.25">
      <c r="G2721" s="21"/>
    </row>
    <row r="2722" spans="7:7" x14ac:dyDescent="0.25">
      <c r="G2722" s="21"/>
    </row>
    <row r="2723" spans="7:7" x14ac:dyDescent="0.25">
      <c r="G2723" s="21"/>
    </row>
    <row r="2724" spans="7:7" x14ac:dyDescent="0.25">
      <c r="G2724" s="21"/>
    </row>
    <row r="2725" spans="7:7" x14ac:dyDescent="0.25">
      <c r="G2725" s="21"/>
    </row>
    <row r="2726" spans="7:7" x14ac:dyDescent="0.25">
      <c r="G2726" s="21"/>
    </row>
    <row r="2727" spans="7:7" x14ac:dyDescent="0.25">
      <c r="G2727" s="21"/>
    </row>
    <row r="2728" spans="7:7" x14ac:dyDescent="0.25">
      <c r="G2728" s="21"/>
    </row>
    <row r="2729" spans="7:7" x14ac:dyDescent="0.25">
      <c r="G2729" s="21"/>
    </row>
    <row r="2730" spans="7:7" x14ac:dyDescent="0.25">
      <c r="G2730" s="21"/>
    </row>
    <row r="2731" spans="7:7" x14ac:dyDescent="0.25">
      <c r="G2731" s="21"/>
    </row>
    <row r="2732" spans="7:7" x14ac:dyDescent="0.25">
      <c r="G2732" s="21"/>
    </row>
    <row r="2733" spans="7:7" x14ac:dyDescent="0.25">
      <c r="G2733" s="21"/>
    </row>
    <row r="2734" spans="7:7" x14ac:dyDescent="0.25">
      <c r="G2734" s="21"/>
    </row>
    <row r="2735" spans="7:7" x14ac:dyDescent="0.25">
      <c r="G2735" s="21"/>
    </row>
    <row r="2736" spans="7:7" x14ac:dyDescent="0.25">
      <c r="G2736" s="21"/>
    </row>
    <row r="2737" spans="7:7" x14ac:dyDescent="0.25">
      <c r="G2737" s="21"/>
    </row>
    <row r="2738" spans="7:7" x14ac:dyDescent="0.25">
      <c r="G2738" s="21"/>
    </row>
    <row r="2739" spans="7:7" x14ac:dyDescent="0.25">
      <c r="G2739" s="21"/>
    </row>
    <row r="2740" spans="7:7" x14ac:dyDescent="0.25">
      <c r="G2740" s="21"/>
    </row>
    <row r="2741" spans="7:7" x14ac:dyDescent="0.25">
      <c r="G2741" s="21"/>
    </row>
    <row r="2742" spans="7:7" x14ac:dyDescent="0.25">
      <c r="G2742" s="21"/>
    </row>
    <row r="2743" spans="7:7" x14ac:dyDescent="0.25">
      <c r="G2743" s="21"/>
    </row>
    <row r="2744" spans="7:7" x14ac:dyDescent="0.25">
      <c r="G2744" s="21"/>
    </row>
    <row r="2745" spans="7:7" x14ac:dyDescent="0.25">
      <c r="G2745" s="21"/>
    </row>
    <row r="2746" spans="7:7" x14ac:dyDescent="0.25">
      <c r="G2746" s="21"/>
    </row>
    <row r="2747" spans="7:7" x14ac:dyDescent="0.25">
      <c r="G2747" s="21"/>
    </row>
    <row r="2748" spans="7:7" x14ac:dyDescent="0.25">
      <c r="G2748" s="21"/>
    </row>
    <row r="2749" spans="7:7" x14ac:dyDescent="0.25">
      <c r="G2749" s="21"/>
    </row>
    <row r="2750" spans="7:7" x14ac:dyDescent="0.25">
      <c r="G2750" s="21"/>
    </row>
    <row r="2751" spans="7:7" x14ac:dyDescent="0.25">
      <c r="G2751" s="21"/>
    </row>
    <row r="2752" spans="7:7" x14ac:dyDescent="0.25">
      <c r="G2752" s="21"/>
    </row>
    <row r="2753" spans="7:7" x14ac:dyDescent="0.25">
      <c r="G2753" s="21"/>
    </row>
    <row r="2754" spans="7:7" x14ac:dyDescent="0.25">
      <c r="G2754" s="21"/>
    </row>
    <row r="2755" spans="7:7" x14ac:dyDescent="0.25">
      <c r="G2755" s="21"/>
    </row>
    <row r="2756" spans="7:7" x14ac:dyDescent="0.25">
      <c r="G2756" s="21"/>
    </row>
    <row r="2757" spans="7:7" x14ac:dyDescent="0.25">
      <c r="G2757" s="21"/>
    </row>
    <row r="2758" spans="7:7" x14ac:dyDescent="0.25">
      <c r="G2758" s="21"/>
    </row>
    <row r="2759" spans="7:7" x14ac:dyDescent="0.25">
      <c r="G2759" s="21"/>
    </row>
    <row r="2760" spans="7:7" x14ac:dyDescent="0.25">
      <c r="G2760" s="21"/>
    </row>
    <row r="2761" spans="7:7" x14ac:dyDescent="0.25">
      <c r="G2761" s="21"/>
    </row>
    <row r="2762" spans="7:7" x14ac:dyDescent="0.25">
      <c r="G2762" s="21"/>
    </row>
    <row r="2763" spans="7:7" x14ac:dyDescent="0.25">
      <c r="G2763" s="21"/>
    </row>
    <row r="2764" spans="7:7" x14ac:dyDescent="0.25">
      <c r="G2764" s="21"/>
    </row>
    <row r="2765" spans="7:7" x14ac:dyDescent="0.25">
      <c r="G2765" s="21"/>
    </row>
    <row r="2766" spans="7:7" x14ac:dyDescent="0.25">
      <c r="G2766" s="21"/>
    </row>
    <row r="2767" spans="7:7" x14ac:dyDescent="0.25">
      <c r="G2767" s="21"/>
    </row>
    <row r="2768" spans="7:7" x14ac:dyDescent="0.25">
      <c r="G2768" s="21"/>
    </row>
    <row r="2769" spans="7:7" x14ac:dyDescent="0.25">
      <c r="G2769" s="21"/>
    </row>
    <row r="2770" spans="7:7" x14ac:dyDescent="0.25">
      <c r="G2770" s="21"/>
    </row>
    <row r="2771" spans="7:7" x14ac:dyDescent="0.25">
      <c r="G2771" s="21"/>
    </row>
    <row r="2772" spans="7:7" x14ac:dyDescent="0.25">
      <c r="G2772" s="21"/>
    </row>
    <row r="2773" spans="7:7" x14ac:dyDescent="0.25">
      <c r="G2773" s="21"/>
    </row>
    <row r="2774" spans="7:7" x14ac:dyDescent="0.25">
      <c r="G2774" s="21"/>
    </row>
    <row r="2775" spans="7:7" x14ac:dyDescent="0.25">
      <c r="G2775" s="21"/>
    </row>
    <row r="2776" spans="7:7" x14ac:dyDescent="0.25">
      <c r="G2776" s="21"/>
    </row>
    <row r="2777" spans="7:7" x14ac:dyDescent="0.25">
      <c r="G2777" s="21"/>
    </row>
    <row r="2778" spans="7:7" x14ac:dyDescent="0.25">
      <c r="G2778" s="21"/>
    </row>
    <row r="2779" spans="7:7" x14ac:dyDescent="0.25">
      <c r="G2779" s="21"/>
    </row>
    <row r="2780" spans="7:7" x14ac:dyDescent="0.25">
      <c r="G2780" s="21"/>
    </row>
    <row r="2781" spans="7:7" x14ac:dyDescent="0.25">
      <c r="G2781" s="21"/>
    </row>
    <row r="2782" spans="7:7" x14ac:dyDescent="0.25">
      <c r="G2782" s="21"/>
    </row>
    <row r="2783" spans="7:7" x14ac:dyDescent="0.25">
      <c r="G2783" s="21"/>
    </row>
    <row r="2784" spans="7:7" x14ac:dyDescent="0.25">
      <c r="G2784" s="21"/>
    </row>
    <row r="2785" spans="7:7" x14ac:dyDescent="0.25">
      <c r="G2785" s="21"/>
    </row>
    <row r="2786" spans="7:7" x14ac:dyDescent="0.25">
      <c r="G2786" s="21"/>
    </row>
    <row r="2787" spans="7:7" x14ac:dyDescent="0.25">
      <c r="G2787" s="21"/>
    </row>
    <row r="2788" spans="7:7" x14ac:dyDescent="0.25">
      <c r="G2788" s="21"/>
    </row>
    <row r="2789" spans="7:7" x14ac:dyDescent="0.25">
      <c r="G2789" s="21"/>
    </row>
    <row r="2790" spans="7:7" x14ac:dyDescent="0.25">
      <c r="G2790" s="21"/>
    </row>
    <row r="2791" spans="7:7" x14ac:dyDescent="0.25">
      <c r="G2791" s="21"/>
    </row>
    <row r="2792" spans="7:7" x14ac:dyDescent="0.25">
      <c r="G2792" s="21"/>
    </row>
    <row r="2793" spans="7:7" x14ac:dyDescent="0.25">
      <c r="G2793" s="21"/>
    </row>
    <row r="2794" spans="7:7" x14ac:dyDescent="0.25">
      <c r="G2794" s="21"/>
    </row>
    <row r="2795" spans="7:7" x14ac:dyDescent="0.25">
      <c r="G2795" s="21"/>
    </row>
    <row r="2796" spans="7:7" x14ac:dyDescent="0.25">
      <c r="G2796" s="21"/>
    </row>
    <row r="2797" spans="7:7" x14ac:dyDescent="0.25">
      <c r="G2797" s="21"/>
    </row>
    <row r="2798" spans="7:7" x14ac:dyDescent="0.25">
      <c r="G2798" s="21"/>
    </row>
    <row r="2799" spans="7:7" x14ac:dyDescent="0.25">
      <c r="G2799" s="21"/>
    </row>
    <row r="2800" spans="7:7" x14ac:dyDescent="0.25">
      <c r="G2800" s="21"/>
    </row>
    <row r="2801" spans="7:7" x14ac:dyDescent="0.25">
      <c r="G2801" s="21"/>
    </row>
    <row r="2802" spans="7:7" x14ac:dyDescent="0.25">
      <c r="G2802" s="21"/>
    </row>
    <row r="2803" spans="7:7" x14ac:dyDescent="0.25">
      <c r="G2803" s="21"/>
    </row>
    <row r="2804" spans="7:7" x14ac:dyDescent="0.25">
      <c r="G2804" s="21"/>
    </row>
    <row r="2805" spans="7:7" x14ac:dyDescent="0.25">
      <c r="G2805" s="21"/>
    </row>
    <row r="2806" spans="7:7" x14ac:dyDescent="0.25">
      <c r="G2806" s="21"/>
    </row>
    <row r="2807" spans="7:7" x14ac:dyDescent="0.25">
      <c r="G2807" s="21"/>
    </row>
    <row r="2808" spans="7:7" x14ac:dyDescent="0.25">
      <c r="G2808" s="21"/>
    </row>
    <row r="2809" spans="7:7" x14ac:dyDescent="0.25">
      <c r="G2809" s="21"/>
    </row>
    <row r="2810" spans="7:7" x14ac:dyDescent="0.25">
      <c r="G2810" s="21"/>
    </row>
    <row r="2811" spans="7:7" x14ac:dyDescent="0.25">
      <c r="G2811" s="21"/>
    </row>
    <row r="2812" spans="7:7" x14ac:dyDescent="0.25">
      <c r="G2812" s="21"/>
    </row>
    <row r="2813" spans="7:7" x14ac:dyDescent="0.25">
      <c r="G2813" s="21"/>
    </row>
    <row r="2814" spans="7:7" x14ac:dyDescent="0.25">
      <c r="G2814" s="21"/>
    </row>
    <row r="2815" spans="7:7" x14ac:dyDescent="0.25">
      <c r="G2815" s="21"/>
    </row>
    <row r="2816" spans="7:7" x14ac:dyDescent="0.25">
      <c r="G2816" s="21"/>
    </row>
    <row r="2817" spans="7:7" x14ac:dyDescent="0.25">
      <c r="G2817" s="21"/>
    </row>
    <row r="2818" spans="7:7" x14ac:dyDescent="0.25">
      <c r="G2818" s="21"/>
    </row>
    <row r="2819" spans="7:7" x14ac:dyDescent="0.25">
      <c r="G2819" s="21"/>
    </row>
    <row r="2820" spans="7:7" x14ac:dyDescent="0.25">
      <c r="G2820" s="21"/>
    </row>
    <row r="2821" spans="7:7" x14ac:dyDescent="0.25">
      <c r="G2821" s="21"/>
    </row>
    <row r="2822" spans="7:7" x14ac:dyDescent="0.25">
      <c r="G2822" s="21"/>
    </row>
    <row r="2823" spans="7:7" x14ac:dyDescent="0.25">
      <c r="G2823" s="21"/>
    </row>
    <row r="2824" spans="7:7" x14ac:dyDescent="0.25">
      <c r="G2824" s="21"/>
    </row>
    <row r="2825" spans="7:7" x14ac:dyDescent="0.25">
      <c r="G2825" s="21"/>
    </row>
    <row r="2826" spans="7:7" x14ac:dyDescent="0.25">
      <c r="G2826" s="21"/>
    </row>
    <row r="2827" spans="7:7" x14ac:dyDescent="0.25">
      <c r="G2827" s="21"/>
    </row>
    <row r="2828" spans="7:7" x14ac:dyDescent="0.25">
      <c r="G2828" s="21"/>
    </row>
    <row r="2829" spans="7:7" x14ac:dyDescent="0.25">
      <c r="G2829" s="21"/>
    </row>
    <row r="2830" spans="7:7" x14ac:dyDescent="0.25">
      <c r="G2830" s="21"/>
    </row>
    <row r="2831" spans="7:7" x14ac:dyDescent="0.25">
      <c r="G2831" s="21"/>
    </row>
    <row r="2832" spans="7:7" x14ac:dyDescent="0.25">
      <c r="G2832" s="21"/>
    </row>
    <row r="2833" spans="7:7" x14ac:dyDescent="0.25">
      <c r="G2833" s="21"/>
    </row>
    <row r="2834" spans="7:7" x14ac:dyDescent="0.25">
      <c r="G2834" s="21"/>
    </row>
    <row r="2835" spans="7:7" x14ac:dyDescent="0.25">
      <c r="G2835" s="21"/>
    </row>
    <row r="2836" spans="7:7" x14ac:dyDescent="0.25">
      <c r="G2836" s="21"/>
    </row>
    <row r="2837" spans="7:7" x14ac:dyDescent="0.25">
      <c r="G2837" s="21"/>
    </row>
    <row r="2838" spans="7:7" x14ac:dyDescent="0.25">
      <c r="G2838" s="21"/>
    </row>
    <row r="2839" spans="7:7" x14ac:dyDescent="0.25">
      <c r="G2839" s="21"/>
    </row>
    <row r="2840" spans="7:7" x14ac:dyDescent="0.25">
      <c r="G2840" s="21"/>
    </row>
    <row r="2841" spans="7:7" x14ac:dyDescent="0.25">
      <c r="G2841" s="21"/>
    </row>
    <row r="2842" spans="7:7" x14ac:dyDescent="0.25">
      <c r="G2842" s="21"/>
    </row>
    <row r="2843" spans="7:7" x14ac:dyDescent="0.25">
      <c r="G2843" s="21"/>
    </row>
    <row r="2844" spans="7:7" x14ac:dyDescent="0.25">
      <c r="G2844" s="21"/>
    </row>
    <row r="2845" spans="7:7" x14ac:dyDescent="0.25">
      <c r="G2845" s="21"/>
    </row>
    <row r="2846" spans="7:7" x14ac:dyDescent="0.25">
      <c r="G2846" s="21"/>
    </row>
    <row r="2847" spans="7:7" x14ac:dyDescent="0.25">
      <c r="G2847" s="21"/>
    </row>
    <row r="2848" spans="7:7" x14ac:dyDescent="0.25">
      <c r="G2848" s="21"/>
    </row>
    <row r="2849" spans="7:7" x14ac:dyDescent="0.25">
      <c r="G2849" s="21"/>
    </row>
    <row r="2850" spans="7:7" x14ac:dyDescent="0.25">
      <c r="G2850" s="21"/>
    </row>
    <row r="2851" spans="7:7" x14ac:dyDescent="0.25">
      <c r="G2851" s="21"/>
    </row>
    <row r="2852" spans="7:7" x14ac:dyDescent="0.25">
      <c r="G2852" s="21"/>
    </row>
    <row r="2853" spans="7:7" x14ac:dyDescent="0.25">
      <c r="G2853" s="21"/>
    </row>
    <row r="2854" spans="7:7" x14ac:dyDescent="0.25">
      <c r="G2854" s="21"/>
    </row>
    <row r="2855" spans="7:7" x14ac:dyDescent="0.25">
      <c r="G2855" s="21"/>
    </row>
    <row r="2856" spans="7:7" x14ac:dyDescent="0.25">
      <c r="G2856" s="21"/>
    </row>
    <row r="2857" spans="7:7" x14ac:dyDescent="0.25">
      <c r="G2857" s="21"/>
    </row>
    <row r="2858" spans="7:7" x14ac:dyDescent="0.25">
      <c r="G2858" s="21"/>
    </row>
    <row r="2859" spans="7:7" x14ac:dyDescent="0.25">
      <c r="G2859" s="21"/>
    </row>
    <row r="2860" spans="7:7" x14ac:dyDescent="0.25">
      <c r="G2860" s="21"/>
    </row>
    <row r="2861" spans="7:7" x14ac:dyDescent="0.25">
      <c r="G2861" s="21"/>
    </row>
    <row r="2862" spans="7:7" x14ac:dyDescent="0.25">
      <c r="G2862" s="21"/>
    </row>
    <row r="2863" spans="7:7" x14ac:dyDescent="0.25">
      <c r="G2863" s="21"/>
    </row>
    <row r="2864" spans="7:7" x14ac:dyDescent="0.25">
      <c r="G2864" s="21"/>
    </row>
    <row r="2865" spans="7:7" x14ac:dyDescent="0.25">
      <c r="G2865" s="21"/>
    </row>
    <row r="2866" spans="7:7" x14ac:dyDescent="0.25">
      <c r="G2866" s="21"/>
    </row>
    <row r="2867" spans="7:7" x14ac:dyDescent="0.25">
      <c r="G2867" s="21"/>
    </row>
    <row r="2868" spans="7:7" x14ac:dyDescent="0.25">
      <c r="G2868" s="21"/>
    </row>
    <row r="2869" spans="7:7" x14ac:dyDescent="0.25">
      <c r="G2869" s="21"/>
    </row>
    <row r="2870" spans="7:7" x14ac:dyDescent="0.25">
      <c r="G2870" s="21"/>
    </row>
    <row r="2871" spans="7:7" x14ac:dyDescent="0.25">
      <c r="G2871" s="21"/>
    </row>
    <row r="2872" spans="7:7" x14ac:dyDescent="0.25">
      <c r="G2872" s="21"/>
    </row>
    <row r="2873" spans="7:7" x14ac:dyDescent="0.25">
      <c r="G2873" s="21"/>
    </row>
    <row r="2874" spans="7:7" x14ac:dyDescent="0.25">
      <c r="G2874" s="21"/>
    </row>
    <row r="2875" spans="7:7" x14ac:dyDescent="0.25">
      <c r="G2875" s="21"/>
    </row>
    <row r="2876" spans="7:7" x14ac:dyDescent="0.25">
      <c r="G2876" s="21"/>
    </row>
    <row r="2877" spans="7:7" x14ac:dyDescent="0.25">
      <c r="G2877" s="21"/>
    </row>
    <row r="2878" spans="7:7" x14ac:dyDescent="0.25">
      <c r="G2878" s="21"/>
    </row>
    <row r="2879" spans="7:7" x14ac:dyDescent="0.25">
      <c r="G2879" s="21"/>
    </row>
    <row r="2880" spans="7:7" x14ac:dyDescent="0.25">
      <c r="G2880" s="21"/>
    </row>
    <row r="2881" spans="7:7" x14ac:dyDescent="0.25">
      <c r="G2881" s="21"/>
    </row>
    <row r="2882" spans="7:7" x14ac:dyDescent="0.25">
      <c r="G2882" s="21"/>
    </row>
    <row r="2883" spans="7:7" x14ac:dyDescent="0.25">
      <c r="G2883" s="21"/>
    </row>
    <row r="2884" spans="7:7" x14ac:dyDescent="0.25">
      <c r="G2884" s="21"/>
    </row>
    <row r="2885" spans="7:7" x14ac:dyDescent="0.25">
      <c r="G2885" s="21"/>
    </row>
    <row r="2886" spans="7:7" x14ac:dyDescent="0.25">
      <c r="G2886" s="21"/>
    </row>
    <row r="2887" spans="7:7" x14ac:dyDescent="0.25">
      <c r="G2887" s="21"/>
    </row>
    <row r="2888" spans="7:7" x14ac:dyDescent="0.25">
      <c r="G2888" s="21"/>
    </row>
    <row r="2889" spans="7:7" x14ac:dyDescent="0.25">
      <c r="G2889" s="21"/>
    </row>
    <row r="2890" spans="7:7" x14ac:dyDescent="0.25">
      <c r="G2890" s="21"/>
    </row>
    <row r="2891" spans="7:7" x14ac:dyDescent="0.25">
      <c r="G2891" s="21"/>
    </row>
    <row r="2892" spans="7:7" x14ac:dyDescent="0.25">
      <c r="G2892" s="21"/>
    </row>
    <row r="2893" spans="7:7" x14ac:dyDescent="0.25">
      <c r="G2893" s="21"/>
    </row>
    <row r="2894" spans="7:7" x14ac:dyDescent="0.25">
      <c r="G2894" s="21"/>
    </row>
    <row r="2895" spans="7:7" x14ac:dyDescent="0.25">
      <c r="G2895" s="21"/>
    </row>
    <row r="2896" spans="7:7" x14ac:dyDescent="0.25">
      <c r="G2896" s="21"/>
    </row>
    <row r="2897" spans="7:7" x14ac:dyDescent="0.25">
      <c r="G2897" s="21"/>
    </row>
    <row r="2898" spans="7:7" x14ac:dyDescent="0.25">
      <c r="G2898" s="21"/>
    </row>
    <row r="2899" spans="7:7" x14ac:dyDescent="0.25">
      <c r="G2899" s="21"/>
    </row>
    <row r="2900" spans="7:7" x14ac:dyDescent="0.25">
      <c r="G2900" s="21"/>
    </row>
    <row r="2901" spans="7:7" x14ac:dyDescent="0.25">
      <c r="G2901" s="21"/>
    </row>
    <row r="2902" spans="7:7" x14ac:dyDescent="0.25">
      <c r="G2902" s="21"/>
    </row>
    <row r="2903" spans="7:7" x14ac:dyDescent="0.25">
      <c r="G2903" s="21"/>
    </row>
    <row r="2904" spans="7:7" x14ac:dyDescent="0.25">
      <c r="G2904" s="21"/>
    </row>
    <row r="2905" spans="7:7" x14ac:dyDescent="0.25">
      <c r="G2905" s="21"/>
    </row>
    <row r="2906" spans="7:7" x14ac:dyDescent="0.25">
      <c r="G2906" s="21"/>
    </row>
    <row r="2907" spans="7:7" x14ac:dyDescent="0.25">
      <c r="G2907" s="21"/>
    </row>
    <row r="2908" spans="7:7" x14ac:dyDescent="0.25">
      <c r="G2908" s="21"/>
    </row>
    <row r="2909" spans="7:7" x14ac:dyDescent="0.25">
      <c r="G2909" s="21"/>
    </row>
    <row r="2910" spans="7:7" x14ac:dyDescent="0.25">
      <c r="G2910" s="21"/>
    </row>
    <row r="2911" spans="7:7" x14ac:dyDescent="0.25">
      <c r="G2911" s="21"/>
    </row>
    <row r="2912" spans="7:7" x14ac:dyDescent="0.25">
      <c r="G2912" s="21"/>
    </row>
    <row r="2913" spans="7:7" x14ac:dyDescent="0.25">
      <c r="G2913" s="21"/>
    </row>
    <row r="2914" spans="7:7" x14ac:dyDescent="0.25">
      <c r="G2914" s="21"/>
    </row>
    <row r="2915" spans="7:7" x14ac:dyDescent="0.25">
      <c r="G2915" s="21"/>
    </row>
    <row r="2916" spans="7:7" x14ac:dyDescent="0.25">
      <c r="G2916" s="21"/>
    </row>
    <row r="2917" spans="7:7" x14ac:dyDescent="0.25">
      <c r="G2917" s="21"/>
    </row>
    <row r="2918" spans="7:7" x14ac:dyDescent="0.25">
      <c r="G2918" s="21"/>
    </row>
    <row r="2919" spans="7:7" x14ac:dyDescent="0.25">
      <c r="G2919" s="21"/>
    </row>
    <row r="2920" spans="7:7" x14ac:dyDescent="0.25">
      <c r="G2920" s="21"/>
    </row>
    <row r="2921" spans="7:7" x14ac:dyDescent="0.25">
      <c r="G2921" s="21"/>
    </row>
    <row r="2922" spans="7:7" x14ac:dyDescent="0.25">
      <c r="G2922" s="21"/>
    </row>
    <row r="2923" spans="7:7" x14ac:dyDescent="0.25">
      <c r="G2923" s="21"/>
    </row>
    <row r="2924" spans="7:7" x14ac:dyDescent="0.25">
      <c r="G2924" s="21"/>
    </row>
    <row r="2925" spans="7:7" x14ac:dyDescent="0.25">
      <c r="G2925" s="21"/>
    </row>
    <row r="2926" spans="7:7" x14ac:dyDescent="0.25">
      <c r="G2926" s="21"/>
    </row>
    <row r="2927" spans="7:7" x14ac:dyDescent="0.25">
      <c r="G2927" s="21"/>
    </row>
    <row r="2928" spans="7:7" x14ac:dyDescent="0.25">
      <c r="G2928" s="21"/>
    </row>
    <row r="2929" spans="7:7" x14ac:dyDescent="0.25">
      <c r="G2929" s="21"/>
    </row>
    <row r="2930" spans="7:7" x14ac:dyDescent="0.25">
      <c r="G2930" s="21"/>
    </row>
    <row r="2931" spans="7:7" x14ac:dyDescent="0.25">
      <c r="G2931" s="21"/>
    </row>
    <row r="2932" spans="7:7" x14ac:dyDescent="0.25">
      <c r="G2932" s="21"/>
    </row>
    <row r="2933" spans="7:7" x14ac:dyDescent="0.25">
      <c r="G2933" s="21"/>
    </row>
    <row r="2934" spans="7:7" x14ac:dyDescent="0.25">
      <c r="G2934" s="21"/>
    </row>
    <row r="2935" spans="7:7" x14ac:dyDescent="0.25">
      <c r="G2935" s="21"/>
    </row>
    <row r="2936" spans="7:7" x14ac:dyDescent="0.25">
      <c r="G2936" s="21"/>
    </row>
    <row r="2937" spans="7:7" x14ac:dyDescent="0.25">
      <c r="G2937" s="21"/>
    </row>
    <row r="2938" spans="7:7" x14ac:dyDescent="0.25">
      <c r="G2938" s="21"/>
    </row>
    <row r="2939" spans="7:7" x14ac:dyDescent="0.25">
      <c r="G2939" s="21"/>
    </row>
    <row r="2940" spans="7:7" x14ac:dyDescent="0.25">
      <c r="G2940" s="21"/>
    </row>
    <row r="2941" spans="7:7" x14ac:dyDescent="0.25">
      <c r="G2941" s="21"/>
    </row>
    <row r="2942" spans="7:7" x14ac:dyDescent="0.25">
      <c r="G2942" s="21"/>
    </row>
    <row r="2943" spans="7:7" x14ac:dyDescent="0.25">
      <c r="G2943" s="21"/>
    </row>
    <row r="2944" spans="7:7" x14ac:dyDescent="0.25">
      <c r="G2944" s="21"/>
    </row>
    <row r="2945" spans="7:7" x14ac:dyDescent="0.25">
      <c r="G2945" s="21"/>
    </row>
    <row r="2946" spans="7:7" x14ac:dyDescent="0.25">
      <c r="G2946" s="21"/>
    </row>
    <row r="2947" spans="7:7" x14ac:dyDescent="0.25">
      <c r="G2947" s="21"/>
    </row>
    <row r="2948" spans="7:7" x14ac:dyDescent="0.25">
      <c r="G2948" s="21"/>
    </row>
    <row r="2949" spans="7:7" x14ac:dyDescent="0.25">
      <c r="G2949" s="21"/>
    </row>
    <row r="2950" spans="7:7" x14ac:dyDescent="0.25">
      <c r="G2950" s="21"/>
    </row>
    <row r="2951" spans="7:7" x14ac:dyDescent="0.25">
      <c r="G2951" s="21"/>
    </row>
    <row r="2952" spans="7:7" x14ac:dyDescent="0.25">
      <c r="G2952" s="21"/>
    </row>
    <row r="2953" spans="7:7" x14ac:dyDescent="0.25">
      <c r="G2953" s="21"/>
    </row>
    <row r="2954" spans="7:7" x14ac:dyDescent="0.25">
      <c r="G2954" s="21"/>
    </row>
    <row r="2955" spans="7:7" x14ac:dyDescent="0.25">
      <c r="G2955" s="21"/>
    </row>
    <row r="2956" spans="7:7" x14ac:dyDescent="0.25">
      <c r="G2956" s="21"/>
    </row>
    <row r="2957" spans="7:7" x14ac:dyDescent="0.25">
      <c r="G2957" s="21"/>
    </row>
    <row r="2958" spans="7:7" x14ac:dyDescent="0.25">
      <c r="G2958" s="21"/>
    </row>
    <row r="2959" spans="7:7" x14ac:dyDescent="0.25">
      <c r="G2959" s="21"/>
    </row>
    <row r="2960" spans="7:7" x14ac:dyDescent="0.25">
      <c r="G2960" s="21"/>
    </row>
    <row r="2961" spans="7:7" x14ac:dyDescent="0.25">
      <c r="G2961" s="21"/>
    </row>
    <row r="2962" spans="7:7" x14ac:dyDescent="0.25">
      <c r="G2962" s="21"/>
    </row>
    <row r="2963" spans="7:7" x14ac:dyDescent="0.25">
      <c r="G2963" s="21"/>
    </row>
    <row r="2964" spans="7:7" x14ac:dyDescent="0.25">
      <c r="G2964" s="21"/>
    </row>
    <row r="2965" spans="7:7" x14ac:dyDescent="0.25">
      <c r="G2965" s="21"/>
    </row>
    <row r="2966" spans="7:7" x14ac:dyDescent="0.25">
      <c r="G2966" s="21"/>
    </row>
    <row r="2967" spans="7:7" x14ac:dyDescent="0.25">
      <c r="G2967" s="21"/>
    </row>
    <row r="2968" spans="7:7" x14ac:dyDescent="0.25">
      <c r="G2968" s="21"/>
    </row>
    <row r="2969" spans="7:7" x14ac:dyDescent="0.25">
      <c r="G2969" s="21"/>
    </row>
    <row r="2970" spans="7:7" x14ac:dyDescent="0.25">
      <c r="G2970" s="21"/>
    </row>
    <row r="2971" spans="7:7" x14ac:dyDescent="0.25">
      <c r="G2971" s="21"/>
    </row>
    <row r="2972" spans="7:7" x14ac:dyDescent="0.25">
      <c r="G2972" s="21"/>
    </row>
    <row r="2973" spans="7:7" x14ac:dyDescent="0.25">
      <c r="G2973" s="21"/>
    </row>
    <row r="2974" spans="7:7" x14ac:dyDescent="0.25">
      <c r="G2974" s="21"/>
    </row>
    <row r="2975" spans="7:7" x14ac:dyDescent="0.25">
      <c r="G2975" s="21"/>
    </row>
    <row r="2976" spans="7:7" x14ac:dyDescent="0.25">
      <c r="G2976" s="21"/>
    </row>
    <row r="2977" spans="7:7" x14ac:dyDescent="0.25">
      <c r="G2977" s="21"/>
    </row>
    <row r="2978" spans="7:7" x14ac:dyDescent="0.25">
      <c r="G2978" s="21"/>
    </row>
    <row r="2979" spans="7:7" x14ac:dyDescent="0.25">
      <c r="G2979" s="21"/>
    </row>
    <row r="2980" spans="7:7" x14ac:dyDescent="0.25">
      <c r="G2980" s="21"/>
    </row>
    <row r="2981" spans="7:7" x14ac:dyDescent="0.25">
      <c r="G2981" s="21"/>
    </row>
    <row r="2982" spans="7:7" x14ac:dyDescent="0.25">
      <c r="G2982" s="21"/>
    </row>
    <row r="2983" spans="7:7" x14ac:dyDescent="0.25">
      <c r="G2983" s="21"/>
    </row>
    <row r="2984" spans="7:7" x14ac:dyDescent="0.25">
      <c r="G2984" s="21"/>
    </row>
    <row r="2985" spans="7:7" x14ac:dyDescent="0.25">
      <c r="G2985" s="21"/>
    </row>
    <row r="2986" spans="7:7" x14ac:dyDescent="0.25">
      <c r="G2986" s="21"/>
    </row>
    <row r="2987" spans="7:7" x14ac:dyDescent="0.25">
      <c r="G2987" s="21"/>
    </row>
    <row r="2988" spans="7:7" x14ac:dyDescent="0.25">
      <c r="G2988" s="21"/>
    </row>
    <row r="2989" spans="7:7" x14ac:dyDescent="0.25">
      <c r="G2989" s="21"/>
    </row>
    <row r="2990" spans="7:7" x14ac:dyDescent="0.25">
      <c r="G2990" s="21"/>
    </row>
    <row r="2991" spans="7:7" x14ac:dyDescent="0.25">
      <c r="G2991" s="21"/>
    </row>
    <row r="2992" spans="7:7" x14ac:dyDescent="0.25">
      <c r="G2992" s="21"/>
    </row>
    <row r="2993" spans="7:7" x14ac:dyDescent="0.25">
      <c r="G2993" s="21"/>
    </row>
    <row r="2994" spans="7:7" x14ac:dyDescent="0.25">
      <c r="G2994" s="21"/>
    </row>
    <row r="2995" spans="7:7" x14ac:dyDescent="0.25">
      <c r="G2995" s="21"/>
    </row>
    <row r="2996" spans="7:7" x14ac:dyDescent="0.25">
      <c r="G2996" s="21"/>
    </row>
    <row r="2997" spans="7:7" x14ac:dyDescent="0.25">
      <c r="G2997" s="21"/>
    </row>
    <row r="2998" spans="7:7" x14ac:dyDescent="0.25">
      <c r="G2998" s="21"/>
    </row>
    <row r="2999" spans="7:7" x14ac:dyDescent="0.25">
      <c r="G2999" s="21"/>
    </row>
    <row r="3000" spans="7:7" x14ac:dyDescent="0.25">
      <c r="G3000" s="21"/>
    </row>
    <row r="3001" spans="7:7" x14ac:dyDescent="0.25">
      <c r="G3001" s="21"/>
    </row>
    <row r="3002" spans="7:7" x14ac:dyDescent="0.25">
      <c r="G3002" s="21"/>
    </row>
    <row r="3003" spans="7:7" x14ac:dyDescent="0.25">
      <c r="G3003" s="21"/>
    </row>
    <row r="3004" spans="7:7" x14ac:dyDescent="0.25">
      <c r="G3004" s="21"/>
    </row>
    <row r="3005" spans="7:7" x14ac:dyDescent="0.25">
      <c r="G3005" s="21"/>
    </row>
    <row r="3006" spans="7:7" x14ac:dyDescent="0.25">
      <c r="G3006" s="21"/>
    </row>
    <row r="3007" spans="7:7" x14ac:dyDescent="0.25">
      <c r="G3007" s="21"/>
    </row>
    <row r="3008" spans="7:7" x14ac:dyDescent="0.25">
      <c r="G3008" s="21"/>
    </row>
    <row r="3009" spans="7:7" x14ac:dyDescent="0.25">
      <c r="G3009" s="21"/>
    </row>
    <row r="3010" spans="7:7" x14ac:dyDescent="0.25">
      <c r="G3010" s="21"/>
    </row>
    <row r="3011" spans="7:7" x14ac:dyDescent="0.25">
      <c r="G3011" s="21"/>
    </row>
    <row r="3012" spans="7:7" x14ac:dyDescent="0.25">
      <c r="G3012" s="21"/>
    </row>
    <row r="3013" spans="7:7" x14ac:dyDescent="0.25">
      <c r="G3013" s="21"/>
    </row>
    <row r="3014" spans="7:7" x14ac:dyDescent="0.25">
      <c r="G3014" s="21"/>
    </row>
    <row r="3015" spans="7:7" x14ac:dyDescent="0.25">
      <c r="G3015" s="21"/>
    </row>
    <row r="3016" spans="7:7" x14ac:dyDescent="0.25">
      <c r="G3016" s="21"/>
    </row>
    <row r="3017" spans="7:7" x14ac:dyDescent="0.25">
      <c r="G3017" s="21"/>
    </row>
    <row r="3018" spans="7:7" x14ac:dyDescent="0.25">
      <c r="G3018" s="21"/>
    </row>
    <row r="3019" spans="7:7" x14ac:dyDescent="0.25">
      <c r="G3019" s="21"/>
    </row>
    <row r="3020" spans="7:7" x14ac:dyDescent="0.25">
      <c r="G3020" s="21"/>
    </row>
    <row r="3021" spans="7:7" x14ac:dyDescent="0.25">
      <c r="G3021" s="21"/>
    </row>
    <row r="3022" spans="7:7" x14ac:dyDescent="0.25">
      <c r="G3022" s="21"/>
    </row>
    <row r="3023" spans="7:7" x14ac:dyDescent="0.25">
      <c r="G3023" s="21"/>
    </row>
    <row r="3024" spans="7:7" x14ac:dyDescent="0.25">
      <c r="G3024" s="21"/>
    </row>
    <row r="3025" spans="7:7" x14ac:dyDescent="0.25">
      <c r="G3025" s="21"/>
    </row>
    <row r="3026" spans="7:7" x14ac:dyDescent="0.25">
      <c r="G3026" s="21"/>
    </row>
    <row r="3027" spans="7:7" x14ac:dyDescent="0.25">
      <c r="G3027" s="21"/>
    </row>
    <row r="3028" spans="7:7" x14ac:dyDescent="0.25">
      <c r="G3028" s="21"/>
    </row>
    <row r="3029" spans="7:7" x14ac:dyDescent="0.25">
      <c r="G3029" s="21"/>
    </row>
    <row r="3030" spans="7:7" x14ac:dyDescent="0.25">
      <c r="G3030" s="21"/>
    </row>
    <row r="3031" spans="7:7" x14ac:dyDescent="0.25">
      <c r="G3031" s="21"/>
    </row>
    <row r="3032" spans="7:7" x14ac:dyDescent="0.25">
      <c r="G3032" s="21"/>
    </row>
    <row r="3033" spans="7:7" x14ac:dyDescent="0.25">
      <c r="G3033" s="21"/>
    </row>
    <row r="3034" spans="7:7" x14ac:dyDescent="0.25">
      <c r="G3034" s="21"/>
    </row>
    <row r="3035" spans="7:7" x14ac:dyDescent="0.25">
      <c r="G3035" s="21"/>
    </row>
    <row r="3036" spans="7:7" x14ac:dyDescent="0.25">
      <c r="G3036" s="21"/>
    </row>
    <row r="3037" spans="7:7" x14ac:dyDescent="0.25">
      <c r="G3037" s="21"/>
    </row>
    <row r="3038" spans="7:7" x14ac:dyDescent="0.25">
      <c r="G3038" s="21"/>
    </row>
    <row r="3039" spans="7:7" x14ac:dyDescent="0.25">
      <c r="G3039" s="21"/>
    </row>
    <row r="3040" spans="7:7" x14ac:dyDescent="0.25">
      <c r="G3040" s="21"/>
    </row>
    <row r="3041" spans="7:7" x14ac:dyDescent="0.25">
      <c r="G3041" s="21"/>
    </row>
    <row r="3042" spans="7:7" x14ac:dyDescent="0.25">
      <c r="G3042" s="21"/>
    </row>
    <row r="3043" spans="7:7" x14ac:dyDescent="0.25">
      <c r="G3043" s="21"/>
    </row>
    <row r="3044" spans="7:7" x14ac:dyDescent="0.25">
      <c r="G3044" s="21"/>
    </row>
    <row r="3045" spans="7:7" x14ac:dyDescent="0.25">
      <c r="G3045" s="21"/>
    </row>
    <row r="3046" spans="7:7" x14ac:dyDescent="0.25">
      <c r="G3046" s="21"/>
    </row>
    <row r="3047" spans="7:7" x14ac:dyDescent="0.25">
      <c r="G3047" s="21"/>
    </row>
    <row r="3048" spans="7:7" x14ac:dyDescent="0.25">
      <c r="G3048" s="21"/>
    </row>
    <row r="3049" spans="7:7" x14ac:dyDescent="0.25">
      <c r="G3049" s="21"/>
    </row>
    <row r="3050" spans="7:7" x14ac:dyDescent="0.25">
      <c r="G3050" s="21"/>
    </row>
    <row r="3051" spans="7:7" x14ac:dyDescent="0.25">
      <c r="G3051" s="21"/>
    </row>
    <row r="3052" spans="7:7" x14ac:dyDescent="0.25">
      <c r="G3052" s="21"/>
    </row>
    <row r="3053" spans="7:7" x14ac:dyDescent="0.25">
      <c r="G3053" s="21"/>
    </row>
    <row r="3054" spans="7:7" x14ac:dyDescent="0.25">
      <c r="G3054" s="21"/>
    </row>
    <row r="3055" spans="7:7" x14ac:dyDescent="0.25">
      <c r="G3055" s="21"/>
    </row>
    <row r="3056" spans="7:7" x14ac:dyDescent="0.25">
      <c r="G3056" s="21"/>
    </row>
    <row r="3057" spans="7:7" x14ac:dyDescent="0.25">
      <c r="G3057" s="21"/>
    </row>
    <row r="3058" spans="7:7" x14ac:dyDescent="0.25">
      <c r="G3058" s="21"/>
    </row>
    <row r="3059" spans="7:7" x14ac:dyDescent="0.25">
      <c r="G3059" s="21"/>
    </row>
    <row r="3060" spans="7:7" x14ac:dyDescent="0.25">
      <c r="G3060" s="21"/>
    </row>
    <row r="3061" spans="7:7" x14ac:dyDescent="0.25">
      <c r="G3061" s="21"/>
    </row>
    <row r="3062" spans="7:7" x14ac:dyDescent="0.25">
      <c r="G3062" s="21"/>
    </row>
    <row r="3063" spans="7:7" x14ac:dyDescent="0.25">
      <c r="G3063" s="21"/>
    </row>
    <row r="3064" spans="7:7" x14ac:dyDescent="0.25">
      <c r="G3064" s="21"/>
    </row>
    <row r="3065" spans="7:7" x14ac:dyDescent="0.25">
      <c r="G3065" s="21"/>
    </row>
    <row r="3066" spans="7:7" x14ac:dyDescent="0.25">
      <c r="G3066" s="21"/>
    </row>
    <row r="3067" spans="7:7" x14ac:dyDescent="0.25">
      <c r="G3067" s="21"/>
    </row>
    <row r="3068" spans="7:7" x14ac:dyDescent="0.25">
      <c r="G3068" s="21"/>
    </row>
    <row r="3069" spans="7:7" x14ac:dyDescent="0.25">
      <c r="G3069" s="21"/>
    </row>
    <row r="3070" spans="7:7" x14ac:dyDescent="0.25">
      <c r="G3070" s="21"/>
    </row>
    <row r="3071" spans="7:7" x14ac:dyDescent="0.25">
      <c r="G3071" s="21"/>
    </row>
    <row r="3072" spans="7:7" x14ac:dyDescent="0.25">
      <c r="G3072" s="21"/>
    </row>
    <row r="3073" spans="7:7" x14ac:dyDescent="0.25">
      <c r="G3073" s="21"/>
    </row>
    <row r="3074" spans="7:7" x14ac:dyDescent="0.25">
      <c r="G3074" s="21"/>
    </row>
    <row r="3075" spans="7:7" x14ac:dyDescent="0.25">
      <c r="G3075" s="21"/>
    </row>
    <row r="3076" spans="7:7" x14ac:dyDescent="0.25">
      <c r="G3076" s="21"/>
    </row>
    <row r="3077" spans="7:7" x14ac:dyDescent="0.25">
      <c r="G3077" s="21"/>
    </row>
    <row r="3078" spans="7:7" x14ac:dyDescent="0.25">
      <c r="G3078" s="21"/>
    </row>
    <row r="3079" spans="7:7" x14ac:dyDescent="0.25">
      <c r="G3079" s="21"/>
    </row>
    <row r="3080" spans="7:7" x14ac:dyDescent="0.25">
      <c r="G3080" s="21"/>
    </row>
    <row r="3081" spans="7:7" x14ac:dyDescent="0.25">
      <c r="G3081" s="21"/>
    </row>
    <row r="3082" spans="7:7" x14ac:dyDescent="0.25">
      <c r="G3082" s="21"/>
    </row>
    <row r="3083" spans="7:7" x14ac:dyDescent="0.25">
      <c r="G3083" s="21"/>
    </row>
    <row r="3084" spans="7:7" x14ac:dyDescent="0.25">
      <c r="G3084" s="21"/>
    </row>
    <row r="3085" spans="7:7" x14ac:dyDescent="0.25">
      <c r="G3085" s="21"/>
    </row>
    <row r="3086" spans="7:7" x14ac:dyDescent="0.25">
      <c r="G3086" s="21"/>
    </row>
    <row r="3087" spans="7:7" x14ac:dyDescent="0.25">
      <c r="G3087" s="21"/>
    </row>
    <row r="3088" spans="7:7" x14ac:dyDescent="0.25">
      <c r="G3088" s="21"/>
    </row>
    <row r="3089" spans="7:7" x14ac:dyDescent="0.25">
      <c r="G3089" s="21"/>
    </row>
    <row r="3090" spans="7:7" x14ac:dyDescent="0.25">
      <c r="G3090" s="21"/>
    </row>
    <row r="3091" spans="7:7" x14ac:dyDescent="0.25">
      <c r="G3091" s="21"/>
    </row>
    <row r="3092" spans="7:7" x14ac:dyDescent="0.25">
      <c r="G3092" s="21"/>
    </row>
    <row r="3093" spans="7:7" x14ac:dyDescent="0.25">
      <c r="G3093" s="21"/>
    </row>
    <row r="3094" spans="7:7" x14ac:dyDescent="0.25">
      <c r="G3094" s="21"/>
    </row>
    <row r="3095" spans="7:7" x14ac:dyDescent="0.25">
      <c r="G3095" s="21"/>
    </row>
    <row r="3096" spans="7:7" x14ac:dyDescent="0.25">
      <c r="G3096" s="21"/>
    </row>
    <row r="3097" spans="7:7" x14ac:dyDescent="0.25">
      <c r="G3097" s="21"/>
    </row>
    <row r="3098" spans="7:7" x14ac:dyDescent="0.25">
      <c r="G3098" s="21"/>
    </row>
    <row r="3099" spans="7:7" x14ac:dyDescent="0.25">
      <c r="G3099" s="21"/>
    </row>
    <row r="3100" spans="7:7" x14ac:dyDescent="0.25">
      <c r="G3100" s="21"/>
    </row>
    <row r="3101" spans="7:7" x14ac:dyDescent="0.25">
      <c r="G3101" s="21"/>
    </row>
    <row r="3102" spans="7:7" x14ac:dyDescent="0.25">
      <c r="G3102" s="21"/>
    </row>
    <row r="3103" spans="7:7" x14ac:dyDescent="0.25">
      <c r="G3103" s="21"/>
    </row>
    <row r="3104" spans="7:7" x14ac:dyDescent="0.25">
      <c r="G3104" s="21"/>
    </row>
    <row r="3105" spans="7:7" x14ac:dyDescent="0.25">
      <c r="G3105" s="21"/>
    </row>
    <row r="3106" spans="7:7" x14ac:dyDescent="0.25">
      <c r="G3106" s="21"/>
    </row>
    <row r="3107" spans="7:7" x14ac:dyDescent="0.25">
      <c r="G3107" s="21"/>
    </row>
    <row r="3108" spans="7:7" x14ac:dyDescent="0.25">
      <c r="G3108" s="21"/>
    </row>
    <row r="3109" spans="7:7" x14ac:dyDescent="0.25">
      <c r="G3109" s="21"/>
    </row>
    <row r="3110" spans="7:7" x14ac:dyDescent="0.25">
      <c r="G3110" s="21"/>
    </row>
    <row r="3111" spans="7:7" x14ac:dyDescent="0.25">
      <c r="G3111" s="21"/>
    </row>
    <row r="3112" spans="7:7" x14ac:dyDescent="0.25">
      <c r="G3112" s="21"/>
    </row>
    <row r="3113" spans="7:7" x14ac:dyDescent="0.25">
      <c r="G3113" s="21"/>
    </row>
    <row r="3114" spans="7:7" x14ac:dyDescent="0.25">
      <c r="G3114" s="21"/>
    </row>
    <row r="3115" spans="7:7" x14ac:dyDescent="0.25">
      <c r="G3115" s="21"/>
    </row>
    <row r="3116" spans="7:7" x14ac:dyDescent="0.25">
      <c r="G3116" s="21"/>
    </row>
    <row r="3117" spans="7:7" x14ac:dyDescent="0.25">
      <c r="G3117" s="21"/>
    </row>
    <row r="3118" spans="7:7" x14ac:dyDescent="0.25">
      <c r="G3118" s="21"/>
    </row>
    <row r="3119" spans="7:7" x14ac:dyDescent="0.25">
      <c r="G3119" s="21"/>
    </row>
    <row r="3120" spans="7:7" x14ac:dyDescent="0.25">
      <c r="G3120" s="21"/>
    </row>
    <row r="3121" spans="7:7" x14ac:dyDescent="0.25">
      <c r="G3121" s="21"/>
    </row>
    <row r="3122" spans="7:7" x14ac:dyDescent="0.25">
      <c r="G3122" s="21"/>
    </row>
    <row r="3123" spans="7:7" x14ac:dyDescent="0.25">
      <c r="G3123" s="21"/>
    </row>
    <row r="3124" spans="7:7" x14ac:dyDescent="0.25">
      <c r="G3124" s="21"/>
    </row>
    <row r="3125" spans="7:7" x14ac:dyDescent="0.25">
      <c r="G3125" s="21"/>
    </row>
    <row r="3126" spans="7:7" x14ac:dyDescent="0.25">
      <c r="G3126" s="21"/>
    </row>
    <row r="3127" spans="7:7" x14ac:dyDescent="0.25">
      <c r="G3127" s="21"/>
    </row>
    <row r="3128" spans="7:7" x14ac:dyDescent="0.25">
      <c r="G3128" s="21"/>
    </row>
    <row r="3129" spans="7:7" x14ac:dyDescent="0.25">
      <c r="G3129" s="21"/>
    </row>
    <row r="3130" spans="7:7" x14ac:dyDescent="0.25">
      <c r="G3130" s="21"/>
    </row>
    <row r="3131" spans="7:7" x14ac:dyDescent="0.25">
      <c r="G3131" s="21"/>
    </row>
    <row r="3132" spans="7:7" x14ac:dyDescent="0.25">
      <c r="G3132" s="21"/>
    </row>
    <row r="3133" spans="7:7" x14ac:dyDescent="0.25">
      <c r="G3133" s="21"/>
    </row>
    <row r="3134" spans="7:7" x14ac:dyDescent="0.25">
      <c r="G3134" s="21"/>
    </row>
    <row r="3135" spans="7:7" x14ac:dyDescent="0.25">
      <c r="G3135" s="21"/>
    </row>
    <row r="3136" spans="7:7" x14ac:dyDescent="0.25">
      <c r="G3136" s="21"/>
    </row>
    <row r="3137" spans="7:7" x14ac:dyDescent="0.25">
      <c r="G3137" s="21"/>
    </row>
    <row r="3138" spans="7:7" x14ac:dyDescent="0.25">
      <c r="G3138" s="21"/>
    </row>
    <row r="3139" spans="7:7" x14ac:dyDescent="0.25">
      <c r="G3139" s="21"/>
    </row>
    <row r="3140" spans="7:7" x14ac:dyDescent="0.25">
      <c r="G3140" s="21"/>
    </row>
    <row r="3141" spans="7:7" x14ac:dyDescent="0.25">
      <c r="G3141" s="21"/>
    </row>
    <row r="3142" spans="7:7" x14ac:dyDescent="0.25">
      <c r="G3142" s="21"/>
    </row>
    <row r="3143" spans="7:7" x14ac:dyDescent="0.25">
      <c r="G3143" s="21"/>
    </row>
    <row r="3144" spans="7:7" x14ac:dyDescent="0.25">
      <c r="G3144" s="21"/>
    </row>
    <row r="3145" spans="7:7" x14ac:dyDescent="0.25">
      <c r="G3145" s="21"/>
    </row>
    <row r="3146" spans="7:7" x14ac:dyDescent="0.25">
      <c r="G3146" s="21"/>
    </row>
    <row r="3147" spans="7:7" x14ac:dyDescent="0.25">
      <c r="G3147" s="21"/>
    </row>
    <row r="3148" spans="7:7" x14ac:dyDescent="0.25">
      <c r="G3148" s="21"/>
    </row>
    <row r="3149" spans="7:7" x14ac:dyDescent="0.25">
      <c r="G3149" s="21"/>
    </row>
    <row r="3150" spans="7:7" x14ac:dyDescent="0.25">
      <c r="G3150" s="21"/>
    </row>
    <row r="3151" spans="7:7" x14ac:dyDescent="0.25">
      <c r="G3151" s="21"/>
    </row>
    <row r="3152" spans="7:7" x14ac:dyDescent="0.25">
      <c r="G3152" s="21"/>
    </row>
    <row r="3153" spans="7:7" x14ac:dyDescent="0.25">
      <c r="G3153" s="21"/>
    </row>
    <row r="3154" spans="7:7" x14ac:dyDescent="0.25">
      <c r="G3154" s="21"/>
    </row>
    <row r="3155" spans="7:7" x14ac:dyDescent="0.25">
      <c r="G3155" s="21"/>
    </row>
    <row r="3156" spans="7:7" x14ac:dyDescent="0.25">
      <c r="G3156" s="21"/>
    </row>
    <row r="3157" spans="7:7" x14ac:dyDescent="0.25">
      <c r="G3157" s="21"/>
    </row>
    <row r="3158" spans="7:7" x14ac:dyDescent="0.25">
      <c r="G3158" s="21"/>
    </row>
    <row r="3159" spans="7:7" x14ac:dyDescent="0.25">
      <c r="G3159" s="21"/>
    </row>
    <row r="3160" spans="7:7" x14ac:dyDescent="0.25">
      <c r="G3160" s="21"/>
    </row>
    <row r="3161" spans="7:7" x14ac:dyDescent="0.25">
      <c r="G3161" s="21"/>
    </row>
    <row r="3162" spans="7:7" x14ac:dyDescent="0.25">
      <c r="G3162" s="21"/>
    </row>
    <row r="3163" spans="7:7" x14ac:dyDescent="0.25">
      <c r="G3163" s="21"/>
    </row>
    <row r="3164" spans="7:7" x14ac:dyDescent="0.25">
      <c r="G3164" s="21"/>
    </row>
    <row r="3165" spans="7:7" x14ac:dyDescent="0.25">
      <c r="G3165" s="21"/>
    </row>
    <row r="3166" spans="7:7" x14ac:dyDescent="0.25">
      <c r="G3166" s="21"/>
    </row>
    <row r="3167" spans="7:7" x14ac:dyDescent="0.25">
      <c r="G3167" s="21"/>
    </row>
    <row r="3168" spans="7:7" x14ac:dyDescent="0.25">
      <c r="G3168" s="21"/>
    </row>
    <row r="3169" spans="7:7" x14ac:dyDescent="0.25">
      <c r="G3169" s="21"/>
    </row>
    <row r="3170" spans="7:7" x14ac:dyDescent="0.25">
      <c r="G3170" s="21"/>
    </row>
    <row r="3171" spans="7:7" x14ac:dyDescent="0.25">
      <c r="G3171" s="21"/>
    </row>
    <row r="3172" spans="7:7" x14ac:dyDescent="0.25">
      <c r="G3172" s="21"/>
    </row>
    <row r="3173" spans="7:7" x14ac:dyDescent="0.25">
      <c r="G3173" s="21"/>
    </row>
    <row r="3174" spans="7:7" x14ac:dyDescent="0.25">
      <c r="G3174" s="21"/>
    </row>
    <row r="3175" spans="7:7" x14ac:dyDescent="0.25">
      <c r="G3175" s="21"/>
    </row>
    <row r="3176" spans="7:7" x14ac:dyDescent="0.25">
      <c r="G3176" s="21"/>
    </row>
    <row r="3177" spans="7:7" x14ac:dyDescent="0.25">
      <c r="G3177" s="21"/>
    </row>
    <row r="3178" spans="7:7" x14ac:dyDescent="0.25">
      <c r="G3178" s="21"/>
    </row>
    <row r="3179" spans="7:7" x14ac:dyDescent="0.25">
      <c r="G3179" s="21"/>
    </row>
    <row r="3180" spans="7:7" x14ac:dyDescent="0.25">
      <c r="G3180" s="21"/>
    </row>
    <row r="3181" spans="7:7" x14ac:dyDescent="0.25">
      <c r="G3181" s="21"/>
    </row>
    <row r="3182" spans="7:7" x14ac:dyDescent="0.25">
      <c r="G3182" s="21"/>
    </row>
    <row r="3183" spans="7:7" x14ac:dyDescent="0.25">
      <c r="G3183" s="21"/>
    </row>
    <row r="3184" spans="7:7" x14ac:dyDescent="0.25">
      <c r="G3184" s="21"/>
    </row>
    <row r="3185" spans="7:7" x14ac:dyDescent="0.25">
      <c r="G3185" s="21"/>
    </row>
    <row r="3186" spans="7:7" x14ac:dyDescent="0.25">
      <c r="G3186" s="21"/>
    </row>
    <row r="3187" spans="7:7" x14ac:dyDescent="0.25">
      <c r="G3187" s="21"/>
    </row>
    <row r="3188" spans="7:7" x14ac:dyDescent="0.25">
      <c r="G3188" s="21"/>
    </row>
    <row r="3189" spans="7:7" x14ac:dyDescent="0.25">
      <c r="G3189" s="21"/>
    </row>
    <row r="3190" spans="7:7" x14ac:dyDescent="0.25">
      <c r="G3190" s="21"/>
    </row>
    <row r="3191" spans="7:7" x14ac:dyDescent="0.25">
      <c r="G3191" s="21"/>
    </row>
    <row r="3192" spans="7:7" x14ac:dyDescent="0.25">
      <c r="G3192" s="21"/>
    </row>
    <row r="3193" spans="7:7" x14ac:dyDescent="0.25">
      <c r="G3193" s="21"/>
    </row>
    <row r="3194" spans="7:7" x14ac:dyDescent="0.25">
      <c r="G3194" s="21"/>
    </row>
    <row r="3195" spans="7:7" x14ac:dyDescent="0.25">
      <c r="G3195" s="21"/>
    </row>
    <row r="3196" spans="7:7" x14ac:dyDescent="0.25">
      <c r="G3196" s="21"/>
    </row>
    <row r="3197" spans="7:7" x14ac:dyDescent="0.25">
      <c r="G3197" s="21"/>
    </row>
    <row r="3198" spans="7:7" x14ac:dyDescent="0.25">
      <c r="G3198" s="21"/>
    </row>
    <row r="3199" spans="7:7" x14ac:dyDescent="0.25">
      <c r="G3199" s="21"/>
    </row>
    <row r="3200" spans="7:7" x14ac:dyDescent="0.25">
      <c r="G3200" s="21"/>
    </row>
    <row r="3201" spans="7:7" x14ac:dyDescent="0.25">
      <c r="G3201" s="21"/>
    </row>
    <row r="3202" spans="7:7" x14ac:dyDescent="0.25">
      <c r="G3202" s="21"/>
    </row>
    <row r="3203" spans="7:7" x14ac:dyDescent="0.25">
      <c r="G3203" s="21"/>
    </row>
    <row r="3204" spans="7:7" x14ac:dyDescent="0.25">
      <c r="G3204" s="21"/>
    </row>
    <row r="3205" spans="7:7" x14ac:dyDescent="0.25">
      <c r="G3205" s="21"/>
    </row>
    <row r="3206" spans="7:7" x14ac:dyDescent="0.25">
      <c r="G3206" s="21"/>
    </row>
    <row r="3207" spans="7:7" x14ac:dyDescent="0.25">
      <c r="G3207" s="21"/>
    </row>
    <row r="3208" spans="7:7" x14ac:dyDescent="0.25">
      <c r="G3208" s="21"/>
    </row>
    <row r="3209" spans="7:7" x14ac:dyDescent="0.25">
      <c r="G3209" s="21"/>
    </row>
    <row r="3210" spans="7:7" x14ac:dyDescent="0.25">
      <c r="G3210" s="21"/>
    </row>
    <row r="3211" spans="7:7" x14ac:dyDescent="0.25">
      <c r="G3211" s="21"/>
    </row>
    <row r="3212" spans="7:7" x14ac:dyDescent="0.25">
      <c r="G3212" s="21"/>
    </row>
    <row r="3213" spans="7:7" x14ac:dyDescent="0.25">
      <c r="G3213" s="21"/>
    </row>
    <row r="3214" spans="7:7" x14ac:dyDescent="0.25">
      <c r="G3214" s="21"/>
    </row>
    <row r="3215" spans="7:7" x14ac:dyDescent="0.25">
      <c r="G3215" s="21"/>
    </row>
    <row r="3216" spans="7:7" x14ac:dyDescent="0.25">
      <c r="G3216" s="21"/>
    </row>
    <row r="3217" spans="7:7" x14ac:dyDescent="0.25">
      <c r="G3217" s="21"/>
    </row>
    <row r="3218" spans="7:7" x14ac:dyDescent="0.25">
      <c r="G3218" s="21"/>
    </row>
    <row r="3219" spans="7:7" x14ac:dyDescent="0.25">
      <c r="G3219" s="21"/>
    </row>
    <row r="3220" spans="7:7" x14ac:dyDescent="0.25">
      <c r="G3220" s="21"/>
    </row>
    <row r="3221" spans="7:7" x14ac:dyDescent="0.25">
      <c r="G3221" s="21"/>
    </row>
    <row r="3222" spans="7:7" x14ac:dyDescent="0.25">
      <c r="G3222" s="21"/>
    </row>
    <row r="3223" spans="7:7" x14ac:dyDescent="0.25">
      <c r="G3223" s="21"/>
    </row>
    <row r="3224" spans="7:7" x14ac:dyDescent="0.25">
      <c r="G3224" s="21"/>
    </row>
    <row r="3225" spans="7:7" x14ac:dyDescent="0.25">
      <c r="G3225" s="21"/>
    </row>
    <row r="3226" spans="7:7" x14ac:dyDescent="0.25">
      <c r="G3226" s="21"/>
    </row>
    <row r="3227" spans="7:7" x14ac:dyDescent="0.25">
      <c r="G3227" s="21"/>
    </row>
    <row r="3228" spans="7:7" x14ac:dyDescent="0.25">
      <c r="G3228" s="21"/>
    </row>
    <row r="3229" spans="7:7" x14ac:dyDescent="0.25">
      <c r="G3229" s="21"/>
    </row>
    <row r="3230" spans="7:7" x14ac:dyDescent="0.25">
      <c r="G3230" s="21"/>
    </row>
    <row r="3231" spans="7:7" x14ac:dyDescent="0.25">
      <c r="G3231" s="21"/>
    </row>
    <row r="3232" spans="7:7" x14ac:dyDescent="0.25">
      <c r="G3232" s="21"/>
    </row>
    <row r="3233" spans="7:7" x14ac:dyDescent="0.25">
      <c r="G3233" s="21"/>
    </row>
    <row r="3234" spans="7:7" x14ac:dyDescent="0.25">
      <c r="G3234" s="21"/>
    </row>
    <row r="3235" spans="7:7" x14ac:dyDescent="0.25">
      <c r="G3235" s="21"/>
    </row>
    <row r="3236" spans="7:7" x14ac:dyDescent="0.25">
      <c r="G3236" s="21"/>
    </row>
    <row r="3237" spans="7:7" x14ac:dyDescent="0.25">
      <c r="G3237" s="21"/>
    </row>
    <row r="3238" spans="7:7" x14ac:dyDescent="0.25">
      <c r="G3238" s="21"/>
    </row>
    <row r="3239" spans="7:7" x14ac:dyDescent="0.25">
      <c r="G3239" s="21"/>
    </row>
    <row r="3240" spans="7:7" x14ac:dyDescent="0.25">
      <c r="G3240" s="21"/>
    </row>
    <row r="3241" spans="7:7" x14ac:dyDescent="0.25">
      <c r="G3241" s="21"/>
    </row>
    <row r="3242" spans="7:7" x14ac:dyDescent="0.25">
      <c r="G3242" s="21"/>
    </row>
    <row r="3243" spans="7:7" x14ac:dyDescent="0.25">
      <c r="G3243" s="21"/>
    </row>
    <row r="3244" spans="7:7" x14ac:dyDescent="0.25">
      <c r="G3244" s="21"/>
    </row>
    <row r="3245" spans="7:7" x14ac:dyDescent="0.25">
      <c r="G3245" s="21"/>
    </row>
    <row r="3246" spans="7:7" x14ac:dyDescent="0.25">
      <c r="G3246" s="21"/>
    </row>
    <row r="3247" spans="7:7" x14ac:dyDescent="0.25">
      <c r="G3247" s="21"/>
    </row>
    <row r="3248" spans="7:7" x14ac:dyDescent="0.25">
      <c r="G3248" s="21"/>
    </row>
    <row r="3249" spans="7:7" x14ac:dyDescent="0.25">
      <c r="G3249" s="21"/>
    </row>
    <row r="3250" spans="7:7" x14ac:dyDescent="0.25">
      <c r="G3250" s="21"/>
    </row>
    <row r="3251" spans="7:7" x14ac:dyDescent="0.25">
      <c r="G3251" s="21"/>
    </row>
    <row r="3252" spans="7:7" x14ac:dyDescent="0.25">
      <c r="G3252" s="21"/>
    </row>
    <row r="3253" spans="7:7" x14ac:dyDescent="0.25">
      <c r="G3253" s="21"/>
    </row>
    <row r="3254" spans="7:7" x14ac:dyDescent="0.25">
      <c r="G3254" s="21"/>
    </row>
    <row r="3255" spans="7:7" x14ac:dyDescent="0.25">
      <c r="G3255" s="21"/>
    </row>
    <row r="3256" spans="7:7" x14ac:dyDescent="0.25">
      <c r="G3256" s="21"/>
    </row>
    <row r="3257" spans="7:7" x14ac:dyDescent="0.25">
      <c r="G3257" s="21"/>
    </row>
    <row r="3258" spans="7:7" x14ac:dyDescent="0.25">
      <c r="G3258" s="21"/>
    </row>
    <row r="3259" spans="7:7" x14ac:dyDescent="0.25">
      <c r="G3259" s="21"/>
    </row>
    <row r="3260" spans="7:7" x14ac:dyDescent="0.25">
      <c r="G3260" s="21"/>
    </row>
    <row r="3261" spans="7:7" x14ac:dyDescent="0.25">
      <c r="G3261" s="21"/>
    </row>
    <row r="3262" spans="7:7" x14ac:dyDescent="0.25">
      <c r="G3262" s="21"/>
    </row>
    <row r="3263" spans="7:7" x14ac:dyDescent="0.25">
      <c r="G3263" s="21"/>
    </row>
    <row r="3264" spans="7:7" x14ac:dyDescent="0.25">
      <c r="G3264" s="21"/>
    </row>
    <row r="3265" spans="7:7" x14ac:dyDescent="0.25">
      <c r="G3265" s="21"/>
    </row>
    <row r="3266" spans="7:7" x14ac:dyDescent="0.25">
      <c r="G3266" s="21"/>
    </row>
    <row r="3267" spans="7:7" x14ac:dyDescent="0.25">
      <c r="G3267" s="21"/>
    </row>
    <row r="3268" spans="7:7" x14ac:dyDescent="0.25">
      <c r="G3268" s="21"/>
    </row>
    <row r="3269" spans="7:7" x14ac:dyDescent="0.25">
      <c r="G3269" s="21"/>
    </row>
    <row r="3270" spans="7:7" x14ac:dyDescent="0.25">
      <c r="G3270" s="21"/>
    </row>
    <row r="3271" spans="7:7" x14ac:dyDescent="0.25">
      <c r="G3271" s="21"/>
    </row>
    <row r="3272" spans="7:7" x14ac:dyDescent="0.25">
      <c r="G3272" s="21"/>
    </row>
    <row r="3273" spans="7:7" x14ac:dyDescent="0.25">
      <c r="G3273" s="21"/>
    </row>
    <row r="3274" spans="7:7" x14ac:dyDescent="0.25">
      <c r="G3274" s="21"/>
    </row>
    <row r="3275" spans="7:7" x14ac:dyDescent="0.25">
      <c r="G3275" s="21"/>
    </row>
    <row r="3276" spans="7:7" x14ac:dyDescent="0.25">
      <c r="G3276" s="21"/>
    </row>
    <row r="3277" spans="7:7" x14ac:dyDescent="0.25">
      <c r="G3277" s="21"/>
    </row>
    <row r="3278" spans="7:7" x14ac:dyDescent="0.25">
      <c r="G3278" s="21"/>
    </row>
    <row r="3279" spans="7:7" x14ac:dyDescent="0.25">
      <c r="G3279" s="21"/>
    </row>
    <row r="3280" spans="7:7" x14ac:dyDescent="0.25">
      <c r="G3280" s="21"/>
    </row>
    <row r="3281" spans="7:7" x14ac:dyDescent="0.25">
      <c r="G3281" s="21"/>
    </row>
    <row r="3282" spans="7:7" x14ac:dyDescent="0.25">
      <c r="G3282" s="21"/>
    </row>
    <row r="3283" spans="7:7" x14ac:dyDescent="0.25">
      <c r="G3283" s="21"/>
    </row>
    <row r="3284" spans="7:7" x14ac:dyDescent="0.25">
      <c r="G3284" s="21"/>
    </row>
    <row r="3285" spans="7:7" x14ac:dyDescent="0.25">
      <c r="G3285" s="21"/>
    </row>
    <row r="3286" spans="7:7" x14ac:dyDescent="0.25">
      <c r="G3286" s="21"/>
    </row>
    <row r="3287" spans="7:7" x14ac:dyDescent="0.25">
      <c r="G3287" s="21"/>
    </row>
    <row r="3288" spans="7:7" x14ac:dyDescent="0.25">
      <c r="G3288" s="21"/>
    </row>
    <row r="3289" spans="7:7" x14ac:dyDescent="0.25">
      <c r="G3289" s="21"/>
    </row>
    <row r="3290" spans="7:7" x14ac:dyDescent="0.25">
      <c r="G3290" s="21"/>
    </row>
    <row r="3291" spans="7:7" x14ac:dyDescent="0.25">
      <c r="G3291" s="21"/>
    </row>
    <row r="3292" spans="7:7" x14ac:dyDescent="0.25">
      <c r="G3292" s="21"/>
    </row>
    <row r="3293" spans="7:7" x14ac:dyDescent="0.25">
      <c r="G3293" s="21"/>
    </row>
    <row r="3294" spans="7:7" x14ac:dyDescent="0.25">
      <c r="G3294" s="21"/>
    </row>
    <row r="3295" spans="7:7" x14ac:dyDescent="0.25">
      <c r="G3295" s="21"/>
    </row>
    <row r="3296" spans="7:7" x14ac:dyDescent="0.25">
      <c r="G3296" s="21"/>
    </row>
    <row r="3297" spans="7:7" x14ac:dyDescent="0.25">
      <c r="G3297" s="21"/>
    </row>
    <row r="3298" spans="7:7" x14ac:dyDescent="0.25">
      <c r="G3298" s="21"/>
    </row>
    <row r="3299" spans="7:7" x14ac:dyDescent="0.25">
      <c r="G3299" s="21"/>
    </row>
    <row r="3300" spans="7:7" x14ac:dyDescent="0.25">
      <c r="G3300" s="21"/>
    </row>
    <row r="3301" spans="7:7" x14ac:dyDescent="0.25">
      <c r="G3301" s="21"/>
    </row>
    <row r="3302" spans="7:7" x14ac:dyDescent="0.25">
      <c r="G3302" s="21"/>
    </row>
    <row r="3303" spans="7:7" x14ac:dyDescent="0.25">
      <c r="G3303" s="21"/>
    </row>
    <row r="3304" spans="7:7" x14ac:dyDescent="0.25">
      <c r="G3304" s="21"/>
    </row>
    <row r="3305" spans="7:7" x14ac:dyDescent="0.25">
      <c r="G3305" s="21"/>
    </row>
    <row r="3306" spans="7:7" x14ac:dyDescent="0.25">
      <c r="G3306" s="21"/>
    </row>
    <row r="3307" spans="7:7" x14ac:dyDescent="0.25">
      <c r="G3307" s="21"/>
    </row>
    <row r="3308" spans="7:7" x14ac:dyDescent="0.25">
      <c r="G3308" s="21"/>
    </row>
    <row r="3309" spans="7:7" x14ac:dyDescent="0.25">
      <c r="G3309" s="21"/>
    </row>
    <row r="3310" spans="7:7" x14ac:dyDescent="0.25">
      <c r="G3310" s="21"/>
    </row>
    <row r="3311" spans="7:7" x14ac:dyDescent="0.25">
      <c r="G3311" s="21"/>
    </row>
    <row r="3312" spans="7:7" x14ac:dyDescent="0.25">
      <c r="G3312" s="21"/>
    </row>
    <row r="3313" spans="7:7" x14ac:dyDescent="0.25">
      <c r="G3313" s="21"/>
    </row>
    <row r="3314" spans="7:7" x14ac:dyDescent="0.25">
      <c r="G3314" s="21"/>
    </row>
    <row r="3315" spans="7:7" x14ac:dyDescent="0.25">
      <c r="G3315" s="21"/>
    </row>
    <row r="3316" spans="7:7" x14ac:dyDescent="0.25">
      <c r="G3316" s="21"/>
    </row>
    <row r="3317" spans="7:7" x14ac:dyDescent="0.25">
      <c r="G3317" s="21"/>
    </row>
    <row r="3318" spans="7:7" x14ac:dyDescent="0.25">
      <c r="G3318" s="21"/>
    </row>
    <row r="3319" spans="7:7" x14ac:dyDescent="0.25">
      <c r="G3319" s="21"/>
    </row>
    <row r="3320" spans="7:7" x14ac:dyDescent="0.25">
      <c r="G3320" s="21"/>
    </row>
    <row r="3321" spans="7:7" x14ac:dyDescent="0.25">
      <c r="G3321" s="21"/>
    </row>
    <row r="3322" spans="7:7" x14ac:dyDescent="0.25">
      <c r="G3322" s="21"/>
    </row>
    <row r="3323" spans="7:7" x14ac:dyDescent="0.25">
      <c r="G3323" s="21"/>
    </row>
    <row r="3324" spans="7:7" x14ac:dyDescent="0.25">
      <c r="G3324" s="21"/>
    </row>
    <row r="3325" spans="7:7" x14ac:dyDescent="0.25">
      <c r="G3325" s="21"/>
    </row>
    <row r="3326" spans="7:7" x14ac:dyDescent="0.25">
      <c r="G3326" s="21"/>
    </row>
    <row r="3327" spans="7:7" x14ac:dyDescent="0.25">
      <c r="G3327" s="21"/>
    </row>
    <row r="3328" spans="7:7" x14ac:dyDescent="0.25">
      <c r="G3328" s="21"/>
    </row>
    <row r="3329" spans="7:7" x14ac:dyDescent="0.25">
      <c r="G3329" s="21"/>
    </row>
    <row r="3330" spans="7:7" x14ac:dyDescent="0.25">
      <c r="G3330" s="21"/>
    </row>
    <row r="3331" spans="7:7" x14ac:dyDescent="0.25">
      <c r="G3331" s="21"/>
    </row>
    <row r="3332" spans="7:7" x14ac:dyDescent="0.25">
      <c r="G3332" s="21"/>
    </row>
    <row r="3333" spans="7:7" x14ac:dyDescent="0.25">
      <c r="G3333" s="21"/>
    </row>
    <row r="3334" spans="7:7" x14ac:dyDescent="0.25">
      <c r="G3334" s="21"/>
    </row>
    <row r="3335" spans="7:7" x14ac:dyDescent="0.25">
      <c r="G3335" s="21"/>
    </row>
    <row r="3336" spans="7:7" x14ac:dyDescent="0.25">
      <c r="G3336" s="21"/>
    </row>
    <row r="3337" spans="7:7" x14ac:dyDescent="0.25">
      <c r="G3337" s="21"/>
    </row>
    <row r="3338" spans="7:7" x14ac:dyDescent="0.25">
      <c r="G3338" s="21"/>
    </row>
    <row r="3339" spans="7:7" x14ac:dyDescent="0.25">
      <c r="G3339" s="21"/>
    </row>
    <row r="3340" spans="7:7" x14ac:dyDescent="0.25">
      <c r="G3340" s="21"/>
    </row>
    <row r="3341" spans="7:7" x14ac:dyDescent="0.25">
      <c r="G3341" s="21"/>
    </row>
    <row r="3342" spans="7:7" x14ac:dyDescent="0.25">
      <c r="G3342" s="21"/>
    </row>
    <row r="3343" spans="7:7" x14ac:dyDescent="0.25">
      <c r="G3343" s="21"/>
    </row>
    <row r="3344" spans="7:7" x14ac:dyDescent="0.25">
      <c r="G3344" s="21"/>
    </row>
    <row r="3345" spans="7:7" x14ac:dyDescent="0.25">
      <c r="G3345" s="21"/>
    </row>
    <row r="3346" spans="7:7" x14ac:dyDescent="0.25">
      <c r="G3346" s="21"/>
    </row>
    <row r="3347" spans="7:7" x14ac:dyDescent="0.25">
      <c r="G3347" s="21"/>
    </row>
    <row r="3348" spans="7:7" x14ac:dyDescent="0.25">
      <c r="G3348" s="21"/>
    </row>
    <row r="3349" spans="7:7" x14ac:dyDescent="0.25">
      <c r="G3349" s="21"/>
    </row>
    <row r="3350" spans="7:7" x14ac:dyDescent="0.25">
      <c r="G3350" s="21"/>
    </row>
    <row r="3351" spans="7:7" x14ac:dyDescent="0.25">
      <c r="G3351" s="21"/>
    </row>
    <row r="3352" spans="7:7" x14ac:dyDescent="0.25">
      <c r="G3352" s="21"/>
    </row>
    <row r="3353" spans="7:7" x14ac:dyDescent="0.25">
      <c r="G3353" s="21"/>
    </row>
    <row r="3354" spans="7:7" x14ac:dyDescent="0.25">
      <c r="G3354" s="21"/>
    </row>
    <row r="3355" spans="7:7" x14ac:dyDescent="0.25">
      <c r="G3355" s="21"/>
    </row>
    <row r="3356" spans="7:7" x14ac:dyDescent="0.25">
      <c r="G3356" s="21"/>
    </row>
    <row r="3357" spans="7:7" x14ac:dyDescent="0.25">
      <c r="G3357" s="21"/>
    </row>
    <row r="3358" spans="7:7" x14ac:dyDescent="0.25">
      <c r="G3358" s="21"/>
    </row>
    <row r="3359" spans="7:7" x14ac:dyDescent="0.25">
      <c r="G3359" s="21"/>
    </row>
    <row r="3360" spans="7:7" x14ac:dyDescent="0.25">
      <c r="G3360" s="21"/>
    </row>
    <row r="3361" spans="7:7" x14ac:dyDescent="0.25">
      <c r="G3361" s="21"/>
    </row>
    <row r="3362" spans="7:7" x14ac:dyDescent="0.25">
      <c r="G3362" s="21"/>
    </row>
    <row r="3363" spans="7:7" x14ac:dyDescent="0.25">
      <c r="G3363" s="21"/>
    </row>
    <row r="3364" spans="7:7" x14ac:dyDescent="0.25">
      <c r="G3364" s="21"/>
    </row>
    <row r="3365" spans="7:7" x14ac:dyDescent="0.25">
      <c r="G3365" s="21"/>
    </row>
    <row r="3366" spans="7:7" x14ac:dyDescent="0.25">
      <c r="G3366" s="21"/>
    </row>
    <row r="3367" spans="7:7" x14ac:dyDescent="0.25">
      <c r="G3367" s="21"/>
    </row>
    <row r="3368" spans="7:7" x14ac:dyDescent="0.25">
      <c r="G3368" s="21"/>
    </row>
    <row r="3369" spans="7:7" x14ac:dyDescent="0.25">
      <c r="G3369" s="21"/>
    </row>
    <row r="3370" spans="7:7" x14ac:dyDescent="0.25">
      <c r="G3370" s="21"/>
    </row>
    <row r="3371" spans="7:7" x14ac:dyDescent="0.25">
      <c r="G3371" s="21"/>
    </row>
    <row r="3372" spans="7:7" x14ac:dyDescent="0.25">
      <c r="G3372" s="21"/>
    </row>
    <row r="3373" spans="7:7" x14ac:dyDescent="0.25">
      <c r="G3373" s="21"/>
    </row>
    <row r="3374" spans="7:7" x14ac:dyDescent="0.25">
      <c r="G3374" s="21"/>
    </row>
    <row r="3375" spans="7:7" x14ac:dyDescent="0.25">
      <c r="G3375" s="21"/>
    </row>
    <row r="3376" spans="7:7" x14ac:dyDescent="0.25">
      <c r="G3376" s="21"/>
    </row>
    <row r="3377" spans="7:7" x14ac:dyDescent="0.25">
      <c r="G3377" s="21"/>
    </row>
    <row r="3378" spans="7:7" x14ac:dyDescent="0.25">
      <c r="G3378" s="21"/>
    </row>
    <row r="3379" spans="7:7" x14ac:dyDescent="0.25">
      <c r="G3379" s="21"/>
    </row>
    <row r="3380" spans="7:7" x14ac:dyDescent="0.25">
      <c r="G3380" s="21"/>
    </row>
    <row r="3381" spans="7:7" x14ac:dyDescent="0.25">
      <c r="G3381" s="21"/>
    </row>
    <row r="3382" spans="7:7" x14ac:dyDescent="0.25">
      <c r="G3382" s="21"/>
    </row>
    <row r="3383" spans="7:7" x14ac:dyDescent="0.25">
      <c r="G3383" s="21"/>
    </row>
    <row r="3384" spans="7:7" x14ac:dyDescent="0.25">
      <c r="G3384" s="21"/>
    </row>
    <row r="3385" spans="7:7" x14ac:dyDescent="0.25">
      <c r="G3385" s="21"/>
    </row>
    <row r="3386" spans="7:7" x14ac:dyDescent="0.25">
      <c r="G3386" s="21"/>
    </row>
    <row r="3387" spans="7:7" x14ac:dyDescent="0.25">
      <c r="G3387" s="21"/>
    </row>
    <row r="3388" spans="7:7" x14ac:dyDescent="0.25">
      <c r="G3388" s="21"/>
    </row>
    <row r="3389" spans="7:7" x14ac:dyDescent="0.25">
      <c r="G3389" s="21"/>
    </row>
    <row r="3390" spans="7:7" x14ac:dyDescent="0.25">
      <c r="G3390" s="21"/>
    </row>
    <row r="3391" spans="7:7" x14ac:dyDescent="0.25">
      <c r="G3391" s="21"/>
    </row>
    <row r="3392" spans="7:7" x14ac:dyDescent="0.25">
      <c r="G3392" s="21"/>
    </row>
    <row r="3393" spans="7:7" x14ac:dyDescent="0.25">
      <c r="G3393" s="21"/>
    </row>
    <row r="3394" spans="7:7" x14ac:dyDescent="0.25">
      <c r="G3394" s="21"/>
    </row>
    <row r="3395" spans="7:7" x14ac:dyDescent="0.25">
      <c r="G3395" s="21"/>
    </row>
    <row r="3396" spans="7:7" x14ac:dyDescent="0.25">
      <c r="G3396" s="21"/>
    </row>
    <row r="3397" spans="7:7" x14ac:dyDescent="0.25">
      <c r="G3397" s="21"/>
    </row>
    <row r="3398" spans="7:7" x14ac:dyDescent="0.25">
      <c r="G3398" s="21"/>
    </row>
    <row r="3399" spans="7:7" x14ac:dyDescent="0.25">
      <c r="G3399" s="21"/>
    </row>
    <row r="3400" spans="7:7" x14ac:dyDescent="0.25">
      <c r="G3400" s="21"/>
    </row>
    <row r="3401" spans="7:7" x14ac:dyDescent="0.25">
      <c r="G3401" s="21"/>
    </row>
    <row r="3402" spans="7:7" x14ac:dyDescent="0.25">
      <c r="G3402" s="21"/>
    </row>
    <row r="3403" spans="7:7" x14ac:dyDescent="0.25">
      <c r="G3403" s="21"/>
    </row>
    <row r="3404" spans="7:7" x14ac:dyDescent="0.25">
      <c r="G3404" s="21"/>
    </row>
    <row r="3405" spans="7:7" x14ac:dyDescent="0.25">
      <c r="G3405" s="21"/>
    </row>
    <row r="3406" spans="7:7" x14ac:dyDescent="0.25">
      <c r="G3406" s="21"/>
    </row>
    <row r="3407" spans="7:7" x14ac:dyDescent="0.25">
      <c r="G3407" s="21"/>
    </row>
    <row r="3408" spans="7:7" x14ac:dyDescent="0.25">
      <c r="G3408" s="21"/>
    </row>
    <row r="3409" spans="7:7" x14ac:dyDescent="0.25">
      <c r="G3409" s="21"/>
    </row>
    <row r="3410" spans="7:7" x14ac:dyDescent="0.25">
      <c r="G3410" s="21"/>
    </row>
    <row r="3411" spans="7:7" x14ac:dyDescent="0.25">
      <c r="G3411" s="21"/>
    </row>
    <row r="3412" spans="7:7" x14ac:dyDescent="0.25">
      <c r="G3412" s="21"/>
    </row>
    <row r="3413" spans="7:7" x14ac:dyDescent="0.25">
      <c r="G3413" s="21"/>
    </row>
    <row r="3414" spans="7:7" x14ac:dyDescent="0.25">
      <c r="G3414" s="21"/>
    </row>
    <row r="3415" spans="7:7" x14ac:dyDescent="0.25">
      <c r="G3415" s="21"/>
    </row>
    <row r="3416" spans="7:7" x14ac:dyDescent="0.25">
      <c r="G3416" s="21"/>
    </row>
    <row r="3417" spans="7:7" x14ac:dyDescent="0.25">
      <c r="G3417" s="21"/>
    </row>
    <row r="3418" spans="7:7" x14ac:dyDescent="0.25">
      <c r="G3418" s="21"/>
    </row>
    <row r="3419" spans="7:7" x14ac:dyDescent="0.25">
      <c r="G3419" s="21"/>
    </row>
    <row r="3420" spans="7:7" x14ac:dyDescent="0.25">
      <c r="G3420" s="21"/>
    </row>
    <row r="3421" spans="7:7" x14ac:dyDescent="0.25">
      <c r="G3421" s="21"/>
    </row>
    <row r="3422" spans="7:7" x14ac:dyDescent="0.25">
      <c r="G3422" s="21"/>
    </row>
    <row r="3423" spans="7:7" x14ac:dyDescent="0.25">
      <c r="G3423" s="21"/>
    </row>
    <row r="3424" spans="7:7" x14ac:dyDescent="0.25">
      <c r="G3424" s="21"/>
    </row>
    <row r="3425" spans="7:7" x14ac:dyDescent="0.25">
      <c r="G3425" s="21"/>
    </row>
    <row r="3426" spans="7:7" x14ac:dyDescent="0.25">
      <c r="G3426" s="21"/>
    </row>
    <row r="3427" spans="7:7" x14ac:dyDescent="0.25">
      <c r="G3427" s="21"/>
    </row>
    <row r="3428" spans="7:7" x14ac:dyDescent="0.25">
      <c r="G3428" s="21"/>
    </row>
    <row r="3429" spans="7:7" x14ac:dyDescent="0.25">
      <c r="G3429" s="21"/>
    </row>
    <row r="3430" spans="7:7" x14ac:dyDescent="0.25">
      <c r="G3430" s="21"/>
    </row>
    <row r="3431" spans="7:7" x14ac:dyDescent="0.25">
      <c r="G3431" s="21"/>
    </row>
    <row r="3432" spans="7:7" x14ac:dyDescent="0.25">
      <c r="G3432" s="21"/>
    </row>
    <row r="3433" spans="7:7" x14ac:dyDescent="0.25">
      <c r="G3433" s="21"/>
    </row>
    <row r="3434" spans="7:7" x14ac:dyDescent="0.25">
      <c r="G3434" s="21"/>
    </row>
    <row r="3435" spans="7:7" x14ac:dyDescent="0.25">
      <c r="G3435" s="21"/>
    </row>
    <row r="3436" spans="7:7" x14ac:dyDescent="0.25">
      <c r="G3436" s="21"/>
    </row>
    <row r="3437" spans="7:7" x14ac:dyDescent="0.25">
      <c r="G3437" s="21"/>
    </row>
    <row r="3438" spans="7:7" x14ac:dyDescent="0.25">
      <c r="G3438" s="21"/>
    </row>
    <row r="3439" spans="7:7" x14ac:dyDescent="0.25">
      <c r="G3439" s="21"/>
    </row>
    <row r="3440" spans="7:7" x14ac:dyDescent="0.25">
      <c r="G3440" s="21"/>
    </row>
    <row r="3441" spans="7:7" x14ac:dyDescent="0.25">
      <c r="G3441" s="21"/>
    </row>
    <row r="3442" spans="7:7" x14ac:dyDescent="0.25">
      <c r="G3442" s="21"/>
    </row>
    <row r="3443" spans="7:7" x14ac:dyDescent="0.25">
      <c r="G3443" s="21"/>
    </row>
    <row r="3444" spans="7:7" x14ac:dyDescent="0.25">
      <c r="G3444" s="21"/>
    </row>
    <row r="3445" spans="7:7" x14ac:dyDescent="0.25">
      <c r="G3445" s="21"/>
    </row>
    <row r="3446" spans="7:7" x14ac:dyDescent="0.25">
      <c r="G3446" s="21"/>
    </row>
    <row r="3447" spans="7:7" x14ac:dyDescent="0.25">
      <c r="G3447" s="21"/>
    </row>
    <row r="3448" spans="7:7" x14ac:dyDescent="0.25">
      <c r="G3448" s="21"/>
    </row>
    <row r="3449" spans="7:7" x14ac:dyDescent="0.25">
      <c r="G3449" s="21"/>
    </row>
    <row r="3450" spans="7:7" x14ac:dyDescent="0.25">
      <c r="G3450" s="21"/>
    </row>
    <row r="3451" spans="7:7" x14ac:dyDescent="0.25">
      <c r="G3451" s="21"/>
    </row>
    <row r="3452" spans="7:7" x14ac:dyDescent="0.25">
      <c r="G3452" s="21"/>
    </row>
    <row r="3453" spans="7:7" x14ac:dyDescent="0.25">
      <c r="G3453" s="21"/>
    </row>
    <row r="3454" spans="7:7" x14ac:dyDescent="0.25">
      <c r="G3454" s="21"/>
    </row>
    <row r="3455" spans="7:7" x14ac:dyDescent="0.25">
      <c r="G3455" s="21"/>
    </row>
    <row r="3456" spans="7:7" x14ac:dyDescent="0.25">
      <c r="G3456" s="21"/>
    </row>
    <row r="3457" spans="7:7" x14ac:dyDescent="0.25">
      <c r="G3457" s="21"/>
    </row>
    <row r="3458" spans="7:7" x14ac:dyDescent="0.25">
      <c r="G3458" s="21"/>
    </row>
    <row r="3459" spans="7:7" x14ac:dyDescent="0.25">
      <c r="G3459" s="21"/>
    </row>
    <row r="3460" spans="7:7" x14ac:dyDescent="0.25">
      <c r="G3460" s="21"/>
    </row>
    <row r="3461" spans="7:7" x14ac:dyDescent="0.25">
      <c r="G3461" s="21"/>
    </row>
    <row r="3462" spans="7:7" x14ac:dyDescent="0.25">
      <c r="G3462" s="21"/>
    </row>
    <row r="3463" spans="7:7" x14ac:dyDescent="0.25">
      <c r="G3463" s="21"/>
    </row>
    <row r="3464" spans="7:7" x14ac:dyDescent="0.25">
      <c r="G3464" s="21"/>
    </row>
    <row r="3465" spans="7:7" x14ac:dyDescent="0.25">
      <c r="G3465" s="21"/>
    </row>
    <row r="3466" spans="7:7" x14ac:dyDescent="0.25">
      <c r="G3466" s="21"/>
    </row>
    <row r="3467" spans="7:7" x14ac:dyDescent="0.25">
      <c r="G3467" s="21"/>
    </row>
    <row r="3468" spans="7:7" x14ac:dyDescent="0.25">
      <c r="G3468" s="21"/>
    </row>
    <row r="3469" spans="7:7" x14ac:dyDescent="0.25">
      <c r="G3469" s="21"/>
    </row>
    <row r="3470" spans="7:7" x14ac:dyDescent="0.25">
      <c r="G3470" s="21"/>
    </row>
    <row r="3471" spans="7:7" x14ac:dyDescent="0.25">
      <c r="G3471" s="21"/>
    </row>
    <row r="3472" spans="7:7" x14ac:dyDescent="0.25">
      <c r="G3472" s="21"/>
    </row>
    <row r="3473" spans="7:7" x14ac:dyDescent="0.25">
      <c r="G3473" s="21"/>
    </row>
    <row r="3474" spans="7:7" x14ac:dyDescent="0.25">
      <c r="G3474" s="21"/>
    </row>
    <row r="3475" spans="7:7" x14ac:dyDescent="0.25">
      <c r="G3475" s="21"/>
    </row>
    <row r="3476" spans="7:7" x14ac:dyDescent="0.25">
      <c r="G3476" s="21"/>
    </row>
    <row r="3477" spans="7:7" x14ac:dyDescent="0.25">
      <c r="G3477" s="21"/>
    </row>
    <row r="3478" spans="7:7" x14ac:dyDescent="0.25">
      <c r="G3478" s="21"/>
    </row>
    <row r="3479" spans="7:7" x14ac:dyDescent="0.25">
      <c r="G3479" s="21"/>
    </row>
    <row r="3480" spans="7:7" x14ac:dyDescent="0.25">
      <c r="G3480" s="21"/>
    </row>
    <row r="3481" spans="7:7" x14ac:dyDescent="0.25">
      <c r="G3481" s="21"/>
    </row>
    <row r="3482" spans="7:7" x14ac:dyDescent="0.25">
      <c r="G3482" s="21"/>
    </row>
    <row r="3483" spans="7:7" x14ac:dyDescent="0.25">
      <c r="G3483" s="21"/>
    </row>
    <row r="3484" spans="7:7" x14ac:dyDescent="0.25">
      <c r="G3484" s="21"/>
    </row>
    <row r="3485" spans="7:7" x14ac:dyDescent="0.25">
      <c r="G3485" s="21"/>
    </row>
    <row r="3486" spans="7:7" x14ac:dyDescent="0.25">
      <c r="G3486" s="21"/>
    </row>
    <row r="3487" spans="7:7" x14ac:dyDescent="0.25">
      <c r="G3487" s="21"/>
    </row>
    <row r="3488" spans="7:7" x14ac:dyDescent="0.25">
      <c r="G3488" s="21"/>
    </row>
    <row r="3489" spans="7:7" x14ac:dyDescent="0.25">
      <c r="G3489" s="21"/>
    </row>
    <row r="3490" spans="7:7" x14ac:dyDescent="0.25">
      <c r="G3490" s="21"/>
    </row>
    <row r="3491" spans="7:7" x14ac:dyDescent="0.25">
      <c r="G3491" s="21"/>
    </row>
    <row r="3492" spans="7:7" x14ac:dyDescent="0.25">
      <c r="G3492" s="21"/>
    </row>
    <row r="3493" spans="7:7" x14ac:dyDescent="0.25">
      <c r="G3493" s="21"/>
    </row>
    <row r="3494" spans="7:7" x14ac:dyDescent="0.25">
      <c r="G3494" s="21"/>
    </row>
    <row r="3495" spans="7:7" x14ac:dyDescent="0.25">
      <c r="G3495" s="21"/>
    </row>
    <row r="3496" spans="7:7" x14ac:dyDescent="0.25">
      <c r="G3496" s="21"/>
    </row>
    <row r="3497" spans="7:7" x14ac:dyDescent="0.25">
      <c r="G3497" s="21"/>
    </row>
    <row r="3498" spans="7:7" x14ac:dyDescent="0.25">
      <c r="G3498" s="21"/>
    </row>
    <row r="3499" spans="7:7" x14ac:dyDescent="0.25">
      <c r="G3499" s="21"/>
    </row>
    <row r="3500" spans="7:7" x14ac:dyDescent="0.25">
      <c r="G3500" s="21"/>
    </row>
    <row r="3501" spans="7:7" x14ac:dyDescent="0.25">
      <c r="G3501" s="21"/>
    </row>
    <row r="3502" spans="7:7" x14ac:dyDescent="0.25">
      <c r="G3502" s="21"/>
    </row>
    <row r="3503" spans="7:7" x14ac:dyDescent="0.25">
      <c r="G3503" s="21"/>
    </row>
    <row r="3504" spans="7:7" x14ac:dyDescent="0.25">
      <c r="G3504" s="21"/>
    </row>
    <row r="3505" spans="7:7" x14ac:dyDescent="0.25">
      <c r="G3505" s="21"/>
    </row>
    <row r="3506" spans="7:7" x14ac:dyDescent="0.25">
      <c r="G3506" s="21"/>
    </row>
    <row r="3507" spans="7:7" x14ac:dyDescent="0.25">
      <c r="G3507" s="21"/>
    </row>
    <row r="3508" spans="7:7" x14ac:dyDescent="0.25">
      <c r="G3508" s="21"/>
    </row>
    <row r="3509" spans="7:7" x14ac:dyDescent="0.25">
      <c r="G3509" s="21"/>
    </row>
    <row r="3510" spans="7:7" x14ac:dyDescent="0.25">
      <c r="G3510" s="21"/>
    </row>
    <row r="3511" spans="7:7" x14ac:dyDescent="0.25">
      <c r="G3511" s="21"/>
    </row>
    <row r="3512" spans="7:7" x14ac:dyDescent="0.25">
      <c r="G3512" s="21"/>
    </row>
    <row r="3513" spans="7:7" x14ac:dyDescent="0.25">
      <c r="G3513" s="21"/>
    </row>
    <row r="3514" spans="7:7" x14ac:dyDescent="0.25">
      <c r="G3514" s="21"/>
    </row>
    <row r="3515" spans="7:7" x14ac:dyDescent="0.25">
      <c r="G3515" s="21"/>
    </row>
    <row r="3516" spans="7:7" x14ac:dyDescent="0.25">
      <c r="G3516" s="21"/>
    </row>
    <row r="3517" spans="7:7" x14ac:dyDescent="0.25">
      <c r="G3517" s="21"/>
    </row>
    <row r="3518" spans="7:7" x14ac:dyDescent="0.25">
      <c r="G3518" s="21"/>
    </row>
    <row r="3519" spans="7:7" x14ac:dyDescent="0.25">
      <c r="G3519" s="21"/>
    </row>
    <row r="3520" spans="7:7" x14ac:dyDescent="0.25">
      <c r="G3520" s="21"/>
    </row>
    <row r="3521" spans="7:7" x14ac:dyDescent="0.25">
      <c r="G3521" s="21"/>
    </row>
    <row r="3522" spans="7:7" x14ac:dyDescent="0.25">
      <c r="G3522" s="21"/>
    </row>
    <row r="3523" spans="7:7" x14ac:dyDescent="0.25">
      <c r="G3523" s="21"/>
    </row>
    <row r="3524" spans="7:7" x14ac:dyDescent="0.25">
      <c r="G3524" s="21"/>
    </row>
    <row r="3525" spans="7:7" x14ac:dyDescent="0.25">
      <c r="G3525" s="21"/>
    </row>
    <row r="3526" spans="7:7" x14ac:dyDescent="0.25">
      <c r="G3526" s="21"/>
    </row>
    <row r="3527" spans="7:7" x14ac:dyDescent="0.25">
      <c r="G3527" s="21"/>
    </row>
    <row r="3528" spans="7:7" x14ac:dyDescent="0.25">
      <c r="G3528" s="21"/>
    </row>
    <row r="3529" spans="7:7" x14ac:dyDescent="0.25">
      <c r="G3529" s="21"/>
    </row>
    <row r="3530" spans="7:7" x14ac:dyDescent="0.25">
      <c r="G3530" s="21"/>
    </row>
    <row r="3531" spans="7:7" x14ac:dyDescent="0.25">
      <c r="G3531" s="21"/>
    </row>
    <row r="3532" spans="7:7" x14ac:dyDescent="0.25">
      <c r="G3532" s="21"/>
    </row>
    <row r="3533" spans="7:7" x14ac:dyDescent="0.25">
      <c r="G3533" s="21"/>
    </row>
    <row r="3534" spans="7:7" x14ac:dyDescent="0.25">
      <c r="G3534" s="21"/>
    </row>
    <row r="3535" spans="7:7" x14ac:dyDescent="0.25">
      <c r="G3535" s="21"/>
    </row>
    <row r="3536" spans="7:7" x14ac:dyDescent="0.25">
      <c r="G3536" s="21"/>
    </row>
    <row r="3537" spans="7:7" x14ac:dyDescent="0.25">
      <c r="G3537" s="21"/>
    </row>
    <row r="3538" spans="7:7" x14ac:dyDescent="0.25">
      <c r="G3538" s="21"/>
    </row>
    <row r="3539" spans="7:7" x14ac:dyDescent="0.25">
      <c r="G3539" s="21"/>
    </row>
    <row r="3540" spans="7:7" x14ac:dyDescent="0.25">
      <c r="G3540" s="21"/>
    </row>
    <row r="3541" spans="7:7" x14ac:dyDescent="0.25">
      <c r="G3541" s="21"/>
    </row>
    <row r="3542" spans="7:7" x14ac:dyDescent="0.25">
      <c r="G3542" s="21"/>
    </row>
    <row r="3543" spans="7:7" x14ac:dyDescent="0.25">
      <c r="G3543" s="21"/>
    </row>
    <row r="3544" spans="7:7" x14ac:dyDescent="0.25">
      <c r="G3544" s="21"/>
    </row>
    <row r="3545" spans="7:7" x14ac:dyDescent="0.25">
      <c r="G3545" s="21"/>
    </row>
    <row r="3546" spans="7:7" x14ac:dyDescent="0.25">
      <c r="G3546" s="21"/>
    </row>
    <row r="3547" spans="7:7" x14ac:dyDescent="0.25">
      <c r="G3547" s="21"/>
    </row>
    <row r="3548" spans="7:7" x14ac:dyDescent="0.25">
      <c r="G3548" s="21"/>
    </row>
    <row r="3549" spans="7:7" x14ac:dyDescent="0.25">
      <c r="G3549" s="21"/>
    </row>
    <row r="3550" spans="7:7" x14ac:dyDescent="0.25">
      <c r="G3550" s="21"/>
    </row>
    <row r="3551" spans="7:7" x14ac:dyDescent="0.25">
      <c r="G3551" s="21"/>
    </row>
    <row r="3552" spans="7:7" x14ac:dyDescent="0.25">
      <c r="G3552" s="21"/>
    </row>
    <row r="3553" spans="7:7" x14ac:dyDescent="0.25">
      <c r="G3553" s="21"/>
    </row>
    <row r="3554" spans="7:7" x14ac:dyDescent="0.25">
      <c r="G3554" s="21"/>
    </row>
    <row r="3555" spans="7:7" x14ac:dyDescent="0.25">
      <c r="G3555" s="21"/>
    </row>
    <row r="3556" spans="7:7" x14ac:dyDescent="0.25">
      <c r="G3556" s="21"/>
    </row>
    <row r="3557" spans="7:7" x14ac:dyDescent="0.25">
      <c r="G3557" s="21"/>
    </row>
    <row r="3558" spans="7:7" x14ac:dyDescent="0.25">
      <c r="G3558" s="21"/>
    </row>
    <row r="3559" spans="7:7" x14ac:dyDescent="0.25">
      <c r="G3559" s="21"/>
    </row>
    <row r="3560" spans="7:7" x14ac:dyDescent="0.25">
      <c r="G3560" s="21"/>
    </row>
    <row r="3561" spans="7:7" x14ac:dyDescent="0.25">
      <c r="G3561" s="21"/>
    </row>
    <row r="3562" spans="7:7" x14ac:dyDescent="0.25">
      <c r="G3562" s="21"/>
    </row>
    <row r="3563" spans="7:7" x14ac:dyDescent="0.25">
      <c r="G3563" s="21"/>
    </row>
    <row r="3564" spans="7:7" x14ac:dyDescent="0.25">
      <c r="G3564" s="21"/>
    </row>
    <row r="3565" spans="7:7" x14ac:dyDescent="0.25">
      <c r="G3565" s="21"/>
    </row>
    <row r="3566" spans="7:7" x14ac:dyDescent="0.25">
      <c r="G3566" s="21"/>
    </row>
    <row r="3567" spans="7:7" x14ac:dyDescent="0.25">
      <c r="G3567" s="21"/>
    </row>
    <row r="3568" spans="7:7" x14ac:dyDescent="0.25">
      <c r="G3568" s="21"/>
    </row>
    <row r="3569" spans="7:7" x14ac:dyDescent="0.25">
      <c r="G3569" s="21"/>
    </row>
    <row r="3570" spans="7:7" x14ac:dyDescent="0.25">
      <c r="G3570" s="21"/>
    </row>
    <row r="3571" spans="7:7" x14ac:dyDescent="0.25">
      <c r="G3571" s="21"/>
    </row>
    <row r="3572" spans="7:7" x14ac:dyDescent="0.25">
      <c r="G3572" s="21"/>
    </row>
    <row r="3573" spans="7:7" x14ac:dyDescent="0.25">
      <c r="G3573" s="21"/>
    </row>
    <row r="3574" spans="7:7" x14ac:dyDescent="0.25">
      <c r="G3574" s="21"/>
    </row>
    <row r="3575" spans="7:7" x14ac:dyDescent="0.25">
      <c r="G3575" s="21"/>
    </row>
    <row r="3576" spans="7:7" x14ac:dyDescent="0.25">
      <c r="G3576" s="21"/>
    </row>
    <row r="3577" spans="7:7" x14ac:dyDescent="0.25">
      <c r="G3577" s="21"/>
    </row>
    <row r="3578" spans="7:7" x14ac:dyDescent="0.25">
      <c r="G3578" s="21"/>
    </row>
    <row r="3579" spans="7:7" x14ac:dyDescent="0.25">
      <c r="G3579" s="21"/>
    </row>
    <row r="3580" spans="7:7" x14ac:dyDescent="0.25">
      <c r="G3580" s="21"/>
    </row>
    <row r="3581" spans="7:7" x14ac:dyDescent="0.25">
      <c r="G3581" s="21"/>
    </row>
    <row r="3582" spans="7:7" x14ac:dyDescent="0.25">
      <c r="G3582" s="21"/>
    </row>
    <row r="3583" spans="7:7" x14ac:dyDescent="0.25">
      <c r="G3583" s="21"/>
    </row>
    <row r="3584" spans="7:7" x14ac:dyDescent="0.25">
      <c r="G3584" s="21"/>
    </row>
    <row r="3585" spans="7:7" x14ac:dyDescent="0.25">
      <c r="G3585" s="21"/>
    </row>
    <row r="3586" spans="7:7" x14ac:dyDescent="0.25">
      <c r="G3586" s="21"/>
    </row>
    <row r="3587" spans="7:7" x14ac:dyDescent="0.25">
      <c r="G3587" s="21"/>
    </row>
    <row r="3588" spans="7:7" x14ac:dyDescent="0.25">
      <c r="G3588" s="21"/>
    </row>
    <row r="3589" spans="7:7" x14ac:dyDescent="0.25">
      <c r="G3589" s="21"/>
    </row>
    <row r="3590" spans="7:7" x14ac:dyDescent="0.25">
      <c r="G3590" s="21"/>
    </row>
    <row r="3591" spans="7:7" x14ac:dyDescent="0.25">
      <c r="G3591" s="21"/>
    </row>
    <row r="3592" spans="7:7" x14ac:dyDescent="0.25">
      <c r="G3592" s="21"/>
    </row>
    <row r="3593" spans="7:7" x14ac:dyDescent="0.25">
      <c r="G3593" s="21"/>
    </row>
    <row r="3594" spans="7:7" x14ac:dyDescent="0.25">
      <c r="G3594" s="21"/>
    </row>
    <row r="3595" spans="7:7" x14ac:dyDescent="0.25">
      <c r="G3595" s="21"/>
    </row>
    <row r="3596" spans="7:7" x14ac:dyDescent="0.25">
      <c r="G3596" s="21"/>
    </row>
    <row r="3597" spans="7:7" x14ac:dyDescent="0.25">
      <c r="G3597" s="21"/>
    </row>
    <row r="3598" spans="7:7" x14ac:dyDescent="0.25">
      <c r="G3598" s="21"/>
    </row>
    <row r="3599" spans="7:7" x14ac:dyDescent="0.25">
      <c r="G3599" s="21"/>
    </row>
    <row r="3600" spans="7:7" x14ac:dyDescent="0.25">
      <c r="G3600" s="21"/>
    </row>
    <row r="3601" spans="7:7" x14ac:dyDescent="0.25">
      <c r="G3601" s="21"/>
    </row>
    <row r="3602" spans="7:7" x14ac:dyDescent="0.25">
      <c r="G3602" s="21"/>
    </row>
    <row r="3603" spans="7:7" x14ac:dyDescent="0.25">
      <c r="G3603" s="21"/>
    </row>
    <row r="3604" spans="7:7" x14ac:dyDescent="0.25">
      <c r="G3604" s="21"/>
    </row>
    <row r="3605" spans="7:7" x14ac:dyDescent="0.25">
      <c r="G3605" s="21"/>
    </row>
    <row r="3606" spans="7:7" x14ac:dyDescent="0.25">
      <c r="G3606" s="21"/>
    </row>
    <row r="3607" spans="7:7" x14ac:dyDescent="0.25">
      <c r="G3607" s="21"/>
    </row>
    <row r="3608" spans="7:7" x14ac:dyDescent="0.25">
      <c r="G3608" s="21"/>
    </row>
    <row r="3609" spans="7:7" x14ac:dyDescent="0.25">
      <c r="G3609" s="21"/>
    </row>
    <row r="3610" spans="7:7" x14ac:dyDescent="0.25">
      <c r="G3610" s="21"/>
    </row>
    <row r="3611" spans="7:7" x14ac:dyDescent="0.25">
      <c r="G3611" s="21"/>
    </row>
    <row r="3612" spans="7:7" x14ac:dyDescent="0.25">
      <c r="G3612" s="21"/>
    </row>
    <row r="3613" spans="7:7" x14ac:dyDescent="0.25">
      <c r="G3613" s="21"/>
    </row>
    <row r="3614" spans="7:7" x14ac:dyDescent="0.25">
      <c r="G3614" s="21"/>
    </row>
    <row r="3615" spans="7:7" x14ac:dyDescent="0.25">
      <c r="G3615" s="21"/>
    </row>
    <row r="3616" spans="7:7" x14ac:dyDescent="0.25">
      <c r="G3616" s="21"/>
    </row>
    <row r="3617" spans="7:7" x14ac:dyDescent="0.25">
      <c r="G3617" s="21"/>
    </row>
    <row r="3618" spans="7:7" x14ac:dyDescent="0.25">
      <c r="G3618" s="21"/>
    </row>
    <row r="3619" spans="7:7" x14ac:dyDescent="0.25">
      <c r="G3619" s="21"/>
    </row>
    <row r="3620" spans="7:7" x14ac:dyDescent="0.25">
      <c r="G3620" s="21"/>
    </row>
    <row r="3621" spans="7:7" x14ac:dyDescent="0.25">
      <c r="G3621" s="21"/>
    </row>
    <row r="3622" spans="7:7" x14ac:dyDescent="0.25">
      <c r="G3622" s="21"/>
    </row>
    <row r="3623" spans="7:7" x14ac:dyDescent="0.25">
      <c r="G3623" s="21"/>
    </row>
    <row r="3624" spans="7:7" x14ac:dyDescent="0.25">
      <c r="G3624" s="21"/>
    </row>
    <row r="3625" spans="7:7" x14ac:dyDescent="0.25">
      <c r="G3625" s="21"/>
    </row>
    <row r="3626" spans="7:7" x14ac:dyDescent="0.25">
      <c r="G3626" s="21"/>
    </row>
    <row r="3627" spans="7:7" x14ac:dyDescent="0.25">
      <c r="G3627" s="21"/>
    </row>
    <row r="3628" spans="7:7" x14ac:dyDescent="0.25">
      <c r="G3628" s="21"/>
    </row>
    <row r="3629" spans="7:7" x14ac:dyDescent="0.25">
      <c r="G3629" s="21"/>
    </row>
    <row r="3630" spans="7:7" x14ac:dyDescent="0.25">
      <c r="G3630" s="21"/>
    </row>
    <row r="3631" spans="7:7" x14ac:dyDescent="0.25">
      <c r="G3631" s="21"/>
    </row>
    <row r="3632" spans="7:7" x14ac:dyDescent="0.25">
      <c r="G3632" s="21"/>
    </row>
    <row r="3633" spans="7:7" x14ac:dyDescent="0.25">
      <c r="G3633" s="21"/>
    </row>
    <row r="3634" spans="7:7" x14ac:dyDescent="0.25">
      <c r="G3634" s="21"/>
    </row>
    <row r="3635" spans="7:7" x14ac:dyDescent="0.25">
      <c r="G3635" s="21"/>
    </row>
    <row r="3636" spans="7:7" x14ac:dyDescent="0.25">
      <c r="G3636" s="21"/>
    </row>
    <row r="3637" spans="7:7" x14ac:dyDescent="0.25">
      <c r="G3637" s="21"/>
    </row>
    <row r="3638" spans="7:7" x14ac:dyDescent="0.25">
      <c r="G3638" s="21"/>
    </row>
    <row r="3639" spans="7:7" x14ac:dyDescent="0.25">
      <c r="G3639" s="21"/>
    </row>
    <row r="3640" spans="7:7" x14ac:dyDescent="0.25">
      <c r="G3640" s="21"/>
    </row>
    <row r="3641" spans="7:7" x14ac:dyDescent="0.25">
      <c r="G3641" s="21"/>
    </row>
    <row r="3642" spans="7:7" x14ac:dyDescent="0.25">
      <c r="G3642" s="21"/>
    </row>
    <row r="3643" spans="7:7" x14ac:dyDescent="0.25">
      <c r="G3643" s="21"/>
    </row>
    <row r="3644" spans="7:7" x14ac:dyDescent="0.25">
      <c r="G3644" s="21"/>
    </row>
    <row r="3645" spans="7:7" x14ac:dyDescent="0.25">
      <c r="G3645" s="21"/>
    </row>
    <row r="3646" spans="7:7" x14ac:dyDescent="0.25">
      <c r="G3646" s="21"/>
    </row>
    <row r="3647" spans="7:7" x14ac:dyDescent="0.25">
      <c r="G3647" s="21"/>
    </row>
    <row r="3648" spans="7:7" x14ac:dyDescent="0.25">
      <c r="G3648" s="21"/>
    </row>
    <row r="3649" spans="7:7" x14ac:dyDescent="0.25">
      <c r="G3649" s="21"/>
    </row>
    <row r="3650" spans="7:7" x14ac:dyDescent="0.25">
      <c r="G3650" s="21"/>
    </row>
    <row r="3651" spans="7:7" x14ac:dyDescent="0.25">
      <c r="G3651" s="21"/>
    </row>
    <row r="3652" spans="7:7" x14ac:dyDescent="0.25">
      <c r="G3652" s="21"/>
    </row>
    <row r="3653" spans="7:7" x14ac:dyDescent="0.25">
      <c r="G3653" s="21"/>
    </row>
    <row r="3654" spans="7:7" x14ac:dyDescent="0.25">
      <c r="G3654" s="21"/>
    </row>
    <row r="3655" spans="7:7" x14ac:dyDescent="0.25">
      <c r="G3655" s="21"/>
    </row>
    <row r="3656" spans="7:7" x14ac:dyDescent="0.25">
      <c r="G3656" s="21"/>
    </row>
    <row r="3657" spans="7:7" x14ac:dyDescent="0.25">
      <c r="G3657" s="21"/>
    </row>
    <row r="3658" spans="7:7" x14ac:dyDescent="0.25">
      <c r="G3658" s="21"/>
    </row>
    <row r="3659" spans="7:7" x14ac:dyDescent="0.25">
      <c r="G3659" s="21"/>
    </row>
    <row r="3660" spans="7:7" x14ac:dyDescent="0.25">
      <c r="G3660" s="21"/>
    </row>
    <row r="3661" spans="7:7" x14ac:dyDescent="0.25">
      <c r="G3661" s="21"/>
    </row>
    <row r="3662" spans="7:7" x14ac:dyDescent="0.25">
      <c r="G3662" s="21"/>
    </row>
    <row r="3663" spans="7:7" x14ac:dyDescent="0.25">
      <c r="G3663" s="21"/>
    </row>
    <row r="3664" spans="7:7" x14ac:dyDescent="0.25">
      <c r="G3664" s="21"/>
    </row>
    <row r="3665" spans="7:7" x14ac:dyDescent="0.25">
      <c r="G3665" s="21"/>
    </row>
    <row r="3666" spans="7:7" x14ac:dyDescent="0.25">
      <c r="G3666" s="21"/>
    </row>
    <row r="3667" spans="7:7" x14ac:dyDescent="0.25">
      <c r="G3667" s="21"/>
    </row>
    <row r="3668" spans="7:7" x14ac:dyDescent="0.25">
      <c r="G3668" s="21"/>
    </row>
    <row r="3669" spans="7:7" x14ac:dyDescent="0.25">
      <c r="G3669" s="21"/>
    </row>
    <row r="3670" spans="7:7" x14ac:dyDescent="0.25">
      <c r="G3670" s="21"/>
    </row>
    <row r="3671" spans="7:7" x14ac:dyDescent="0.25">
      <c r="G3671" s="21"/>
    </row>
    <row r="3672" spans="7:7" x14ac:dyDescent="0.25">
      <c r="G3672" s="21"/>
    </row>
    <row r="3673" spans="7:7" x14ac:dyDescent="0.25">
      <c r="G3673" s="21"/>
    </row>
    <row r="3674" spans="7:7" x14ac:dyDescent="0.25">
      <c r="G3674" s="21"/>
    </row>
    <row r="3675" spans="7:7" x14ac:dyDescent="0.25">
      <c r="G3675" s="21"/>
    </row>
    <row r="3676" spans="7:7" x14ac:dyDescent="0.25">
      <c r="G3676" s="21"/>
    </row>
    <row r="3677" spans="7:7" x14ac:dyDescent="0.25">
      <c r="G3677" s="21"/>
    </row>
    <row r="3678" spans="7:7" x14ac:dyDescent="0.25">
      <c r="G3678" s="21"/>
    </row>
    <row r="3679" spans="7:7" x14ac:dyDescent="0.25">
      <c r="G3679" s="21"/>
    </row>
    <row r="3680" spans="7:7" x14ac:dyDescent="0.25">
      <c r="G3680" s="21"/>
    </row>
    <row r="3681" spans="7:7" x14ac:dyDescent="0.25">
      <c r="G3681" s="21"/>
    </row>
    <row r="3682" spans="7:7" x14ac:dyDescent="0.25">
      <c r="G3682" s="21"/>
    </row>
    <row r="3683" spans="7:7" x14ac:dyDescent="0.25">
      <c r="G3683" s="21"/>
    </row>
    <row r="3684" spans="7:7" x14ac:dyDescent="0.25">
      <c r="G3684" s="21"/>
    </row>
    <row r="3685" spans="7:7" x14ac:dyDescent="0.25">
      <c r="G3685" s="21"/>
    </row>
    <row r="3686" spans="7:7" x14ac:dyDescent="0.25">
      <c r="G3686" s="21"/>
    </row>
    <row r="3687" spans="7:7" x14ac:dyDescent="0.25">
      <c r="G3687" s="21"/>
    </row>
    <row r="3688" spans="7:7" x14ac:dyDescent="0.25">
      <c r="G3688" s="21"/>
    </row>
    <row r="3689" spans="7:7" x14ac:dyDescent="0.25">
      <c r="G3689" s="21"/>
    </row>
    <row r="3690" spans="7:7" x14ac:dyDescent="0.25">
      <c r="G3690" s="21"/>
    </row>
    <row r="3691" spans="7:7" x14ac:dyDescent="0.25">
      <c r="G3691" s="21"/>
    </row>
    <row r="3692" spans="7:7" x14ac:dyDescent="0.25">
      <c r="G3692" s="21"/>
    </row>
    <row r="3693" spans="7:7" x14ac:dyDescent="0.25">
      <c r="G3693" s="21"/>
    </row>
    <row r="3694" spans="7:7" x14ac:dyDescent="0.25">
      <c r="G3694" s="21"/>
    </row>
    <row r="3695" spans="7:7" x14ac:dyDescent="0.25">
      <c r="G3695" s="21"/>
    </row>
    <row r="3696" spans="7:7" x14ac:dyDescent="0.25">
      <c r="G3696" s="21"/>
    </row>
    <row r="3697" spans="7:7" x14ac:dyDescent="0.25">
      <c r="G3697" s="21"/>
    </row>
    <row r="3698" spans="7:7" x14ac:dyDescent="0.25">
      <c r="G3698" s="21"/>
    </row>
    <row r="3699" spans="7:7" x14ac:dyDescent="0.25">
      <c r="G3699" s="21"/>
    </row>
    <row r="3700" spans="7:7" x14ac:dyDescent="0.25">
      <c r="G3700" s="21"/>
    </row>
    <row r="3701" spans="7:7" x14ac:dyDescent="0.25">
      <c r="G3701" s="21"/>
    </row>
    <row r="3702" spans="7:7" x14ac:dyDescent="0.25">
      <c r="G3702" s="21"/>
    </row>
    <row r="3703" spans="7:7" x14ac:dyDescent="0.25">
      <c r="G3703" s="21"/>
    </row>
    <row r="3704" spans="7:7" x14ac:dyDescent="0.25">
      <c r="G3704" s="21"/>
    </row>
    <row r="3705" spans="7:7" x14ac:dyDescent="0.25">
      <c r="G3705" s="21"/>
    </row>
    <row r="3706" spans="7:7" x14ac:dyDescent="0.25">
      <c r="G3706" s="21"/>
    </row>
    <row r="3707" spans="7:7" x14ac:dyDescent="0.25">
      <c r="G3707" s="21"/>
    </row>
    <row r="3708" spans="7:7" x14ac:dyDescent="0.25">
      <c r="G3708" s="21"/>
    </row>
    <row r="3709" spans="7:7" x14ac:dyDescent="0.25">
      <c r="G3709" s="21"/>
    </row>
    <row r="3710" spans="7:7" x14ac:dyDescent="0.25">
      <c r="G3710" s="21"/>
    </row>
    <row r="3711" spans="7:7" x14ac:dyDescent="0.25">
      <c r="G3711" s="21"/>
    </row>
    <row r="3712" spans="7:7" x14ac:dyDescent="0.25">
      <c r="G3712" s="21"/>
    </row>
    <row r="3713" spans="7:7" x14ac:dyDescent="0.25">
      <c r="G3713" s="21"/>
    </row>
    <row r="3714" spans="7:7" x14ac:dyDescent="0.25">
      <c r="G3714" s="21"/>
    </row>
    <row r="3715" spans="7:7" x14ac:dyDescent="0.25">
      <c r="G3715" s="21"/>
    </row>
    <row r="3716" spans="7:7" x14ac:dyDescent="0.25">
      <c r="G3716" s="21"/>
    </row>
    <row r="3717" spans="7:7" x14ac:dyDescent="0.25">
      <c r="G3717" s="21"/>
    </row>
    <row r="3718" spans="7:7" x14ac:dyDescent="0.25">
      <c r="G3718" s="21"/>
    </row>
    <row r="3719" spans="7:7" x14ac:dyDescent="0.25">
      <c r="G3719" s="21"/>
    </row>
    <row r="3720" spans="7:7" x14ac:dyDescent="0.25">
      <c r="G3720" s="21"/>
    </row>
    <row r="3721" spans="7:7" x14ac:dyDescent="0.25">
      <c r="G3721" s="21"/>
    </row>
    <row r="3722" spans="7:7" x14ac:dyDescent="0.25">
      <c r="G3722" s="21"/>
    </row>
    <row r="3723" spans="7:7" x14ac:dyDescent="0.25">
      <c r="G3723" s="21"/>
    </row>
    <row r="3724" spans="7:7" x14ac:dyDescent="0.25">
      <c r="G3724" s="21"/>
    </row>
    <row r="3725" spans="7:7" x14ac:dyDescent="0.25">
      <c r="G3725" s="21"/>
    </row>
    <row r="3726" spans="7:7" x14ac:dyDescent="0.25">
      <c r="G3726" s="21"/>
    </row>
    <row r="3727" spans="7:7" x14ac:dyDescent="0.25">
      <c r="G3727" s="21"/>
    </row>
    <row r="3728" spans="7:7" x14ac:dyDescent="0.25">
      <c r="G3728" s="21"/>
    </row>
    <row r="3729" spans="7:7" x14ac:dyDescent="0.25">
      <c r="G3729" s="21"/>
    </row>
    <row r="3730" spans="7:7" x14ac:dyDescent="0.25">
      <c r="G3730" s="21"/>
    </row>
    <row r="3731" spans="7:7" x14ac:dyDescent="0.25">
      <c r="G3731" s="21"/>
    </row>
    <row r="3732" spans="7:7" x14ac:dyDescent="0.25">
      <c r="G3732" s="21"/>
    </row>
    <row r="3733" spans="7:7" x14ac:dyDescent="0.25">
      <c r="G3733" s="21"/>
    </row>
    <row r="3734" spans="7:7" x14ac:dyDescent="0.25">
      <c r="G3734" s="21"/>
    </row>
    <row r="3735" spans="7:7" x14ac:dyDescent="0.25">
      <c r="G3735" s="21"/>
    </row>
    <row r="3736" spans="7:7" x14ac:dyDescent="0.25">
      <c r="G3736" s="21"/>
    </row>
    <row r="3737" spans="7:7" x14ac:dyDescent="0.25">
      <c r="G3737" s="21"/>
    </row>
    <row r="3738" spans="7:7" x14ac:dyDescent="0.25">
      <c r="G3738" s="21"/>
    </row>
    <row r="3739" spans="7:7" x14ac:dyDescent="0.25">
      <c r="G3739" s="21"/>
    </row>
    <row r="3740" spans="7:7" x14ac:dyDescent="0.25">
      <c r="G3740" s="21"/>
    </row>
    <row r="3741" spans="7:7" x14ac:dyDescent="0.25">
      <c r="G3741" s="21"/>
    </row>
    <row r="3742" spans="7:7" x14ac:dyDescent="0.25">
      <c r="G3742" s="21"/>
    </row>
    <row r="3743" spans="7:7" x14ac:dyDescent="0.25">
      <c r="G3743" s="21"/>
    </row>
    <row r="3744" spans="7:7" x14ac:dyDescent="0.25">
      <c r="G3744" s="21"/>
    </row>
    <row r="3745" spans="7:7" x14ac:dyDescent="0.25">
      <c r="G3745" s="21"/>
    </row>
    <row r="3746" spans="7:7" x14ac:dyDescent="0.25">
      <c r="G3746" s="21"/>
    </row>
    <row r="3747" spans="7:7" x14ac:dyDescent="0.25">
      <c r="G3747" s="21"/>
    </row>
    <row r="3748" spans="7:7" x14ac:dyDescent="0.25">
      <c r="G3748" s="21"/>
    </row>
    <row r="3749" spans="7:7" x14ac:dyDescent="0.25">
      <c r="G3749" s="21"/>
    </row>
    <row r="3750" spans="7:7" x14ac:dyDescent="0.25">
      <c r="G3750" s="21"/>
    </row>
    <row r="3751" spans="7:7" x14ac:dyDescent="0.25">
      <c r="G3751" s="21"/>
    </row>
    <row r="3752" spans="7:7" x14ac:dyDescent="0.25">
      <c r="G3752" s="21"/>
    </row>
    <row r="3753" spans="7:7" x14ac:dyDescent="0.25">
      <c r="G3753" s="21"/>
    </row>
    <row r="3754" spans="7:7" x14ac:dyDescent="0.25">
      <c r="G3754" s="21"/>
    </row>
    <row r="3755" spans="7:7" x14ac:dyDescent="0.25">
      <c r="G3755" s="21"/>
    </row>
    <row r="3756" spans="7:7" x14ac:dyDescent="0.25">
      <c r="G3756" s="21"/>
    </row>
    <row r="3757" spans="7:7" x14ac:dyDescent="0.25">
      <c r="G3757" s="21"/>
    </row>
    <row r="3758" spans="7:7" x14ac:dyDescent="0.25">
      <c r="G3758" s="21"/>
    </row>
    <row r="3759" spans="7:7" x14ac:dyDescent="0.25">
      <c r="G3759" s="21"/>
    </row>
    <row r="3760" spans="7:7" x14ac:dyDescent="0.25">
      <c r="G3760" s="21"/>
    </row>
    <row r="3761" spans="7:7" x14ac:dyDescent="0.25">
      <c r="G3761" s="21"/>
    </row>
    <row r="3762" spans="7:7" x14ac:dyDescent="0.25">
      <c r="G3762" s="21"/>
    </row>
    <row r="3763" spans="7:7" x14ac:dyDescent="0.25">
      <c r="G3763" s="21"/>
    </row>
    <row r="3764" spans="7:7" x14ac:dyDescent="0.25">
      <c r="G3764" s="21"/>
    </row>
    <row r="3765" spans="7:7" x14ac:dyDescent="0.25">
      <c r="G3765" s="21"/>
    </row>
    <row r="3766" spans="7:7" x14ac:dyDescent="0.25">
      <c r="G3766" s="21"/>
    </row>
    <row r="3767" spans="7:7" x14ac:dyDescent="0.25">
      <c r="G3767" s="21"/>
    </row>
    <row r="3768" spans="7:7" x14ac:dyDescent="0.25">
      <c r="G3768" s="21"/>
    </row>
    <row r="3769" spans="7:7" x14ac:dyDescent="0.25">
      <c r="G3769" s="21"/>
    </row>
    <row r="3770" spans="7:7" x14ac:dyDescent="0.25">
      <c r="G3770" s="21"/>
    </row>
    <row r="3771" spans="7:7" x14ac:dyDescent="0.25">
      <c r="G3771" s="21"/>
    </row>
    <row r="3772" spans="7:7" x14ac:dyDescent="0.25">
      <c r="G3772" s="21"/>
    </row>
    <row r="3773" spans="7:7" x14ac:dyDescent="0.25">
      <c r="G3773" s="21"/>
    </row>
    <row r="3774" spans="7:7" x14ac:dyDescent="0.25">
      <c r="G3774" s="21"/>
    </row>
    <row r="3775" spans="7:7" x14ac:dyDescent="0.25">
      <c r="G3775" s="21"/>
    </row>
    <row r="3776" spans="7:7" x14ac:dyDescent="0.25">
      <c r="G3776" s="21"/>
    </row>
    <row r="3777" spans="7:7" x14ac:dyDescent="0.25">
      <c r="G3777" s="21"/>
    </row>
    <row r="3778" spans="7:7" x14ac:dyDescent="0.25">
      <c r="G3778" s="21"/>
    </row>
    <row r="3779" spans="7:7" x14ac:dyDescent="0.25">
      <c r="G3779" s="21"/>
    </row>
    <row r="3780" spans="7:7" x14ac:dyDescent="0.25">
      <c r="G3780" s="21"/>
    </row>
    <row r="3781" spans="7:7" x14ac:dyDescent="0.25">
      <c r="G3781" s="21"/>
    </row>
    <row r="3782" spans="7:7" x14ac:dyDescent="0.25">
      <c r="G3782" s="21"/>
    </row>
    <row r="3783" spans="7:7" x14ac:dyDescent="0.25">
      <c r="G3783" s="21"/>
    </row>
    <row r="3784" spans="7:7" x14ac:dyDescent="0.25">
      <c r="G3784" s="21"/>
    </row>
    <row r="3785" spans="7:7" x14ac:dyDescent="0.25">
      <c r="G3785" s="21"/>
    </row>
    <row r="3786" spans="7:7" x14ac:dyDescent="0.25">
      <c r="G3786" s="21"/>
    </row>
    <row r="3787" spans="7:7" x14ac:dyDescent="0.25">
      <c r="G3787" s="21"/>
    </row>
    <row r="3788" spans="7:7" x14ac:dyDescent="0.25">
      <c r="G3788" s="21"/>
    </row>
    <row r="3789" spans="7:7" x14ac:dyDescent="0.25">
      <c r="G3789" s="21"/>
    </row>
    <row r="3790" spans="7:7" x14ac:dyDescent="0.25">
      <c r="G3790" s="21"/>
    </row>
    <row r="3791" spans="7:7" x14ac:dyDescent="0.25">
      <c r="G3791" s="21"/>
    </row>
    <row r="3792" spans="7:7" x14ac:dyDescent="0.25">
      <c r="G3792" s="21"/>
    </row>
    <row r="3793" spans="7:7" x14ac:dyDescent="0.25">
      <c r="G3793" s="21"/>
    </row>
    <row r="3794" spans="7:7" x14ac:dyDescent="0.25">
      <c r="G3794" s="21"/>
    </row>
    <row r="3795" spans="7:7" x14ac:dyDescent="0.25">
      <c r="G3795" s="21"/>
    </row>
    <row r="3796" spans="7:7" x14ac:dyDescent="0.25">
      <c r="G3796" s="21"/>
    </row>
    <row r="3797" spans="7:7" x14ac:dyDescent="0.25">
      <c r="G3797" s="21"/>
    </row>
    <row r="3798" spans="7:7" x14ac:dyDescent="0.25">
      <c r="G3798" s="21"/>
    </row>
    <row r="3799" spans="7:7" x14ac:dyDescent="0.25">
      <c r="G3799" s="21"/>
    </row>
    <row r="3800" spans="7:7" x14ac:dyDescent="0.25">
      <c r="G3800" s="21"/>
    </row>
    <row r="3801" spans="7:7" x14ac:dyDescent="0.25">
      <c r="G3801" s="21"/>
    </row>
    <row r="3802" spans="7:7" x14ac:dyDescent="0.25">
      <c r="G3802" s="21"/>
    </row>
    <row r="3803" spans="7:7" x14ac:dyDescent="0.25">
      <c r="G3803" s="21"/>
    </row>
    <row r="3804" spans="7:7" x14ac:dyDescent="0.25">
      <c r="G3804" s="21"/>
    </row>
    <row r="3805" spans="7:7" x14ac:dyDescent="0.25">
      <c r="G3805" s="21"/>
    </row>
    <row r="3806" spans="7:7" x14ac:dyDescent="0.25">
      <c r="G3806" s="21"/>
    </row>
    <row r="3807" spans="7:7" x14ac:dyDescent="0.25">
      <c r="G3807" s="21"/>
    </row>
    <row r="3808" spans="7:7" x14ac:dyDescent="0.25">
      <c r="G3808" s="21"/>
    </row>
    <row r="3809" spans="7:7" x14ac:dyDescent="0.25">
      <c r="G3809" s="21"/>
    </row>
    <row r="3810" spans="7:7" x14ac:dyDescent="0.25">
      <c r="G3810" s="21"/>
    </row>
    <row r="3811" spans="7:7" x14ac:dyDescent="0.25">
      <c r="G3811" s="21"/>
    </row>
    <row r="3812" spans="7:7" x14ac:dyDescent="0.25">
      <c r="G3812" s="21"/>
    </row>
    <row r="3813" spans="7:7" x14ac:dyDescent="0.25">
      <c r="G3813" s="21"/>
    </row>
    <row r="3814" spans="7:7" x14ac:dyDescent="0.25">
      <c r="G3814" s="21"/>
    </row>
    <row r="3815" spans="7:7" x14ac:dyDescent="0.25">
      <c r="G3815" s="21"/>
    </row>
    <row r="3816" spans="7:7" x14ac:dyDescent="0.25">
      <c r="G3816" s="21"/>
    </row>
    <row r="3817" spans="7:7" x14ac:dyDescent="0.25">
      <c r="G3817" s="21"/>
    </row>
    <row r="3818" spans="7:7" x14ac:dyDescent="0.25">
      <c r="G3818" s="21"/>
    </row>
    <row r="3819" spans="7:7" x14ac:dyDescent="0.25">
      <c r="G3819" s="21"/>
    </row>
    <row r="3820" spans="7:7" x14ac:dyDescent="0.25">
      <c r="G3820" s="21"/>
    </row>
    <row r="3821" spans="7:7" x14ac:dyDescent="0.25">
      <c r="G3821" s="21"/>
    </row>
    <row r="3822" spans="7:7" x14ac:dyDescent="0.25">
      <c r="G3822" s="21"/>
    </row>
    <row r="3823" spans="7:7" x14ac:dyDescent="0.25">
      <c r="G3823" s="21"/>
    </row>
    <row r="3824" spans="7:7" x14ac:dyDescent="0.25">
      <c r="G3824" s="21"/>
    </row>
    <row r="3825" spans="7:7" x14ac:dyDescent="0.25">
      <c r="G3825" s="21"/>
    </row>
    <row r="3826" spans="7:7" x14ac:dyDescent="0.25">
      <c r="G3826" s="21"/>
    </row>
    <row r="3827" spans="7:7" x14ac:dyDescent="0.25">
      <c r="G3827" s="21"/>
    </row>
    <row r="3828" spans="7:7" x14ac:dyDescent="0.25">
      <c r="G3828" s="21"/>
    </row>
    <row r="3829" spans="7:7" x14ac:dyDescent="0.25">
      <c r="G3829" s="21"/>
    </row>
    <row r="3830" spans="7:7" x14ac:dyDescent="0.25">
      <c r="G3830" s="21"/>
    </row>
    <row r="3831" spans="7:7" x14ac:dyDescent="0.25">
      <c r="G3831" s="21"/>
    </row>
    <row r="3832" spans="7:7" x14ac:dyDescent="0.25">
      <c r="G3832" s="21"/>
    </row>
    <row r="3833" spans="7:7" x14ac:dyDescent="0.25">
      <c r="G3833" s="21"/>
    </row>
    <row r="3834" spans="7:7" x14ac:dyDescent="0.25">
      <c r="G3834" s="21"/>
    </row>
    <row r="3835" spans="7:7" x14ac:dyDescent="0.25">
      <c r="G3835" s="21"/>
    </row>
    <row r="3836" spans="7:7" x14ac:dyDescent="0.25">
      <c r="G3836" s="21"/>
    </row>
    <row r="3837" spans="7:7" x14ac:dyDescent="0.25">
      <c r="G3837" s="21"/>
    </row>
    <row r="3838" spans="7:7" x14ac:dyDescent="0.25">
      <c r="G3838" s="21"/>
    </row>
    <row r="3839" spans="7:7" x14ac:dyDescent="0.25">
      <c r="G3839" s="21"/>
    </row>
    <row r="3840" spans="7:7" x14ac:dyDescent="0.25">
      <c r="G3840" s="21"/>
    </row>
    <row r="3841" spans="7:7" x14ac:dyDescent="0.25">
      <c r="G3841" s="21"/>
    </row>
    <row r="3842" spans="7:7" x14ac:dyDescent="0.25">
      <c r="G3842" s="21"/>
    </row>
    <row r="3843" spans="7:7" x14ac:dyDescent="0.25">
      <c r="G3843" s="21"/>
    </row>
    <row r="3844" spans="7:7" x14ac:dyDescent="0.25">
      <c r="G3844" s="21"/>
    </row>
    <row r="3845" spans="7:7" x14ac:dyDescent="0.25">
      <c r="G3845" s="21"/>
    </row>
    <row r="3846" spans="7:7" x14ac:dyDescent="0.25">
      <c r="G3846" s="21"/>
    </row>
    <row r="3847" spans="7:7" x14ac:dyDescent="0.25">
      <c r="G3847" s="21"/>
    </row>
    <row r="3848" spans="7:7" x14ac:dyDescent="0.25">
      <c r="G3848" s="21"/>
    </row>
    <row r="3849" spans="7:7" x14ac:dyDescent="0.25">
      <c r="G3849" s="21"/>
    </row>
    <row r="3850" spans="7:7" x14ac:dyDescent="0.25">
      <c r="G3850" s="21"/>
    </row>
    <row r="3851" spans="7:7" x14ac:dyDescent="0.25">
      <c r="G3851" s="21"/>
    </row>
    <row r="3852" spans="7:7" x14ac:dyDescent="0.25">
      <c r="G3852" s="21"/>
    </row>
    <row r="3853" spans="7:7" x14ac:dyDescent="0.25">
      <c r="G3853" s="21"/>
    </row>
    <row r="3854" spans="7:7" x14ac:dyDescent="0.25">
      <c r="G3854" s="21"/>
    </row>
    <row r="3855" spans="7:7" x14ac:dyDescent="0.25">
      <c r="G3855" s="21"/>
    </row>
    <row r="3856" spans="7:7" x14ac:dyDescent="0.25">
      <c r="G3856" s="21"/>
    </row>
    <row r="3857" spans="7:7" x14ac:dyDescent="0.25">
      <c r="G3857" s="21"/>
    </row>
    <row r="3858" spans="7:7" x14ac:dyDescent="0.25">
      <c r="G3858" s="21"/>
    </row>
    <row r="3859" spans="7:7" x14ac:dyDescent="0.25">
      <c r="G3859" s="21"/>
    </row>
    <row r="3860" spans="7:7" x14ac:dyDescent="0.25">
      <c r="G3860" s="21"/>
    </row>
    <row r="3861" spans="7:7" x14ac:dyDescent="0.25">
      <c r="G3861" s="21"/>
    </row>
    <row r="3862" spans="7:7" x14ac:dyDescent="0.25">
      <c r="G3862" s="21"/>
    </row>
    <row r="3863" spans="7:7" x14ac:dyDescent="0.25">
      <c r="G3863" s="21"/>
    </row>
    <row r="3864" spans="7:7" x14ac:dyDescent="0.25">
      <c r="G3864" s="21"/>
    </row>
    <row r="3865" spans="7:7" x14ac:dyDescent="0.25">
      <c r="G3865" s="21"/>
    </row>
    <row r="3866" spans="7:7" x14ac:dyDescent="0.25">
      <c r="G3866" s="21"/>
    </row>
    <row r="3867" spans="7:7" x14ac:dyDescent="0.25">
      <c r="G3867" s="21"/>
    </row>
    <row r="3868" spans="7:7" x14ac:dyDescent="0.25">
      <c r="G3868" s="21"/>
    </row>
    <row r="3869" spans="7:7" x14ac:dyDescent="0.25">
      <c r="G3869" s="21"/>
    </row>
    <row r="3870" spans="7:7" x14ac:dyDescent="0.25">
      <c r="G3870" s="21"/>
    </row>
    <row r="3871" spans="7:7" x14ac:dyDescent="0.25">
      <c r="G3871" s="21"/>
    </row>
    <row r="3872" spans="7:7" x14ac:dyDescent="0.25">
      <c r="G3872" s="21"/>
    </row>
    <row r="3873" spans="7:7" x14ac:dyDescent="0.25">
      <c r="G3873" s="21"/>
    </row>
    <row r="3874" spans="7:7" x14ac:dyDescent="0.25">
      <c r="G3874" s="21"/>
    </row>
    <row r="3875" spans="7:7" x14ac:dyDescent="0.25">
      <c r="G3875" s="21"/>
    </row>
    <row r="3876" spans="7:7" x14ac:dyDescent="0.25">
      <c r="G3876" s="21"/>
    </row>
    <row r="3877" spans="7:7" x14ac:dyDescent="0.25">
      <c r="G3877" s="21"/>
    </row>
    <row r="3878" spans="7:7" x14ac:dyDescent="0.25">
      <c r="G3878" s="21"/>
    </row>
    <row r="3879" spans="7:7" x14ac:dyDescent="0.25">
      <c r="G3879" s="21"/>
    </row>
    <row r="3880" spans="7:7" x14ac:dyDescent="0.25">
      <c r="G3880" s="21"/>
    </row>
    <row r="3881" spans="7:7" x14ac:dyDescent="0.25">
      <c r="G3881" s="21"/>
    </row>
    <row r="3882" spans="7:7" x14ac:dyDescent="0.25">
      <c r="G3882" s="21"/>
    </row>
    <row r="3883" spans="7:7" x14ac:dyDescent="0.25">
      <c r="G3883" s="21"/>
    </row>
    <row r="3884" spans="7:7" x14ac:dyDescent="0.25">
      <c r="G3884" s="21"/>
    </row>
    <row r="3885" spans="7:7" x14ac:dyDescent="0.25">
      <c r="G3885" s="21"/>
    </row>
    <row r="3886" spans="7:7" x14ac:dyDescent="0.25">
      <c r="G3886" s="21"/>
    </row>
    <row r="3887" spans="7:7" x14ac:dyDescent="0.25">
      <c r="G3887" s="21"/>
    </row>
    <row r="3888" spans="7:7" x14ac:dyDescent="0.25">
      <c r="G3888" s="21"/>
    </row>
    <row r="3889" spans="7:7" x14ac:dyDescent="0.25">
      <c r="G3889" s="21"/>
    </row>
    <row r="3890" spans="7:7" x14ac:dyDescent="0.25">
      <c r="G3890" s="21"/>
    </row>
    <row r="3891" spans="7:7" x14ac:dyDescent="0.25">
      <c r="G3891" s="21"/>
    </row>
    <row r="3892" spans="7:7" x14ac:dyDescent="0.25">
      <c r="G3892" s="21"/>
    </row>
    <row r="3893" spans="7:7" x14ac:dyDescent="0.25">
      <c r="G3893" s="21"/>
    </row>
    <row r="3894" spans="7:7" x14ac:dyDescent="0.25">
      <c r="G3894" s="21"/>
    </row>
    <row r="3895" spans="7:7" x14ac:dyDescent="0.25">
      <c r="G3895" s="21"/>
    </row>
    <row r="3896" spans="7:7" x14ac:dyDescent="0.25">
      <c r="G3896" s="21"/>
    </row>
    <row r="3897" spans="7:7" x14ac:dyDescent="0.25">
      <c r="G3897" s="21"/>
    </row>
    <row r="3898" spans="7:7" x14ac:dyDescent="0.25">
      <c r="G3898" s="21"/>
    </row>
    <row r="3899" spans="7:7" x14ac:dyDescent="0.25">
      <c r="G3899" s="21"/>
    </row>
    <row r="3900" spans="7:7" x14ac:dyDescent="0.25">
      <c r="G3900" s="21"/>
    </row>
    <row r="3901" spans="7:7" x14ac:dyDescent="0.25">
      <c r="G3901" s="21"/>
    </row>
    <row r="3902" spans="7:7" x14ac:dyDescent="0.25">
      <c r="G3902" s="21"/>
    </row>
    <row r="3903" spans="7:7" x14ac:dyDescent="0.25">
      <c r="G3903" s="21"/>
    </row>
    <row r="3904" spans="7:7" x14ac:dyDescent="0.25">
      <c r="G3904" s="21"/>
    </row>
    <row r="3905" spans="7:7" x14ac:dyDescent="0.25">
      <c r="G3905" s="21"/>
    </row>
    <row r="3906" spans="7:7" x14ac:dyDescent="0.25">
      <c r="G3906" s="21"/>
    </row>
    <row r="3907" spans="7:7" x14ac:dyDescent="0.25">
      <c r="G3907" s="21"/>
    </row>
    <row r="3908" spans="7:7" x14ac:dyDescent="0.25">
      <c r="G3908" s="21"/>
    </row>
    <row r="3909" spans="7:7" x14ac:dyDescent="0.25">
      <c r="G3909" s="21"/>
    </row>
    <row r="3910" spans="7:7" x14ac:dyDescent="0.25">
      <c r="G3910" s="21"/>
    </row>
    <row r="3911" spans="7:7" x14ac:dyDescent="0.25">
      <c r="G3911" s="21"/>
    </row>
    <row r="3912" spans="7:7" x14ac:dyDescent="0.25">
      <c r="G3912" s="21"/>
    </row>
    <row r="3913" spans="7:7" x14ac:dyDescent="0.25">
      <c r="G3913" s="21"/>
    </row>
    <row r="3914" spans="7:7" x14ac:dyDescent="0.25">
      <c r="G3914" s="21"/>
    </row>
    <row r="3915" spans="7:7" x14ac:dyDescent="0.25">
      <c r="G3915" s="21"/>
    </row>
    <row r="3916" spans="7:7" x14ac:dyDescent="0.25">
      <c r="G3916" s="21"/>
    </row>
    <row r="3917" spans="7:7" x14ac:dyDescent="0.25">
      <c r="G3917" s="21"/>
    </row>
    <row r="3918" spans="7:7" x14ac:dyDescent="0.25">
      <c r="G3918" s="21"/>
    </row>
    <row r="3919" spans="7:7" x14ac:dyDescent="0.25">
      <c r="G3919" s="21"/>
    </row>
    <row r="3920" spans="7:7" x14ac:dyDescent="0.25">
      <c r="G3920" s="21"/>
    </row>
    <row r="3921" spans="7:7" x14ac:dyDescent="0.25">
      <c r="G3921" s="21"/>
    </row>
    <row r="3922" spans="7:7" x14ac:dyDescent="0.25">
      <c r="G3922" s="21"/>
    </row>
    <row r="3923" spans="7:7" x14ac:dyDescent="0.25">
      <c r="G3923" s="21"/>
    </row>
    <row r="3924" spans="7:7" x14ac:dyDescent="0.25">
      <c r="G3924" s="21"/>
    </row>
    <row r="3925" spans="7:7" x14ac:dyDescent="0.25">
      <c r="G3925" s="21"/>
    </row>
    <row r="3926" spans="7:7" x14ac:dyDescent="0.25">
      <c r="G3926" s="21"/>
    </row>
    <row r="3927" spans="7:7" x14ac:dyDescent="0.25">
      <c r="G3927" s="21"/>
    </row>
    <row r="3928" spans="7:7" x14ac:dyDescent="0.25">
      <c r="G3928" s="21"/>
    </row>
    <row r="3929" spans="7:7" x14ac:dyDescent="0.25">
      <c r="G3929" s="21"/>
    </row>
    <row r="3930" spans="7:7" x14ac:dyDescent="0.25">
      <c r="G3930" s="21"/>
    </row>
    <row r="3931" spans="7:7" x14ac:dyDescent="0.25">
      <c r="G3931" s="21"/>
    </row>
    <row r="3932" spans="7:7" x14ac:dyDescent="0.25">
      <c r="G3932" s="21"/>
    </row>
    <row r="3933" spans="7:7" x14ac:dyDescent="0.25">
      <c r="G3933" s="21"/>
    </row>
    <row r="3934" spans="7:7" x14ac:dyDescent="0.25">
      <c r="G3934" s="21"/>
    </row>
    <row r="3935" spans="7:7" x14ac:dyDescent="0.25">
      <c r="G3935" s="21"/>
    </row>
    <row r="3936" spans="7:7" x14ac:dyDescent="0.25">
      <c r="G3936" s="21"/>
    </row>
    <row r="3937" spans="7:7" x14ac:dyDescent="0.25">
      <c r="G3937" s="21"/>
    </row>
    <row r="3938" spans="7:7" x14ac:dyDescent="0.25">
      <c r="G3938" s="21"/>
    </row>
    <row r="3939" spans="7:7" x14ac:dyDescent="0.25">
      <c r="G3939" s="21"/>
    </row>
    <row r="3940" spans="7:7" x14ac:dyDescent="0.25">
      <c r="G3940" s="21"/>
    </row>
    <row r="3941" spans="7:7" x14ac:dyDescent="0.25">
      <c r="G3941" s="21"/>
    </row>
    <row r="3942" spans="7:7" x14ac:dyDescent="0.25">
      <c r="G3942" s="21"/>
    </row>
    <row r="3943" spans="7:7" x14ac:dyDescent="0.25">
      <c r="G3943" s="21"/>
    </row>
    <row r="3944" spans="7:7" x14ac:dyDescent="0.25">
      <c r="G3944" s="21"/>
    </row>
    <row r="3945" spans="7:7" x14ac:dyDescent="0.25">
      <c r="G3945" s="21"/>
    </row>
    <row r="3946" spans="7:7" x14ac:dyDescent="0.25">
      <c r="G3946" s="21"/>
    </row>
    <row r="3947" spans="7:7" x14ac:dyDescent="0.25">
      <c r="G3947" s="21"/>
    </row>
    <row r="3948" spans="7:7" x14ac:dyDescent="0.25">
      <c r="G3948" s="21"/>
    </row>
    <row r="3949" spans="7:7" x14ac:dyDescent="0.25">
      <c r="G3949" s="21"/>
    </row>
    <row r="3950" spans="7:7" x14ac:dyDescent="0.25">
      <c r="G3950" s="21"/>
    </row>
    <row r="3951" spans="7:7" x14ac:dyDescent="0.25">
      <c r="G3951" s="21"/>
    </row>
    <row r="3952" spans="7:7" x14ac:dyDescent="0.25">
      <c r="G3952" s="21"/>
    </row>
    <row r="3953" spans="7:7" x14ac:dyDescent="0.25">
      <c r="G3953" s="21"/>
    </row>
    <row r="3954" spans="7:7" x14ac:dyDescent="0.25">
      <c r="G3954" s="21"/>
    </row>
    <row r="3955" spans="7:7" x14ac:dyDescent="0.25">
      <c r="G3955" s="21"/>
    </row>
    <row r="3956" spans="7:7" x14ac:dyDescent="0.25">
      <c r="G3956" s="21"/>
    </row>
    <row r="3957" spans="7:7" x14ac:dyDescent="0.25">
      <c r="G3957" s="21"/>
    </row>
    <row r="3958" spans="7:7" x14ac:dyDescent="0.25">
      <c r="G3958" s="21"/>
    </row>
    <row r="3959" spans="7:7" x14ac:dyDescent="0.25">
      <c r="G3959" s="21"/>
    </row>
    <row r="3960" spans="7:7" x14ac:dyDescent="0.25">
      <c r="G3960" s="21"/>
    </row>
    <row r="3961" spans="7:7" x14ac:dyDescent="0.25">
      <c r="G3961" s="21"/>
    </row>
    <row r="3962" spans="7:7" x14ac:dyDescent="0.25">
      <c r="G3962" s="21"/>
    </row>
    <row r="3963" spans="7:7" x14ac:dyDescent="0.25">
      <c r="G3963" s="21"/>
    </row>
    <row r="3964" spans="7:7" x14ac:dyDescent="0.25">
      <c r="G3964" s="21"/>
    </row>
    <row r="3965" spans="7:7" x14ac:dyDescent="0.25">
      <c r="G3965" s="21"/>
    </row>
    <row r="3966" spans="7:7" x14ac:dyDescent="0.25">
      <c r="G3966" s="21"/>
    </row>
    <row r="3967" spans="7:7" x14ac:dyDescent="0.25">
      <c r="G3967" s="21"/>
    </row>
    <row r="3968" spans="7:7" x14ac:dyDescent="0.25">
      <c r="G3968" s="21"/>
    </row>
    <row r="3969" spans="7:7" x14ac:dyDescent="0.25">
      <c r="G3969" s="21"/>
    </row>
    <row r="3970" spans="7:7" x14ac:dyDescent="0.25">
      <c r="G3970" s="21"/>
    </row>
    <row r="3971" spans="7:7" x14ac:dyDescent="0.25">
      <c r="G3971" s="21"/>
    </row>
    <row r="3972" spans="7:7" x14ac:dyDescent="0.25">
      <c r="G3972" s="21"/>
    </row>
    <row r="3973" spans="7:7" x14ac:dyDescent="0.25">
      <c r="G3973" s="21"/>
    </row>
    <row r="3974" spans="7:7" x14ac:dyDescent="0.25">
      <c r="G3974" s="21"/>
    </row>
    <row r="3975" spans="7:7" x14ac:dyDescent="0.25">
      <c r="G3975" s="21"/>
    </row>
    <row r="3976" spans="7:7" x14ac:dyDescent="0.25">
      <c r="G3976" s="21"/>
    </row>
    <row r="3977" spans="7:7" x14ac:dyDescent="0.25">
      <c r="G3977" s="21"/>
    </row>
    <row r="3978" spans="7:7" x14ac:dyDescent="0.25">
      <c r="G3978" s="21"/>
    </row>
    <row r="3979" spans="7:7" x14ac:dyDescent="0.25">
      <c r="G3979" s="21"/>
    </row>
    <row r="3980" spans="7:7" x14ac:dyDescent="0.25">
      <c r="G3980" s="21"/>
    </row>
    <row r="3981" spans="7:7" x14ac:dyDescent="0.25">
      <c r="G3981" s="21"/>
    </row>
    <row r="3982" spans="7:7" x14ac:dyDescent="0.25">
      <c r="G3982" s="21"/>
    </row>
    <row r="3983" spans="7:7" x14ac:dyDescent="0.25">
      <c r="G3983" s="21"/>
    </row>
    <row r="3984" spans="7:7" x14ac:dyDescent="0.25">
      <c r="G3984" s="21"/>
    </row>
    <row r="3985" spans="7:7" x14ac:dyDescent="0.25">
      <c r="G3985" s="21"/>
    </row>
    <row r="3986" spans="7:7" x14ac:dyDescent="0.25">
      <c r="G3986" s="21"/>
    </row>
    <row r="3987" spans="7:7" x14ac:dyDescent="0.25">
      <c r="G3987" s="21"/>
    </row>
    <row r="3988" spans="7:7" x14ac:dyDescent="0.25">
      <c r="G3988" s="21"/>
    </row>
    <row r="3989" spans="7:7" x14ac:dyDescent="0.25">
      <c r="G3989" s="21"/>
    </row>
    <row r="3990" spans="7:7" x14ac:dyDescent="0.25">
      <c r="G3990" s="21"/>
    </row>
    <row r="3991" spans="7:7" x14ac:dyDescent="0.25">
      <c r="G3991" s="21"/>
    </row>
    <row r="3992" spans="7:7" x14ac:dyDescent="0.25">
      <c r="G3992" s="21"/>
    </row>
    <row r="3993" spans="7:7" x14ac:dyDescent="0.25">
      <c r="G3993" s="21"/>
    </row>
    <row r="3994" spans="7:7" x14ac:dyDescent="0.25">
      <c r="G3994" s="21"/>
    </row>
    <row r="3995" spans="7:7" x14ac:dyDescent="0.25">
      <c r="G3995" s="21"/>
    </row>
    <row r="3996" spans="7:7" x14ac:dyDescent="0.25">
      <c r="G3996" s="21"/>
    </row>
    <row r="3997" spans="7:7" x14ac:dyDescent="0.25">
      <c r="G3997" s="21"/>
    </row>
    <row r="3998" spans="7:7" x14ac:dyDescent="0.25">
      <c r="G3998" s="21"/>
    </row>
    <row r="3999" spans="7:7" x14ac:dyDescent="0.25">
      <c r="G3999" s="21"/>
    </row>
    <row r="4000" spans="7:7" x14ac:dyDescent="0.25">
      <c r="G4000" s="21"/>
    </row>
    <row r="4001" spans="7:7" x14ac:dyDescent="0.25">
      <c r="G4001" s="21"/>
    </row>
    <row r="4002" spans="7:7" x14ac:dyDescent="0.25">
      <c r="G4002" s="21"/>
    </row>
    <row r="4003" spans="7:7" x14ac:dyDescent="0.25">
      <c r="G4003" s="21"/>
    </row>
    <row r="4004" spans="7:7" x14ac:dyDescent="0.25">
      <c r="G4004" s="21"/>
    </row>
    <row r="4005" spans="7:7" x14ac:dyDescent="0.25">
      <c r="G4005" s="21"/>
    </row>
    <row r="4006" spans="7:7" x14ac:dyDescent="0.25">
      <c r="G4006" s="21"/>
    </row>
    <row r="4007" spans="7:7" x14ac:dyDescent="0.25">
      <c r="G4007" s="21"/>
    </row>
    <row r="4008" spans="7:7" x14ac:dyDescent="0.25">
      <c r="G4008" s="21"/>
    </row>
    <row r="4009" spans="7:7" x14ac:dyDescent="0.25">
      <c r="G4009" s="21"/>
    </row>
    <row r="4010" spans="7:7" x14ac:dyDescent="0.25">
      <c r="G4010" s="21"/>
    </row>
    <row r="4011" spans="7:7" x14ac:dyDescent="0.25">
      <c r="G4011" s="21"/>
    </row>
    <row r="4012" spans="7:7" x14ac:dyDescent="0.25">
      <c r="G4012" s="21"/>
    </row>
    <row r="4013" spans="7:7" x14ac:dyDescent="0.25">
      <c r="G4013" s="21"/>
    </row>
    <row r="4014" spans="7:7" x14ac:dyDescent="0.25">
      <c r="G4014" s="21"/>
    </row>
    <row r="4015" spans="7:7" x14ac:dyDescent="0.25">
      <c r="G4015" s="21"/>
    </row>
    <row r="4016" spans="7:7" x14ac:dyDescent="0.25">
      <c r="G4016" s="21"/>
    </row>
    <row r="4017" spans="7:7" x14ac:dyDescent="0.25">
      <c r="G4017" s="21"/>
    </row>
    <row r="4018" spans="7:7" x14ac:dyDescent="0.25">
      <c r="G4018" s="21"/>
    </row>
    <row r="4019" spans="7:7" x14ac:dyDescent="0.25">
      <c r="G4019" s="21"/>
    </row>
    <row r="4020" spans="7:7" x14ac:dyDescent="0.25">
      <c r="G4020" s="21"/>
    </row>
    <row r="4021" spans="7:7" x14ac:dyDescent="0.25">
      <c r="G4021" s="21"/>
    </row>
    <row r="4022" spans="7:7" x14ac:dyDescent="0.25">
      <c r="G4022" s="21"/>
    </row>
    <row r="4023" spans="7:7" x14ac:dyDescent="0.25">
      <c r="G4023" s="21"/>
    </row>
    <row r="4024" spans="7:7" x14ac:dyDescent="0.25">
      <c r="G4024" s="21"/>
    </row>
    <row r="4025" spans="7:7" x14ac:dyDescent="0.25">
      <c r="G4025" s="21"/>
    </row>
    <row r="4026" spans="7:7" x14ac:dyDescent="0.25">
      <c r="G4026" s="21"/>
    </row>
    <row r="4027" spans="7:7" x14ac:dyDescent="0.25">
      <c r="G4027" s="21"/>
    </row>
    <row r="4028" spans="7:7" x14ac:dyDescent="0.25">
      <c r="G4028" s="21"/>
    </row>
    <row r="4029" spans="7:7" x14ac:dyDescent="0.25">
      <c r="G4029" s="21"/>
    </row>
    <row r="4030" spans="7:7" x14ac:dyDescent="0.25">
      <c r="G4030" s="21"/>
    </row>
    <row r="4031" spans="7:7" x14ac:dyDescent="0.25">
      <c r="G4031" s="21"/>
    </row>
    <row r="4032" spans="7:7" x14ac:dyDescent="0.25">
      <c r="G4032" s="21"/>
    </row>
    <row r="4033" spans="7:7" x14ac:dyDescent="0.25">
      <c r="G4033" s="21"/>
    </row>
    <row r="4034" spans="7:7" x14ac:dyDescent="0.25">
      <c r="G4034" s="21"/>
    </row>
    <row r="4035" spans="7:7" x14ac:dyDescent="0.25">
      <c r="G4035" s="21"/>
    </row>
    <row r="4036" spans="7:7" x14ac:dyDescent="0.25">
      <c r="G4036" s="21"/>
    </row>
    <row r="4037" spans="7:7" x14ac:dyDescent="0.25">
      <c r="G4037" s="21"/>
    </row>
    <row r="4038" spans="7:7" x14ac:dyDescent="0.25">
      <c r="G4038" s="21"/>
    </row>
    <row r="4039" spans="7:7" x14ac:dyDescent="0.25">
      <c r="G4039" s="21"/>
    </row>
    <row r="4040" spans="7:7" x14ac:dyDescent="0.25">
      <c r="G4040" s="21"/>
    </row>
    <row r="4041" spans="7:7" x14ac:dyDescent="0.25">
      <c r="G4041" s="21"/>
    </row>
    <row r="4042" spans="7:7" x14ac:dyDescent="0.25">
      <c r="G4042" s="21"/>
    </row>
    <row r="4043" spans="7:7" x14ac:dyDescent="0.25">
      <c r="G4043" s="21"/>
    </row>
    <row r="4044" spans="7:7" x14ac:dyDescent="0.25">
      <c r="G4044" s="21"/>
    </row>
    <row r="4045" spans="7:7" x14ac:dyDescent="0.25">
      <c r="G4045" s="21"/>
    </row>
    <row r="4046" spans="7:7" x14ac:dyDescent="0.25">
      <c r="G4046" s="21"/>
    </row>
    <row r="4047" spans="7:7" x14ac:dyDescent="0.25">
      <c r="G4047" s="21"/>
    </row>
    <row r="4048" spans="7:7" x14ac:dyDescent="0.25">
      <c r="G4048" s="21"/>
    </row>
    <row r="4049" spans="7:7" x14ac:dyDescent="0.25">
      <c r="G4049" s="21"/>
    </row>
    <row r="4050" spans="7:7" x14ac:dyDescent="0.25">
      <c r="G4050" s="21"/>
    </row>
    <row r="4051" spans="7:7" x14ac:dyDescent="0.25">
      <c r="G4051" s="21"/>
    </row>
    <row r="4052" spans="7:7" x14ac:dyDescent="0.25">
      <c r="G4052" s="21"/>
    </row>
    <row r="4053" spans="7:7" x14ac:dyDescent="0.25">
      <c r="G4053" s="21"/>
    </row>
    <row r="4054" spans="7:7" x14ac:dyDescent="0.25">
      <c r="G4054" s="21"/>
    </row>
    <row r="4055" spans="7:7" x14ac:dyDescent="0.25">
      <c r="G4055" s="21"/>
    </row>
    <row r="4056" spans="7:7" x14ac:dyDescent="0.25">
      <c r="G4056" s="21"/>
    </row>
    <row r="4057" spans="7:7" x14ac:dyDescent="0.25">
      <c r="G4057" s="21"/>
    </row>
    <row r="4058" spans="7:7" x14ac:dyDescent="0.25">
      <c r="G4058" s="21"/>
    </row>
    <row r="4059" spans="7:7" x14ac:dyDescent="0.25">
      <c r="G4059" s="21"/>
    </row>
    <row r="4060" spans="7:7" x14ac:dyDescent="0.25">
      <c r="G4060" s="21"/>
    </row>
    <row r="4061" spans="7:7" x14ac:dyDescent="0.25">
      <c r="G4061" s="21"/>
    </row>
    <row r="4062" spans="7:7" x14ac:dyDescent="0.25">
      <c r="G4062" s="21"/>
    </row>
    <row r="4063" spans="7:7" x14ac:dyDescent="0.25">
      <c r="G4063" s="21"/>
    </row>
    <row r="4064" spans="7:7" x14ac:dyDescent="0.25">
      <c r="G4064" s="21"/>
    </row>
    <row r="4065" spans="7:7" x14ac:dyDescent="0.25">
      <c r="G4065" s="21"/>
    </row>
    <row r="4066" spans="7:7" x14ac:dyDescent="0.25">
      <c r="G4066" s="21"/>
    </row>
    <row r="4067" spans="7:7" x14ac:dyDescent="0.25">
      <c r="G4067" s="21"/>
    </row>
    <row r="4068" spans="7:7" x14ac:dyDescent="0.25">
      <c r="G4068" s="21"/>
    </row>
    <row r="4069" spans="7:7" x14ac:dyDescent="0.25">
      <c r="G4069" s="21"/>
    </row>
    <row r="4070" spans="7:7" x14ac:dyDescent="0.25">
      <c r="G4070" s="21"/>
    </row>
    <row r="4071" spans="7:7" x14ac:dyDescent="0.25">
      <c r="G4071" s="21"/>
    </row>
    <row r="4072" spans="7:7" x14ac:dyDescent="0.25">
      <c r="G4072" s="21"/>
    </row>
    <row r="4073" spans="7:7" x14ac:dyDescent="0.25">
      <c r="G4073" s="21"/>
    </row>
    <row r="4074" spans="7:7" x14ac:dyDescent="0.25">
      <c r="G4074" s="21"/>
    </row>
    <row r="4075" spans="7:7" x14ac:dyDescent="0.25">
      <c r="G4075" s="21"/>
    </row>
    <row r="4076" spans="7:7" x14ac:dyDescent="0.25">
      <c r="G4076" s="21"/>
    </row>
    <row r="4077" spans="7:7" x14ac:dyDescent="0.25">
      <c r="G4077" s="21"/>
    </row>
    <row r="4078" spans="7:7" x14ac:dyDescent="0.25">
      <c r="G4078" s="21"/>
    </row>
    <row r="4079" spans="7:7" x14ac:dyDescent="0.25">
      <c r="G4079" s="21"/>
    </row>
    <row r="4080" spans="7:7" x14ac:dyDescent="0.25">
      <c r="G4080" s="21"/>
    </row>
    <row r="4081" spans="7:7" x14ac:dyDescent="0.25">
      <c r="G4081" s="21"/>
    </row>
    <row r="4082" spans="7:7" x14ac:dyDescent="0.25">
      <c r="G4082" s="21"/>
    </row>
    <row r="4083" spans="7:7" x14ac:dyDescent="0.25">
      <c r="G4083" s="21"/>
    </row>
    <row r="4084" spans="7:7" x14ac:dyDescent="0.25">
      <c r="G4084" s="21"/>
    </row>
    <row r="4085" spans="7:7" x14ac:dyDescent="0.25">
      <c r="G4085" s="21"/>
    </row>
    <row r="4086" spans="7:7" x14ac:dyDescent="0.25">
      <c r="G4086" s="21"/>
    </row>
    <row r="4087" spans="7:7" x14ac:dyDescent="0.25">
      <c r="G4087" s="21"/>
    </row>
    <row r="4088" spans="7:7" x14ac:dyDescent="0.25">
      <c r="G4088" s="21"/>
    </row>
    <row r="4089" spans="7:7" x14ac:dyDescent="0.25">
      <c r="G4089" s="21"/>
    </row>
    <row r="4090" spans="7:7" x14ac:dyDescent="0.25">
      <c r="G4090" s="21"/>
    </row>
    <row r="4091" spans="7:7" x14ac:dyDescent="0.25">
      <c r="G4091" s="21"/>
    </row>
    <row r="4092" spans="7:7" x14ac:dyDescent="0.25">
      <c r="G4092" s="21"/>
    </row>
    <row r="4093" spans="7:7" x14ac:dyDescent="0.25">
      <c r="G4093" s="21"/>
    </row>
    <row r="4094" spans="7:7" x14ac:dyDescent="0.25">
      <c r="G4094" s="21"/>
    </row>
    <row r="4095" spans="7:7" x14ac:dyDescent="0.25">
      <c r="G4095" s="21"/>
    </row>
    <row r="4096" spans="7:7" x14ac:dyDescent="0.25">
      <c r="G4096" s="21"/>
    </row>
    <row r="4097" spans="7:7" x14ac:dyDescent="0.25">
      <c r="G4097" s="21"/>
    </row>
    <row r="4098" spans="7:7" x14ac:dyDescent="0.25">
      <c r="G4098" s="21"/>
    </row>
    <row r="4099" spans="7:7" x14ac:dyDescent="0.25">
      <c r="G4099" s="21"/>
    </row>
    <row r="4100" spans="7:7" x14ac:dyDescent="0.25">
      <c r="G4100" s="21"/>
    </row>
    <row r="4101" spans="7:7" x14ac:dyDescent="0.25">
      <c r="G4101" s="21"/>
    </row>
    <row r="4102" spans="7:7" x14ac:dyDescent="0.25">
      <c r="G4102" s="21"/>
    </row>
    <row r="4103" spans="7:7" x14ac:dyDescent="0.25">
      <c r="G4103" s="21"/>
    </row>
    <row r="4104" spans="7:7" x14ac:dyDescent="0.25">
      <c r="G4104" s="21"/>
    </row>
    <row r="4105" spans="7:7" x14ac:dyDescent="0.25">
      <c r="G4105" s="21"/>
    </row>
    <row r="4106" spans="7:7" x14ac:dyDescent="0.25">
      <c r="G4106" s="21"/>
    </row>
    <row r="4107" spans="7:7" x14ac:dyDescent="0.25">
      <c r="G4107" s="21"/>
    </row>
    <row r="4108" spans="7:7" x14ac:dyDescent="0.25">
      <c r="G4108" s="21"/>
    </row>
    <row r="4109" spans="7:7" x14ac:dyDescent="0.25">
      <c r="G4109" s="21"/>
    </row>
    <row r="4110" spans="7:7" x14ac:dyDescent="0.25">
      <c r="G4110" s="21"/>
    </row>
    <row r="4111" spans="7:7" x14ac:dyDescent="0.25">
      <c r="G4111" s="21"/>
    </row>
    <row r="4112" spans="7:7" x14ac:dyDescent="0.25">
      <c r="G4112" s="21"/>
    </row>
    <row r="4113" spans="7:7" x14ac:dyDescent="0.25">
      <c r="G4113" s="21"/>
    </row>
    <row r="4114" spans="7:7" x14ac:dyDescent="0.25">
      <c r="G4114" s="21"/>
    </row>
    <row r="4115" spans="7:7" x14ac:dyDescent="0.25">
      <c r="G4115" s="21"/>
    </row>
    <row r="4116" spans="7:7" x14ac:dyDescent="0.25">
      <c r="G4116" s="21"/>
    </row>
    <row r="4117" spans="7:7" x14ac:dyDescent="0.25">
      <c r="G4117" s="21"/>
    </row>
    <row r="4118" spans="7:7" x14ac:dyDescent="0.25">
      <c r="G4118" s="21"/>
    </row>
    <row r="4119" spans="7:7" x14ac:dyDescent="0.25">
      <c r="G4119" s="21"/>
    </row>
    <row r="4120" spans="7:7" x14ac:dyDescent="0.25">
      <c r="G4120" s="21"/>
    </row>
    <row r="4121" spans="7:7" x14ac:dyDescent="0.25">
      <c r="G4121" s="21"/>
    </row>
    <row r="4122" spans="7:7" x14ac:dyDescent="0.25">
      <c r="G4122" s="21"/>
    </row>
    <row r="4123" spans="7:7" x14ac:dyDescent="0.25">
      <c r="G4123" s="21"/>
    </row>
    <row r="4124" spans="7:7" x14ac:dyDescent="0.25">
      <c r="G4124" s="21"/>
    </row>
    <row r="4125" spans="7:7" x14ac:dyDescent="0.25">
      <c r="G4125" s="21"/>
    </row>
    <row r="4126" spans="7:7" x14ac:dyDescent="0.25">
      <c r="G4126" s="21"/>
    </row>
    <row r="4127" spans="7:7" x14ac:dyDescent="0.25">
      <c r="G4127" s="21"/>
    </row>
    <row r="4128" spans="7:7" x14ac:dyDescent="0.25">
      <c r="G4128" s="21"/>
    </row>
    <row r="4129" spans="7:7" x14ac:dyDescent="0.25">
      <c r="G4129" s="21"/>
    </row>
    <row r="4130" spans="7:7" x14ac:dyDescent="0.25">
      <c r="G4130" s="21"/>
    </row>
    <row r="4131" spans="7:7" x14ac:dyDescent="0.25">
      <c r="G4131" s="21"/>
    </row>
    <row r="4132" spans="7:7" x14ac:dyDescent="0.25">
      <c r="G4132" s="21"/>
    </row>
    <row r="4133" spans="7:7" x14ac:dyDescent="0.25">
      <c r="G4133" s="21"/>
    </row>
    <row r="4134" spans="7:7" x14ac:dyDescent="0.25">
      <c r="G4134" s="21"/>
    </row>
    <row r="4135" spans="7:7" x14ac:dyDescent="0.25">
      <c r="G4135" s="21"/>
    </row>
    <row r="4136" spans="7:7" x14ac:dyDescent="0.25">
      <c r="G4136" s="21"/>
    </row>
    <row r="4137" spans="7:7" x14ac:dyDescent="0.25">
      <c r="G4137" s="21"/>
    </row>
    <row r="4138" spans="7:7" x14ac:dyDescent="0.25">
      <c r="G4138" s="21"/>
    </row>
    <row r="4139" spans="7:7" x14ac:dyDescent="0.25">
      <c r="G4139" s="21"/>
    </row>
    <row r="4140" spans="7:7" x14ac:dyDescent="0.25">
      <c r="G4140" s="21"/>
    </row>
    <row r="4141" spans="7:7" x14ac:dyDescent="0.25">
      <c r="G4141" s="21"/>
    </row>
    <row r="4142" spans="7:7" x14ac:dyDescent="0.25">
      <c r="G4142" s="21"/>
    </row>
    <row r="4143" spans="7:7" x14ac:dyDescent="0.25">
      <c r="G4143" s="21"/>
    </row>
    <row r="4144" spans="7:7" x14ac:dyDescent="0.25">
      <c r="G4144" s="21"/>
    </row>
    <row r="4145" spans="7:7" x14ac:dyDescent="0.25">
      <c r="G4145" s="21"/>
    </row>
    <row r="4146" spans="7:7" x14ac:dyDescent="0.25">
      <c r="G4146" s="21"/>
    </row>
    <row r="4147" spans="7:7" x14ac:dyDescent="0.25">
      <c r="G4147" s="21"/>
    </row>
    <row r="4148" spans="7:7" x14ac:dyDescent="0.25">
      <c r="G4148" s="21"/>
    </row>
    <row r="4149" spans="7:7" x14ac:dyDescent="0.25">
      <c r="G4149" s="21"/>
    </row>
    <row r="4150" spans="7:7" x14ac:dyDescent="0.25">
      <c r="G4150" s="21"/>
    </row>
    <row r="4151" spans="7:7" x14ac:dyDescent="0.25">
      <c r="G4151" s="21"/>
    </row>
    <row r="4152" spans="7:7" x14ac:dyDescent="0.25">
      <c r="G4152" s="21"/>
    </row>
    <row r="4153" spans="7:7" x14ac:dyDescent="0.25">
      <c r="G4153" s="21"/>
    </row>
    <row r="4154" spans="7:7" x14ac:dyDescent="0.25">
      <c r="G4154" s="21"/>
    </row>
    <row r="4155" spans="7:7" x14ac:dyDescent="0.25">
      <c r="G4155" s="21"/>
    </row>
    <row r="4156" spans="7:7" x14ac:dyDescent="0.25">
      <c r="G4156" s="21"/>
    </row>
    <row r="4157" spans="7:7" x14ac:dyDescent="0.25">
      <c r="G4157" s="21"/>
    </row>
    <row r="4158" spans="7:7" x14ac:dyDescent="0.25">
      <c r="G4158" s="21"/>
    </row>
    <row r="4159" spans="7:7" x14ac:dyDescent="0.25">
      <c r="G4159" s="21"/>
    </row>
    <row r="4160" spans="7:7" x14ac:dyDescent="0.25">
      <c r="G4160" s="21"/>
    </row>
    <row r="4161" spans="7:7" x14ac:dyDescent="0.25">
      <c r="G4161" s="21"/>
    </row>
    <row r="4162" spans="7:7" x14ac:dyDescent="0.25">
      <c r="G4162" s="21"/>
    </row>
    <row r="4163" spans="7:7" x14ac:dyDescent="0.25">
      <c r="G4163" s="21"/>
    </row>
    <row r="4164" spans="7:7" x14ac:dyDescent="0.25">
      <c r="G4164" s="21"/>
    </row>
    <row r="4165" spans="7:7" x14ac:dyDescent="0.25">
      <c r="G4165" s="21"/>
    </row>
    <row r="4166" spans="7:7" x14ac:dyDescent="0.25">
      <c r="G4166" s="21"/>
    </row>
    <row r="4167" spans="7:7" x14ac:dyDescent="0.25">
      <c r="G4167" s="21"/>
    </row>
    <row r="4168" spans="7:7" x14ac:dyDescent="0.25">
      <c r="G4168" s="21"/>
    </row>
    <row r="4169" spans="7:7" x14ac:dyDescent="0.25">
      <c r="G4169" s="21"/>
    </row>
    <row r="4170" spans="7:7" x14ac:dyDescent="0.25">
      <c r="G4170" s="21"/>
    </row>
    <row r="4171" spans="7:7" x14ac:dyDescent="0.25">
      <c r="G4171" s="21"/>
    </row>
    <row r="4172" spans="7:7" x14ac:dyDescent="0.25">
      <c r="G4172" s="21"/>
    </row>
    <row r="4173" spans="7:7" x14ac:dyDescent="0.25">
      <c r="G4173" s="21"/>
    </row>
    <row r="4174" spans="7:7" x14ac:dyDescent="0.25">
      <c r="G4174" s="21"/>
    </row>
    <row r="4175" spans="7:7" x14ac:dyDescent="0.25">
      <c r="G4175" s="21"/>
    </row>
    <row r="4176" spans="7:7" x14ac:dyDescent="0.25">
      <c r="G4176" s="21"/>
    </row>
    <row r="4177" spans="7:7" x14ac:dyDescent="0.25">
      <c r="G4177" s="21"/>
    </row>
    <row r="4178" spans="7:7" x14ac:dyDescent="0.25">
      <c r="G4178" s="21"/>
    </row>
    <row r="4179" spans="7:7" x14ac:dyDescent="0.25">
      <c r="G4179" s="21"/>
    </row>
    <row r="4180" spans="7:7" x14ac:dyDescent="0.25">
      <c r="G4180" s="21"/>
    </row>
    <row r="4181" spans="7:7" x14ac:dyDescent="0.25">
      <c r="G4181" s="21"/>
    </row>
    <row r="4182" spans="7:7" x14ac:dyDescent="0.25">
      <c r="G4182" s="21"/>
    </row>
    <row r="4183" spans="7:7" x14ac:dyDescent="0.25">
      <c r="G4183" s="21"/>
    </row>
    <row r="4184" spans="7:7" x14ac:dyDescent="0.25">
      <c r="G4184" s="21"/>
    </row>
    <row r="4185" spans="7:7" x14ac:dyDescent="0.25">
      <c r="G4185" s="21"/>
    </row>
    <row r="4186" spans="7:7" x14ac:dyDescent="0.25">
      <c r="G4186" s="21"/>
    </row>
    <row r="4187" spans="7:7" x14ac:dyDescent="0.25">
      <c r="G4187" s="21"/>
    </row>
    <row r="4188" spans="7:7" x14ac:dyDescent="0.25">
      <c r="G4188" s="21"/>
    </row>
    <row r="4189" spans="7:7" x14ac:dyDescent="0.25">
      <c r="G4189" s="21"/>
    </row>
    <row r="4190" spans="7:7" x14ac:dyDescent="0.25">
      <c r="G4190" s="21"/>
    </row>
    <row r="4191" spans="7:7" x14ac:dyDescent="0.25">
      <c r="G4191" s="21"/>
    </row>
    <row r="4192" spans="7:7" x14ac:dyDescent="0.25">
      <c r="G4192" s="21"/>
    </row>
    <row r="4193" spans="7:7" x14ac:dyDescent="0.25">
      <c r="G4193" s="21"/>
    </row>
    <row r="4194" spans="7:7" x14ac:dyDescent="0.25">
      <c r="G4194" s="21"/>
    </row>
    <row r="4195" spans="7:7" x14ac:dyDescent="0.25">
      <c r="G4195" s="21"/>
    </row>
    <row r="4196" spans="7:7" x14ac:dyDescent="0.25">
      <c r="G4196" s="21"/>
    </row>
    <row r="4197" spans="7:7" x14ac:dyDescent="0.25">
      <c r="G4197" s="21"/>
    </row>
    <row r="4198" spans="7:7" x14ac:dyDescent="0.25">
      <c r="G4198" s="21"/>
    </row>
    <row r="4199" spans="7:7" x14ac:dyDescent="0.25">
      <c r="G4199" s="21"/>
    </row>
    <row r="4200" spans="7:7" x14ac:dyDescent="0.25">
      <c r="G4200" s="21"/>
    </row>
    <row r="4201" spans="7:7" x14ac:dyDescent="0.25">
      <c r="G4201" s="21"/>
    </row>
    <row r="4202" spans="7:7" x14ac:dyDescent="0.25">
      <c r="G4202" s="21"/>
    </row>
    <row r="4203" spans="7:7" x14ac:dyDescent="0.25">
      <c r="G4203" s="21"/>
    </row>
    <row r="4204" spans="7:7" x14ac:dyDescent="0.25">
      <c r="G4204" s="21"/>
    </row>
    <row r="4205" spans="7:7" x14ac:dyDescent="0.25">
      <c r="G4205" s="21"/>
    </row>
    <row r="4206" spans="7:7" x14ac:dyDescent="0.25">
      <c r="G4206" s="21"/>
    </row>
    <row r="4207" spans="7:7" x14ac:dyDescent="0.25">
      <c r="G4207" s="21"/>
    </row>
    <row r="4208" spans="7:7" x14ac:dyDescent="0.25">
      <c r="G4208" s="21"/>
    </row>
    <row r="4209" spans="7:7" x14ac:dyDescent="0.25">
      <c r="G4209" s="21"/>
    </row>
    <row r="4210" spans="7:7" x14ac:dyDescent="0.25">
      <c r="G4210" s="21"/>
    </row>
    <row r="4211" spans="7:7" x14ac:dyDescent="0.25">
      <c r="G4211" s="21"/>
    </row>
    <row r="4212" spans="7:7" x14ac:dyDescent="0.25">
      <c r="G4212" s="21"/>
    </row>
    <row r="4213" spans="7:7" x14ac:dyDescent="0.25">
      <c r="G4213" s="21"/>
    </row>
    <row r="4214" spans="7:7" x14ac:dyDescent="0.25">
      <c r="G4214" s="21"/>
    </row>
    <row r="4215" spans="7:7" x14ac:dyDescent="0.25">
      <c r="G4215" s="21"/>
    </row>
    <row r="4216" spans="7:7" x14ac:dyDescent="0.25">
      <c r="G4216" s="21"/>
    </row>
    <row r="4217" spans="7:7" x14ac:dyDescent="0.25">
      <c r="G4217" s="21"/>
    </row>
    <row r="4218" spans="7:7" x14ac:dyDescent="0.25">
      <c r="G4218" s="21"/>
    </row>
    <row r="4219" spans="7:7" x14ac:dyDescent="0.25">
      <c r="G4219" s="21"/>
    </row>
    <row r="4220" spans="7:7" x14ac:dyDescent="0.25">
      <c r="G4220" s="21"/>
    </row>
    <row r="4221" spans="7:7" x14ac:dyDescent="0.25">
      <c r="G4221" s="21"/>
    </row>
    <row r="4222" spans="7:7" x14ac:dyDescent="0.25">
      <c r="G4222" s="21"/>
    </row>
    <row r="4223" spans="7:7" x14ac:dyDescent="0.25">
      <c r="G4223" s="21"/>
    </row>
    <row r="4224" spans="7:7" x14ac:dyDescent="0.25">
      <c r="G4224" s="21"/>
    </row>
    <row r="4225" spans="7:7" x14ac:dyDescent="0.25">
      <c r="G4225" s="21"/>
    </row>
    <row r="4226" spans="7:7" x14ac:dyDescent="0.25">
      <c r="G4226" s="21"/>
    </row>
    <row r="4227" spans="7:7" x14ac:dyDescent="0.25">
      <c r="G4227" s="21"/>
    </row>
    <row r="4228" spans="7:7" x14ac:dyDescent="0.25">
      <c r="G4228" s="21"/>
    </row>
    <row r="4229" spans="7:7" x14ac:dyDescent="0.25">
      <c r="G4229" s="21"/>
    </row>
    <row r="4230" spans="7:7" x14ac:dyDescent="0.25">
      <c r="G4230" s="21"/>
    </row>
    <row r="4231" spans="7:7" x14ac:dyDescent="0.25">
      <c r="G4231" s="21"/>
    </row>
    <row r="4232" spans="7:7" x14ac:dyDescent="0.25">
      <c r="G4232" s="21"/>
    </row>
    <row r="4233" spans="7:7" x14ac:dyDescent="0.25">
      <c r="G4233" s="21"/>
    </row>
    <row r="4234" spans="7:7" x14ac:dyDescent="0.25">
      <c r="G4234" s="21"/>
    </row>
    <row r="4235" spans="7:7" x14ac:dyDescent="0.25">
      <c r="G4235" s="21"/>
    </row>
    <row r="4236" spans="7:7" x14ac:dyDescent="0.25">
      <c r="G4236" s="21"/>
    </row>
    <row r="4237" spans="7:7" x14ac:dyDescent="0.25">
      <c r="G4237" s="21"/>
    </row>
    <row r="4238" spans="7:7" x14ac:dyDescent="0.25">
      <c r="G4238" s="21"/>
    </row>
    <row r="4239" spans="7:7" x14ac:dyDescent="0.25">
      <c r="G4239" s="21"/>
    </row>
    <row r="4240" spans="7:7" x14ac:dyDescent="0.25">
      <c r="G4240" s="21"/>
    </row>
    <row r="4241" spans="7:7" x14ac:dyDescent="0.25">
      <c r="G4241" s="21"/>
    </row>
    <row r="4242" spans="7:7" x14ac:dyDescent="0.25">
      <c r="G4242" s="21"/>
    </row>
    <row r="4243" spans="7:7" x14ac:dyDescent="0.25">
      <c r="G4243" s="21"/>
    </row>
    <row r="4244" spans="7:7" x14ac:dyDescent="0.25">
      <c r="G4244" s="21"/>
    </row>
    <row r="4245" spans="7:7" x14ac:dyDescent="0.25">
      <c r="G4245" s="21"/>
    </row>
    <row r="4246" spans="7:7" x14ac:dyDescent="0.25">
      <c r="G4246" s="21"/>
    </row>
    <row r="4247" spans="7:7" x14ac:dyDescent="0.25">
      <c r="G4247" s="21"/>
    </row>
    <row r="4248" spans="7:7" x14ac:dyDescent="0.25">
      <c r="G4248" s="21"/>
    </row>
    <row r="4249" spans="7:7" x14ac:dyDescent="0.25">
      <c r="G4249" s="21"/>
    </row>
    <row r="4250" spans="7:7" x14ac:dyDescent="0.25">
      <c r="G4250" s="21"/>
    </row>
    <row r="4251" spans="7:7" x14ac:dyDescent="0.25">
      <c r="G4251" s="21"/>
    </row>
    <row r="4252" spans="7:7" x14ac:dyDescent="0.25">
      <c r="G4252" s="21"/>
    </row>
    <row r="4253" spans="7:7" x14ac:dyDescent="0.25">
      <c r="G4253" s="21"/>
    </row>
    <row r="4254" spans="7:7" x14ac:dyDescent="0.25">
      <c r="G4254" s="21"/>
    </row>
    <row r="4255" spans="7:7" x14ac:dyDescent="0.25">
      <c r="G4255" s="21"/>
    </row>
    <row r="4256" spans="7:7" x14ac:dyDescent="0.25">
      <c r="G4256" s="21"/>
    </row>
    <row r="4257" spans="7:7" x14ac:dyDescent="0.25">
      <c r="G4257" s="21"/>
    </row>
    <row r="4258" spans="7:7" x14ac:dyDescent="0.25">
      <c r="G4258" s="21"/>
    </row>
    <row r="4259" spans="7:7" x14ac:dyDescent="0.25">
      <c r="G4259" s="21"/>
    </row>
    <row r="4260" spans="7:7" x14ac:dyDescent="0.25">
      <c r="G4260" s="21"/>
    </row>
    <row r="4261" spans="7:7" x14ac:dyDescent="0.25">
      <c r="G4261" s="21"/>
    </row>
    <row r="4262" spans="7:7" x14ac:dyDescent="0.25">
      <c r="G4262" s="21"/>
    </row>
    <row r="4263" spans="7:7" x14ac:dyDescent="0.25">
      <c r="G4263" s="21"/>
    </row>
    <row r="4264" spans="7:7" x14ac:dyDescent="0.25">
      <c r="G4264" s="21"/>
    </row>
    <row r="4265" spans="7:7" x14ac:dyDescent="0.25">
      <c r="G4265" s="21"/>
    </row>
    <row r="4266" spans="7:7" x14ac:dyDescent="0.25">
      <c r="G4266" s="21"/>
    </row>
    <row r="4267" spans="7:7" x14ac:dyDescent="0.25">
      <c r="G4267" s="21"/>
    </row>
    <row r="4268" spans="7:7" x14ac:dyDescent="0.25">
      <c r="G4268" s="21"/>
    </row>
    <row r="4269" spans="7:7" x14ac:dyDescent="0.25">
      <c r="G4269" s="21"/>
    </row>
    <row r="4270" spans="7:7" x14ac:dyDescent="0.25">
      <c r="G4270" s="21"/>
    </row>
    <row r="4271" spans="7:7" x14ac:dyDescent="0.25">
      <c r="G4271" s="21"/>
    </row>
    <row r="4272" spans="7:7" x14ac:dyDescent="0.25">
      <c r="G4272" s="21"/>
    </row>
    <row r="4273" spans="7:7" x14ac:dyDescent="0.25">
      <c r="G4273" s="21"/>
    </row>
    <row r="4274" spans="7:7" x14ac:dyDescent="0.25">
      <c r="G4274" s="21"/>
    </row>
    <row r="4275" spans="7:7" x14ac:dyDescent="0.25">
      <c r="G4275" s="21"/>
    </row>
    <row r="4276" spans="7:7" x14ac:dyDescent="0.25">
      <c r="G4276" s="21"/>
    </row>
    <row r="4277" spans="7:7" x14ac:dyDescent="0.25">
      <c r="G4277" s="21"/>
    </row>
    <row r="4278" spans="7:7" x14ac:dyDescent="0.25">
      <c r="G4278" s="21"/>
    </row>
    <row r="4279" spans="7:7" x14ac:dyDescent="0.25">
      <c r="G4279" s="21"/>
    </row>
    <row r="4280" spans="7:7" x14ac:dyDescent="0.25">
      <c r="G4280" s="21"/>
    </row>
    <row r="4281" spans="7:7" x14ac:dyDescent="0.25">
      <c r="G4281" s="21"/>
    </row>
    <row r="4282" spans="7:7" x14ac:dyDescent="0.25">
      <c r="G4282" s="21"/>
    </row>
    <row r="4283" spans="7:7" x14ac:dyDescent="0.25">
      <c r="G4283" s="21"/>
    </row>
    <row r="4284" spans="7:7" x14ac:dyDescent="0.25">
      <c r="G4284" s="21"/>
    </row>
    <row r="4285" spans="7:7" x14ac:dyDescent="0.25">
      <c r="G4285" s="21"/>
    </row>
    <row r="4286" spans="7:7" x14ac:dyDescent="0.25">
      <c r="G4286" s="21"/>
    </row>
    <row r="4287" spans="7:7" x14ac:dyDescent="0.25">
      <c r="G4287" s="21"/>
    </row>
    <row r="4288" spans="7:7" x14ac:dyDescent="0.25">
      <c r="G4288" s="21"/>
    </row>
    <row r="4289" spans="7:7" x14ac:dyDescent="0.25">
      <c r="G4289" s="21"/>
    </row>
    <row r="4290" spans="7:7" x14ac:dyDescent="0.25">
      <c r="G4290" s="21"/>
    </row>
    <row r="4291" spans="7:7" x14ac:dyDescent="0.25">
      <c r="G4291" s="21"/>
    </row>
    <row r="4292" spans="7:7" x14ac:dyDescent="0.25">
      <c r="G4292" s="21"/>
    </row>
    <row r="4293" spans="7:7" x14ac:dyDescent="0.25">
      <c r="G4293" s="21"/>
    </row>
    <row r="4294" spans="7:7" x14ac:dyDescent="0.25">
      <c r="G4294" s="21"/>
    </row>
    <row r="4295" spans="7:7" x14ac:dyDescent="0.25">
      <c r="G4295" s="21"/>
    </row>
    <row r="4296" spans="7:7" x14ac:dyDescent="0.25">
      <c r="G4296" s="21"/>
    </row>
    <row r="4297" spans="7:7" x14ac:dyDescent="0.25">
      <c r="G4297" s="21"/>
    </row>
    <row r="4298" spans="7:7" x14ac:dyDescent="0.25">
      <c r="G4298" s="21"/>
    </row>
    <row r="4299" spans="7:7" x14ac:dyDescent="0.25">
      <c r="G4299" s="21"/>
    </row>
    <row r="4300" spans="7:7" x14ac:dyDescent="0.25">
      <c r="G4300" s="21"/>
    </row>
    <row r="4301" spans="7:7" x14ac:dyDescent="0.25">
      <c r="G4301" s="21"/>
    </row>
    <row r="4302" spans="7:7" x14ac:dyDescent="0.25">
      <c r="G4302" s="21"/>
    </row>
    <row r="4303" spans="7:7" x14ac:dyDescent="0.25">
      <c r="G4303" s="21"/>
    </row>
    <row r="4304" spans="7:7" x14ac:dyDescent="0.25">
      <c r="G4304" s="21"/>
    </row>
    <row r="4305" spans="7:7" x14ac:dyDescent="0.25">
      <c r="G4305" s="21"/>
    </row>
    <row r="4306" spans="7:7" x14ac:dyDescent="0.25">
      <c r="G4306" s="21"/>
    </row>
    <row r="4307" spans="7:7" x14ac:dyDescent="0.25">
      <c r="G4307" s="21"/>
    </row>
    <row r="4308" spans="7:7" x14ac:dyDescent="0.25">
      <c r="G4308" s="21"/>
    </row>
    <row r="4309" spans="7:7" x14ac:dyDescent="0.25">
      <c r="G4309" s="21"/>
    </row>
    <row r="4310" spans="7:7" x14ac:dyDescent="0.25">
      <c r="G4310" s="21"/>
    </row>
    <row r="4311" spans="7:7" x14ac:dyDescent="0.25">
      <c r="G4311" s="21"/>
    </row>
    <row r="4312" spans="7:7" x14ac:dyDescent="0.25">
      <c r="G4312" s="21"/>
    </row>
    <row r="4313" spans="7:7" x14ac:dyDescent="0.25">
      <c r="G4313" s="21"/>
    </row>
    <row r="4314" spans="7:7" x14ac:dyDescent="0.25">
      <c r="G4314" s="21"/>
    </row>
    <row r="4315" spans="7:7" x14ac:dyDescent="0.25">
      <c r="G4315" s="21"/>
    </row>
    <row r="4316" spans="7:7" x14ac:dyDescent="0.25">
      <c r="G4316" s="21"/>
    </row>
    <row r="4317" spans="7:7" x14ac:dyDescent="0.25">
      <c r="G4317" s="21"/>
    </row>
    <row r="4318" spans="7:7" x14ac:dyDescent="0.25">
      <c r="G4318" s="21"/>
    </row>
    <row r="4319" spans="7:7" x14ac:dyDescent="0.25">
      <c r="G4319" s="21"/>
    </row>
    <row r="4320" spans="7:7" x14ac:dyDescent="0.25">
      <c r="G4320" s="21"/>
    </row>
    <row r="4321" spans="7:7" x14ac:dyDescent="0.25">
      <c r="G4321" s="21"/>
    </row>
    <row r="4322" spans="7:7" x14ac:dyDescent="0.25">
      <c r="G4322" s="21"/>
    </row>
    <row r="4323" spans="7:7" x14ac:dyDescent="0.25">
      <c r="G4323" s="21"/>
    </row>
    <row r="4324" spans="7:7" x14ac:dyDescent="0.25">
      <c r="G4324" s="21"/>
    </row>
    <row r="4325" spans="7:7" x14ac:dyDescent="0.25">
      <c r="G4325" s="21"/>
    </row>
    <row r="4326" spans="7:7" x14ac:dyDescent="0.25">
      <c r="G4326" s="21"/>
    </row>
    <row r="4327" spans="7:7" x14ac:dyDescent="0.25">
      <c r="G4327" s="21"/>
    </row>
    <row r="4328" spans="7:7" x14ac:dyDescent="0.25">
      <c r="G4328" s="21"/>
    </row>
    <row r="4329" spans="7:7" x14ac:dyDescent="0.25">
      <c r="G4329" s="21"/>
    </row>
    <row r="4330" spans="7:7" x14ac:dyDescent="0.25">
      <c r="G4330" s="21"/>
    </row>
    <row r="4331" spans="7:7" x14ac:dyDescent="0.25">
      <c r="G4331" s="21"/>
    </row>
    <row r="4332" spans="7:7" x14ac:dyDescent="0.25">
      <c r="G4332" s="21"/>
    </row>
    <row r="4333" spans="7:7" x14ac:dyDescent="0.25">
      <c r="G4333" s="21"/>
    </row>
    <row r="4334" spans="7:7" x14ac:dyDescent="0.25">
      <c r="G4334" s="21"/>
    </row>
    <row r="4335" spans="7:7" x14ac:dyDescent="0.25">
      <c r="G4335" s="21"/>
    </row>
    <row r="4336" spans="7:7" x14ac:dyDescent="0.25">
      <c r="G4336" s="21"/>
    </row>
    <row r="4337" spans="7:7" x14ac:dyDescent="0.25">
      <c r="G4337" s="21"/>
    </row>
    <row r="4338" spans="7:7" x14ac:dyDescent="0.25">
      <c r="G4338" s="21"/>
    </row>
    <row r="4339" spans="7:7" x14ac:dyDescent="0.25">
      <c r="G4339" s="21"/>
    </row>
    <row r="4340" spans="7:7" x14ac:dyDescent="0.25">
      <c r="G4340" s="21"/>
    </row>
    <row r="4341" spans="7:7" x14ac:dyDescent="0.25">
      <c r="G4341" s="21"/>
    </row>
    <row r="4342" spans="7:7" x14ac:dyDescent="0.25">
      <c r="G4342" s="21"/>
    </row>
    <row r="4343" spans="7:7" x14ac:dyDescent="0.25">
      <c r="G4343" s="21"/>
    </row>
    <row r="4344" spans="7:7" x14ac:dyDescent="0.25">
      <c r="G4344" s="21"/>
    </row>
    <row r="4345" spans="7:7" x14ac:dyDescent="0.25">
      <c r="G4345" s="21"/>
    </row>
    <row r="4346" spans="7:7" x14ac:dyDescent="0.25">
      <c r="G4346" s="21"/>
    </row>
    <row r="4347" spans="7:7" x14ac:dyDescent="0.25">
      <c r="G4347" s="21"/>
    </row>
    <row r="4348" spans="7:7" x14ac:dyDescent="0.25">
      <c r="G4348" s="21"/>
    </row>
    <row r="4349" spans="7:7" x14ac:dyDescent="0.25">
      <c r="G4349" s="21"/>
    </row>
    <row r="4350" spans="7:7" x14ac:dyDescent="0.25">
      <c r="G4350" s="21"/>
    </row>
    <row r="4351" spans="7:7" x14ac:dyDescent="0.25">
      <c r="G4351" s="21"/>
    </row>
    <row r="4352" spans="7:7" x14ac:dyDescent="0.25">
      <c r="G4352" s="21"/>
    </row>
    <row r="4353" spans="7:7" x14ac:dyDescent="0.25">
      <c r="G4353" s="21"/>
    </row>
    <row r="4354" spans="7:7" x14ac:dyDescent="0.25">
      <c r="G4354" s="21"/>
    </row>
    <row r="4355" spans="7:7" x14ac:dyDescent="0.25">
      <c r="G4355" s="21"/>
    </row>
    <row r="4356" spans="7:7" x14ac:dyDescent="0.25">
      <c r="G4356" s="21"/>
    </row>
    <row r="4357" spans="7:7" x14ac:dyDescent="0.25">
      <c r="G4357" s="21"/>
    </row>
    <row r="4358" spans="7:7" x14ac:dyDescent="0.25">
      <c r="G4358" s="21"/>
    </row>
    <row r="4359" spans="7:7" x14ac:dyDescent="0.25">
      <c r="G4359" s="21"/>
    </row>
    <row r="4360" spans="7:7" x14ac:dyDescent="0.25">
      <c r="G4360" s="21"/>
    </row>
    <row r="4361" spans="7:7" x14ac:dyDescent="0.25">
      <c r="G4361" s="21"/>
    </row>
    <row r="4362" spans="7:7" x14ac:dyDescent="0.25">
      <c r="G4362" s="21"/>
    </row>
    <row r="4363" spans="7:7" x14ac:dyDescent="0.25">
      <c r="G4363" s="21"/>
    </row>
    <row r="4364" spans="7:7" x14ac:dyDescent="0.25">
      <c r="G4364" s="21"/>
    </row>
    <row r="4365" spans="7:7" x14ac:dyDescent="0.25">
      <c r="G4365" s="21"/>
    </row>
    <row r="4366" spans="7:7" x14ac:dyDescent="0.25">
      <c r="G4366" s="21"/>
    </row>
    <row r="4367" spans="7:7" x14ac:dyDescent="0.25">
      <c r="G4367" s="21"/>
    </row>
    <row r="4368" spans="7:7" x14ac:dyDescent="0.25">
      <c r="G4368" s="21"/>
    </row>
    <row r="4369" spans="7:7" x14ac:dyDescent="0.25">
      <c r="G4369" s="21"/>
    </row>
    <row r="4370" spans="7:7" x14ac:dyDescent="0.25">
      <c r="G4370" s="21"/>
    </row>
    <row r="4371" spans="7:7" x14ac:dyDescent="0.25">
      <c r="G4371" s="21"/>
    </row>
    <row r="4372" spans="7:7" x14ac:dyDescent="0.25">
      <c r="G4372" s="21"/>
    </row>
    <row r="4373" spans="7:7" x14ac:dyDescent="0.25">
      <c r="G4373" s="21"/>
    </row>
    <row r="4374" spans="7:7" x14ac:dyDescent="0.25">
      <c r="G4374" s="21"/>
    </row>
    <row r="4375" spans="7:7" x14ac:dyDescent="0.25">
      <c r="G4375" s="21"/>
    </row>
    <row r="4376" spans="7:7" x14ac:dyDescent="0.25">
      <c r="G4376" s="21"/>
    </row>
    <row r="4377" spans="7:7" x14ac:dyDescent="0.25">
      <c r="G4377" s="21"/>
    </row>
    <row r="4378" spans="7:7" x14ac:dyDescent="0.25">
      <c r="G4378" s="21"/>
    </row>
    <row r="4379" spans="7:7" x14ac:dyDescent="0.25">
      <c r="G4379" s="21"/>
    </row>
    <row r="4380" spans="7:7" x14ac:dyDescent="0.25">
      <c r="G4380" s="21"/>
    </row>
    <row r="4381" spans="7:7" x14ac:dyDescent="0.25">
      <c r="G4381" s="21"/>
    </row>
    <row r="4382" spans="7:7" x14ac:dyDescent="0.25">
      <c r="G4382" s="21"/>
    </row>
    <row r="4383" spans="7:7" x14ac:dyDescent="0.25">
      <c r="G4383" s="21"/>
    </row>
    <row r="4384" spans="7:7" x14ac:dyDescent="0.25">
      <c r="G4384" s="21"/>
    </row>
    <row r="4385" spans="7:7" x14ac:dyDescent="0.25">
      <c r="G4385" s="21"/>
    </row>
    <row r="4386" spans="7:7" x14ac:dyDescent="0.25">
      <c r="G4386" s="21"/>
    </row>
    <row r="4387" spans="7:7" x14ac:dyDescent="0.25">
      <c r="G4387" s="21"/>
    </row>
    <row r="4388" spans="7:7" x14ac:dyDescent="0.25">
      <c r="G4388" s="21"/>
    </row>
    <row r="4389" spans="7:7" x14ac:dyDescent="0.25">
      <c r="G4389" s="21"/>
    </row>
    <row r="4390" spans="7:7" x14ac:dyDescent="0.25">
      <c r="G4390" s="21"/>
    </row>
    <row r="4391" spans="7:7" x14ac:dyDescent="0.25">
      <c r="G4391" s="21"/>
    </row>
    <row r="4392" spans="7:7" x14ac:dyDescent="0.25">
      <c r="G4392" s="21"/>
    </row>
    <row r="4393" spans="7:7" x14ac:dyDescent="0.25">
      <c r="G4393" s="21"/>
    </row>
    <row r="4394" spans="7:7" x14ac:dyDescent="0.25">
      <c r="G4394" s="21"/>
    </row>
    <row r="4395" spans="7:7" x14ac:dyDescent="0.25">
      <c r="G4395" s="21"/>
    </row>
    <row r="4396" spans="7:7" x14ac:dyDescent="0.25">
      <c r="G4396" s="21"/>
    </row>
    <row r="4397" spans="7:7" x14ac:dyDescent="0.25">
      <c r="G4397" s="21"/>
    </row>
    <row r="4398" spans="7:7" x14ac:dyDescent="0.25">
      <c r="G4398" s="21"/>
    </row>
    <row r="4399" spans="7:7" x14ac:dyDescent="0.25">
      <c r="G4399" s="21"/>
    </row>
    <row r="4400" spans="7:7" x14ac:dyDescent="0.25">
      <c r="G4400" s="21"/>
    </row>
    <row r="4401" spans="7:7" x14ac:dyDescent="0.25">
      <c r="G4401" s="21"/>
    </row>
    <row r="4402" spans="7:7" x14ac:dyDescent="0.25">
      <c r="G4402" s="21"/>
    </row>
    <row r="4403" spans="7:7" x14ac:dyDescent="0.25">
      <c r="G4403" s="21"/>
    </row>
    <row r="4404" spans="7:7" x14ac:dyDescent="0.25">
      <c r="G4404" s="21"/>
    </row>
    <row r="4405" spans="7:7" x14ac:dyDescent="0.25">
      <c r="G4405" s="21"/>
    </row>
    <row r="4406" spans="7:7" x14ac:dyDescent="0.25">
      <c r="G4406" s="21"/>
    </row>
    <row r="4407" spans="7:7" x14ac:dyDescent="0.25">
      <c r="G4407" s="21"/>
    </row>
    <row r="4408" spans="7:7" x14ac:dyDescent="0.25">
      <c r="G4408" s="21"/>
    </row>
    <row r="4409" spans="7:7" x14ac:dyDescent="0.25">
      <c r="G4409" s="21"/>
    </row>
    <row r="4410" spans="7:7" x14ac:dyDescent="0.25">
      <c r="G4410" s="21"/>
    </row>
    <row r="4411" spans="7:7" x14ac:dyDescent="0.25">
      <c r="G4411" s="21"/>
    </row>
    <row r="4412" spans="7:7" x14ac:dyDescent="0.25">
      <c r="G4412" s="21"/>
    </row>
    <row r="4413" spans="7:7" x14ac:dyDescent="0.25">
      <c r="G4413" s="21"/>
    </row>
    <row r="4414" spans="7:7" x14ac:dyDescent="0.25">
      <c r="G4414" s="21"/>
    </row>
    <row r="4415" spans="7:7" x14ac:dyDescent="0.25">
      <c r="G4415" s="21"/>
    </row>
    <row r="4416" spans="7:7" x14ac:dyDescent="0.25">
      <c r="G4416" s="21"/>
    </row>
    <row r="4417" spans="7:7" x14ac:dyDescent="0.25">
      <c r="G4417" s="21"/>
    </row>
    <row r="4418" spans="7:7" x14ac:dyDescent="0.25">
      <c r="G4418" s="21"/>
    </row>
    <row r="4419" spans="7:7" x14ac:dyDescent="0.25">
      <c r="G4419" s="21"/>
    </row>
    <row r="4420" spans="7:7" x14ac:dyDescent="0.25">
      <c r="G4420" s="21"/>
    </row>
    <row r="4421" spans="7:7" x14ac:dyDescent="0.25">
      <c r="G4421" s="21"/>
    </row>
    <row r="4422" spans="7:7" x14ac:dyDescent="0.25">
      <c r="G4422" s="21"/>
    </row>
    <row r="4423" spans="7:7" x14ac:dyDescent="0.25">
      <c r="G4423" s="21"/>
    </row>
    <row r="4424" spans="7:7" x14ac:dyDescent="0.25">
      <c r="G4424" s="21"/>
    </row>
    <row r="4425" spans="7:7" x14ac:dyDescent="0.25">
      <c r="G4425" s="21"/>
    </row>
    <row r="4426" spans="7:7" x14ac:dyDescent="0.25">
      <c r="G4426" s="21"/>
    </row>
    <row r="4427" spans="7:7" x14ac:dyDescent="0.25">
      <c r="G4427" s="21"/>
    </row>
    <row r="4428" spans="7:7" x14ac:dyDescent="0.25">
      <c r="G4428" s="21"/>
    </row>
    <row r="4429" spans="7:7" x14ac:dyDescent="0.25">
      <c r="G4429" s="21"/>
    </row>
    <row r="4430" spans="7:7" x14ac:dyDescent="0.25">
      <c r="G4430" s="21"/>
    </row>
    <row r="4431" spans="7:7" x14ac:dyDescent="0.25">
      <c r="G4431" s="21"/>
    </row>
    <row r="4432" spans="7:7" x14ac:dyDescent="0.25">
      <c r="G4432" s="21"/>
    </row>
    <row r="4433" spans="7:7" x14ac:dyDescent="0.25">
      <c r="G4433" s="21"/>
    </row>
    <row r="4434" spans="7:7" x14ac:dyDescent="0.25">
      <c r="G4434" s="21"/>
    </row>
    <row r="4435" spans="7:7" x14ac:dyDescent="0.25">
      <c r="G4435" s="21"/>
    </row>
    <row r="4436" spans="7:7" x14ac:dyDescent="0.25">
      <c r="G4436" s="21"/>
    </row>
    <row r="4437" spans="7:7" x14ac:dyDescent="0.25">
      <c r="G4437" s="21"/>
    </row>
    <row r="4438" spans="7:7" x14ac:dyDescent="0.25">
      <c r="G4438" s="21"/>
    </row>
    <row r="4439" spans="7:7" x14ac:dyDescent="0.25">
      <c r="G4439" s="21"/>
    </row>
    <row r="4440" spans="7:7" x14ac:dyDescent="0.25">
      <c r="G4440" s="21"/>
    </row>
    <row r="4441" spans="7:7" x14ac:dyDescent="0.25">
      <c r="G4441" s="21"/>
    </row>
    <row r="4442" spans="7:7" x14ac:dyDescent="0.25">
      <c r="G4442" s="21"/>
    </row>
    <row r="4443" spans="7:7" x14ac:dyDescent="0.25">
      <c r="G4443" s="21"/>
    </row>
    <row r="4444" spans="7:7" x14ac:dyDescent="0.25">
      <c r="G4444" s="21"/>
    </row>
    <row r="4445" spans="7:7" x14ac:dyDescent="0.25">
      <c r="G4445" s="21"/>
    </row>
    <row r="4446" spans="7:7" x14ac:dyDescent="0.25">
      <c r="G4446" s="21"/>
    </row>
    <row r="4447" spans="7:7" x14ac:dyDescent="0.25">
      <c r="G4447" s="21"/>
    </row>
    <row r="4448" spans="7:7" x14ac:dyDescent="0.25">
      <c r="G4448" s="21"/>
    </row>
    <row r="4449" spans="7:7" x14ac:dyDescent="0.25">
      <c r="G4449" s="21"/>
    </row>
    <row r="4450" spans="7:7" x14ac:dyDescent="0.25">
      <c r="G4450" s="21"/>
    </row>
    <row r="4451" spans="7:7" x14ac:dyDescent="0.25">
      <c r="G4451" s="21"/>
    </row>
    <row r="4452" spans="7:7" x14ac:dyDescent="0.25">
      <c r="G4452" s="21"/>
    </row>
    <row r="4453" spans="7:7" x14ac:dyDescent="0.25">
      <c r="G4453" s="21"/>
    </row>
    <row r="4454" spans="7:7" x14ac:dyDescent="0.25">
      <c r="G4454" s="21"/>
    </row>
    <row r="4455" spans="7:7" x14ac:dyDescent="0.25">
      <c r="G4455" s="21"/>
    </row>
    <row r="4456" spans="7:7" x14ac:dyDescent="0.25">
      <c r="G4456" s="21"/>
    </row>
    <row r="4457" spans="7:7" x14ac:dyDescent="0.25">
      <c r="G4457" s="21"/>
    </row>
    <row r="4458" spans="7:7" x14ac:dyDescent="0.25">
      <c r="G4458" s="21"/>
    </row>
    <row r="4459" spans="7:7" x14ac:dyDescent="0.25">
      <c r="G4459" s="21"/>
    </row>
    <row r="4460" spans="7:7" x14ac:dyDescent="0.25">
      <c r="G4460" s="21"/>
    </row>
    <row r="4461" spans="7:7" x14ac:dyDescent="0.25">
      <c r="G4461" s="21"/>
    </row>
    <row r="4462" spans="7:7" x14ac:dyDescent="0.25">
      <c r="G4462" s="21"/>
    </row>
    <row r="4463" spans="7:7" x14ac:dyDescent="0.25">
      <c r="G4463" s="21"/>
    </row>
    <row r="4464" spans="7:7" x14ac:dyDescent="0.25">
      <c r="G4464" s="21"/>
    </row>
    <row r="4465" spans="7:7" x14ac:dyDescent="0.25">
      <c r="G4465" s="21"/>
    </row>
    <row r="4466" spans="7:7" x14ac:dyDescent="0.25">
      <c r="G4466" s="21"/>
    </row>
    <row r="4467" spans="7:7" x14ac:dyDescent="0.25">
      <c r="G4467" s="21"/>
    </row>
    <row r="4468" spans="7:7" x14ac:dyDescent="0.25">
      <c r="G4468" s="21"/>
    </row>
    <row r="4469" spans="7:7" x14ac:dyDescent="0.25">
      <c r="G4469" s="21"/>
    </row>
    <row r="4470" spans="7:7" x14ac:dyDescent="0.25">
      <c r="G4470" s="21"/>
    </row>
    <row r="4471" spans="7:7" x14ac:dyDescent="0.25">
      <c r="G4471" s="21"/>
    </row>
    <row r="4472" spans="7:7" x14ac:dyDescent="0.25">
      <c r="G4472" s="21"/>
    </row>
    <row r="4473" spans="7:7" x14ac:dyDescent="0.25">
      <c r="G4473" s="21"/>
    </row>
    <row r="4474" spans="7:7" x14ac:dyDescent="0.25">
      <c r="G4474" s="21"/>
    </row>
    <row r="4475" spans="7:7" x14ac:dyDescent="0.25">
      <c r="G4475" s="21"/>
    </row>
    <row r="4476" spans="7:7" x14ac:dyDescent="0.25">
      <c r="G4476" s="21"/>
    </row>
    <row r="4477" spans="7:7" x14ac:dyDescent="0.25">
      <c r="G4477" s="21"/>
    </row>
    <row r="4478" spans="7:7" x14ac:dyDescent="0.25">
      <c r="G4478" s="21"/>
    </row>
    <row r="4479" spans="7:7" x14ac:dyDescent="0.25">
      <c r="G4479" s="21"/>
    </row>
    <row r="4480" spans="7:7" x14ac:dyDescent="0.25">
      <c r="G4480" s="21"/>
    </row>
    <row r="4481" spans="7:7" x14ac:dyDescent="0.25">
      <c r="G4481" s="21"/>
    </row>
    <row r="4482" spans="7:7" x14ac:dyDescent="0.25">
      <c r="G4482" s="21"/>
    </row>
    <row r="4483" spans="7:7" x14ac:dyDescent="0.25">
      <c r="G4483" s="21"/>
    </row>
    <row r="4484" spans="7:7" x14ac:dyDescent="0.25">
      <c r="G4484" s="21"/>
    </row>
    <row r="4485" spans="7:7" x14ac:dyDescent="0.25">
      <c r="G4485" s="21"/>
    </row>
    <row r="4486" spans="7:7" x14ac:dyDescent="0.25">
      <c r="G4486" s="21"/>
    </row>
    <row r="4487" spans="7:7" x14ac:dyDescent="0.25">
      <c r="G4487" s="21"/>
    </row>
    <row r="4488" spans="7:7" x14ac:dyDescent="0.25">
      <c r="G4488" s="21"/>
    </row>
    <row r="4489" spans="7:7" x14ac:dyDescent="0.25">
      <c r="G4489" s="21"/>
    </row>
    <row r="4490" spans="7:7" x14ac:dyDescent="0.25">
      <c r="G4490" s="21"/>
    </row>
    <row r="4491" spans="7:7" x14ac:dyDescent="0.25">
      <c r="G4491" s="21"/>
    </row>
    <row r="4492" spans="7:7" x14ac:dyDescent="0.25">
      <c r="G4492" s="21"/>
    </row>
    <row r="4493" spans="7:7" x14ac:dyDescent="0.25">
      <c r="G4493" s="21"/>
    </row>
    <row r="4494" spans="7:7" x14ac:dyDescent="0.25">
      <c r="G4494" s="21"/>
    </row>
    <row r="4495" spans="7:7" x14ac:dyDescent="0.25">
      <c r="G4495" s="21"/>
    </row>
    <row r="4496" spans="7:7" x14ac:dyDescent="0.25">
      <c r="G4496" s="21"/>
    </row>
    <row r="4497" spans="7:7" x14ac:dyDescent="0.25">
      <c r="G4497" s="21"/>
    </row>
    <row r="4498" spans="7:7" x14ac:dyDescent="0.25">
      <c r="G4498" s="21"/>
    </row>
    <row r="4499" spans="7:7" x14ac:dyDescent="0.25">
      <c r="G4499" s="21"/>
    </row>
    <row r="4500" spans="7:7" x14ac:dyDescent="0.25">
      <c r="G4500" s="21"/>
    </row>
    <row r="4501" spans="7:7" x14ac:dyDescent="0.25">
      <c r="G4501" s="21"/>
    </row>
    <row r="4502" spans="7:7" x14ac:dyDescent="0.25">
      <c r="G4502" s="21"/>
    </row>
    <row r="4503" spans="7:7" x14ac:dyDescent="0.25">
      <c r="G4503" s="21"/>
    </row>
    <row r="4504" spans="7:7" x14ac:dyDescent="0.25">
      <c r="G4504" s="21"/>
    </row>
    <row r="4505" spans="7:7" x14ac:dyDescent="0.25">
      <c r="G4505" s="21"/>
    </row>
    <row r="4506" spans="7:7" x14ac:dyDescent="0.25">
      <c r="G4506" s="21"/>
    </row>
    <row r="4507" spans="7:7" x14ac:dyDescent="0.25">
      <c r="G4507" s="21"/>
    </row>
    <row r="4508" spans="7:7" x14ac:dyDescent="0.25">
      <c r="G4508" s="21"/>
    </row>
    <row r="4509" spans="7:7" x14ac:dyDescent="0.25">
      <c r="G4509" s="21"/>
    </row>
    <row r="4510" spans="7:7" x14ac:dyDescent="0.25">
      <c r="G4510" s="21"/>
    </row>
    <row r="4511" spans="7:7" x14ac:dyDescent="0.25">
      <c r="G4511" s="21"/>
    </row>
    <row r="4512" spans="7:7" x14ac:dyDescent="0.25">
      <c r="G4512" s="21"/>
    </row>
    <row r="4513" spans="7:7" x14ac:dyDescent="0.25">
      <c r="G4513" s="21"/>
    </row>
    <row r="4514" spans="7:7" x14ac:dyDescent="0.25">
      <c r="G4514" s="21"/>
    </row>
    <row r="4515" spans="7:7" x14ac:dyDescent="0.25">
      <c r="G4515" s="21"/>
    </row>
    <row r="4516" spans="7:7" x14ac:dyDescent="0.25">
      <c r="G4516" s="21"/>
    </row>
    <row r="4517" spans="7:7" x14ac:dyDescent="0.25">
      <c r="G4517" s="21"/>
    </row>
    <row r="4518" spans="7:7" x14ac:dyDescent="0.25">
      <c r="G4518" s="21"/>
    </row>
    <row r="4519" spans="7:7" x14ac:dyDescent="0.25">
      <c r="G4519" s="21"/>
    </row>
    <row r="4520" spans="7:7" x14ac:dyDescent="0.25">
      <c r="G4520" s="21"/>
    </row>
    <row r="4521" spans="7:7" x14ac:dyDescent="0.25">
      <c r="G4521" s="21"/>
    </row>
    <row r="4522" spans="7:7" x14ac:dyDescent="0.25">
      <c r="G4522" s="21"/>
    </row>
    <row r="4523" spans="7:7" x14ac:dyDescent="0.25">
      <c r="G4523" s="21"/>
    </row>
    <row r="4524" spans="7:7" x14ac:dyDescent="0.25">
      <c r="G4524" s="21"/>
    </row>
    <row r="4525" spans="7:7" x14ac:dyDescent="0.25">
      <c r="G4525" s="21"/>
    </row>
    <row r="4526" spans="7:7" x14ac:dyDescent="0.25">
      <c r="G4526" s="21"/>
    </row>
    <row r="4527" spans="7:7" x14ac:dyDescent="0.25">
      <c r="G4527" s="21"/>
    </row>
    <row r="4528" spans="7:7" x14ac:dyDescent="0.25">
      <c r="G4528" s="21"/>
    </row>
    <row r="4529" spans="7:7" x14ac:dyDescent="0.25">
      <c r="G4529" s="21"/>
    </row>
    <row r="4530" spans="7:7" x14ac:dyDescent="0.25">
      <c r="G4530" s="21"/>
    </row>
    <row r="4531" spans="7:7" x14ac:dyDescent="0.25">
      <c r="G4531" s="21"/>
    </row>
    <row r="4532" spans="7:7" x14ac:dyDescent="0.25">
      <c r="G4532" s="21"/>
    </row>
    <row r="4533" spans="7:7" x14ac:dyDescent="0.25">
      <c r="G4533" s="21"/>
    </row>
    <row r="4534" spans="7:7" x14ac:dyDescent="0.25">
      <c r="G4534" s="21"/>
    </row>
    <row r="4535" spans="7:7" x14ac:dyDescent="0.25">
      <c r="G4535" s="21"/>
    </row>
    <row r="4536" spans="7:7" x14ac:dyDescent="0.25">
      <c r="G4536" s="21"/>
    </row>
    <row r="4537" spans="7:7" x14ac:dyDescent="0.25">
      <c r="G4537" s="21"/>
    </row>
    <row r="4538" spans="7:7" x14ac:dyDescent="0.25">
      <c r="G4538" s="21"/>
    </row>
    <row r="4539" spans="7:7" x14ac:dyDescent="0.25">
      <c r="G4539" s="21"/>
    </row>
    <row r="4540" spans="7:7" x14ac:dyDescent="0.25">
      <c r="G4540" s="21"/>
    </row>
    <row r="4541" spans="7:7" x14ac:dyDescent="0.25">
      <c r="G4541" s="21"/>
    </row>
    <row r="4542" spans="7:7" x14ac:dyDescent="0.25">
      <c r="G4542" s="21"/>
    </row>
    <row r="4543" spans="7:7" x14ac:dyDescent="0.25">
      <c r="G4543" s="21"/>
    </row>
    <row r="4544" spans="7:7" x14ac:dyDescent="0.25">
      <c r="G4544" s="21"/>
    </row>
    <row r="4545" spans="7:7" x14ac:dyDescent="0.25">
      <c r="G4545" s="21"/>
    </row>
    <row r="4546" spans="7:7" x14ac:dyDescent="0.25">
      <c r="G4546" s="21"/>
    </row>
    <row r="4547" spans="7:7" x14ac:dyDescent="0.25">
      <c r="G4547" s="21"/>
    </row>
    <row r="4548" spans="7:7" x14ac:dyDescent="0.25">
      <c r="G4548" s="21"/>
    </row>
    <row r="4549" spans="7:7" x14ac:dyDescent="0.25">
      <c r="G4549" s="21"/>
    </row>
    <row r="4550" spans="7:7" x14ac:dyDescent="0.25">
      <c r="G4550" s="21"/>
    </row>
    <row r="4551" spans="7:7" x14ac:dyDescent="0.25">
      <c r="G4551" s="21"/>
    </row>
    <row r="4552" spans="7:7" x14ac:dyDescent="0.25">
      <c r="G4552" s="21"/>
    </row>
    <row r="4553" spans="7:7" x14ac:dyDescent="0.25">
      <c r="G4553" s="21"/>
    </row>
    <row r="4554" spans="7:7" x14ac:dyDescent="0.25">
      <c r="G4554" s="21"/>
    </row>
    <row r="4555" spans="7:7" x14ac:dyDescent="0.25">
      <c r="G4555" s="21"/>
    </row>
    <row r="4556" spans="7:7" x14ac:dyDescent="0.25">
      <c r="G4556" s="21"/>
    </row>
    <row r="4557" spans="7:7" x14ac:dyDescent="0.25">
      <c r="G4557" s="21"/>
    </row>
    <row r="4558" spans="7:7" x14ac:dyDescent="0.25">
      <c r="G4558" s="21"/>
    </row>
    <row r="4559" spans="7:7" x14ac:dyDescent="0.25">
      <c r="G4559" s="21"/>
    </row>
    <row r="4560" spans="7:7" x14ac:dyDescent="0.25">
      <c r="G4560" s="21"/>
    </row>
    <row r="4561" spans="7:7" x14ac:dyDescent="0.25">
      <c r="G4561" s="21"/>
    </row>
    <row r="4562" spans="7:7" x14ac:dyDescent="0.25">
      <c r="G4562" s="21"/>
    </row>
    <row r="4563" spans="7:7" x14ac:dyDescent="0.25">
      <c r="G4563" s="21"/>
    </row>
    <row r="4564" spans="7:7" x14ac:dyDescent="0.25">
      <c r="G4564" s="21"/>
    </row>
    <row r="4565" spans="7:7" x14ac:dyDescent="0.25">
      <c r="G4565" s="21"/>
    </row>
    <row r="4566" spans="7:7" x14ac:dyDescent="0.25">
      <c r="G4566" s="21"/>
    </row>
    <row r="4567" spans="7:7" x14ac:dyDescent="0.25">
      <c r="G4567" s="21"/>
    </row>
    <row r="4568" spans="7:7" x14ac:dyDescent="0.25">
      <c r="G4568" s="21"/>
    </row>
    <row r="4569" spans="7:7" x14ac:dyDescent="0.25">
      <c r="G4569" s="21"/>
    </row>
    <row r="4570" spans="7:7" x14ac:dyDescent="0.25">
      <c r="G4570" s="21"/>
    </row>
    <row r="4571" spans="7:7" x14ac:dyDescent="0.25">
      <c r="G4571" s="21"/>
    </row>
    <row r="4572" spans="7:7" x14ac:dyDescent="0.25">
      <c r="G4572" s="21"/>
    </row>
    <row r="4573" spans="7:7" x14ac:dyDescent="0.25">
      <c r="G4573" s="21"/>
    </row>
    <row r="4574" spans="7:7" x14ac:dyDescent="0.25">
      <c r="G4574" s="21"/>
    </row>
    <row r="4575" spans="7:7" x14ac:dyDescent="0.25">
      <c r="G4575" s="21"/>
    </row>
    <row r="4576" spans="7:7" x14ac:dyDescent="0.25">
      <c r="G4576" s="21"/>
    </row>
    <row r="4577" spans="7:7" x14ac:dyDescent="0.25">
      <c r="G4577" s="21"/>
    </row>
    <row r="4578" spans="7:7" x14ac:dyDescent="0.25">
      <c r="G4578" s="21"/>
    </row>
    <row r="4579" spans="7:7" x14ac:dyDescent="0.25">
      <c r="G4579" s="21"/>
    </row>
    <row r="4580" spans="7:7" x14ac:dyDescent="0.25">
      <c r="G4580" s="21"/>
    </row>
    <row r="4581" spans="7:7" x14ac:dyDescent="0.25">
      <c r="G4581" s="21"/>
    </row>
    <row r="4582" spans="7:7" x14ac:dyDescent="0.25">
      <c r="G4582" s="21"/>
    </row>
    <row r="4583" spans="7:7" x14ac:dyDescent="0.25">
      <c r="G4583" s="21"/>
    </row>
    <row r="4584" spans="7:7" x14ac:dyDescent="0.25">
      <c r="G4584" s="21"/>
    </row>
    <row r="4585" spans="7:7" x14ac:dyDescent="0.25">
      <c r="G4585" s="21"/>
    </row>
    <row r="4586" spans="7:7" x14ac:dyDescent="0.25">
      <c r="G4586" s="21"/>
    </row>
    <row r="4587" spans="7:7" x14ac:dyDescent="0.25">
      <c r="G4587" s="21"/>
    </row>
    <row r="4588" spans="7:7" x14ac:dyDescent="0.25">
      <c r="G4588" s="21"/>
    </row>
    <row r="4589" spans="7:7" x14ac:dyDescent="0.25">
      <c r="G4589" s="21"/>
    </row>
    <row r="4590" spans="7:7" x14ac:dyDescent="0.25">
      <c r="G4590" s="21"/>
    </row>
    <row r="4591" spans="7:7" x14ac:dyDescent="0.25">
      <c r="G4591" s="21"/>
    </row>
    <row r="4592" spans="7:7" x14ac:dyDescent="0.25">
      <c r="G4592" s="21"/>
    </row>
    <row r="4593" spans="7:7" x14ac:dyDescent="0.25">
      <c r="G4593" s="21"/>
    </row>
    <row r="4594" spans="7:7" x14ac:dyDescent="0.25">
      <c r="G4594" s="21"/>
    </row>
    <row r="4595" spans="7:7" x14ac:dyDescent="0.25">
      <c r="G4595" s="21"/>
    </row>
    <row r="4596" spans="7:7" x14ac:dyDescent="0.25">
      <c r="G4596" s="21"/>
    </row>
    <row r="4597" spans="7:7" x14ac:dyDescent="0.25">
      <c r="G4597" s="21"/>
    </row>
    <row r="4598" spans="7:7" x14ac:dyDescent="0.25">
      <c r="G4598" s="21"/>
    </row>
    <row r="4599" spans="7:7" x14ac:dyDescent="0.25">
      <c r="G4599" s="21"/>
    </row>
    <row r="4600" spans="7:7" x14ac:dyDescent="0.25">
      <c r="G4600" s="21"/>
    </row>
    <row r="4601" spans="7:7" x14ac:dyDescent="0.25">
      <c r="G4601" s="21"/>
    </row>
    <row r="4602" spans="7:7" x14ac:dyDescent="0.25">
      <c r="G4602" s="21"/>
    </row>
    <row r="4603" spans="7:7" x14ac:dyDescent="0.25">
      <c r="G4603" s="21"/>
    </row>
    <row r="4604" spans="7:7" x14ac:dyDescent="0.25">
      <c r="G4604" s="21"/>
    </row>
    <row r="4605" spans="7:7" x14ac:dyDescent="0.25">
      <c r="G4605" s="21"/>
    </row>
    <row r="4606" spans="7:7" x14ac:dyDescent="0.25">
      <c r="G4606" s="21"/>
    </row>
    <row r="4607" spans="7:7" x14ac:dyDescent="0.25">
      <c r="G4607" s="21"/>
    </row>
    <row r="4608" spans="7:7" x14ac:dyDescent="0.25">
      <c r="G4608" s="21"/>
    </row>
    <row r="4609" spans="7:7" x14ac:dyDescent="0.25">
      <c r="G4609" s="21"/>
    </row>
    <row r="4610" spans="7:7" x14ac:dyDescent="0.25">
      <c r="G4610" s="21"/>
    </row>
    <row r="4611" spans="7:7" x14ac:dyDescent="0.25">
      <c r="G4611" s="21"/>
    </row>
    <row r="4612" spans="7:7" x14ac:dyDescent="0.25">
      <c r="G4612" s="21"/>
    </row>
    <row r="4613" spans="7:7" x14ac:dyDescent="0.25">
      <c r="G4613" s="21"/>
    </row>
    <row r="4614" spans="7:7" x14ac:dyDescent="0.25">
      <c r="G4614" s="21"/>
    </row>
    <row r="4615" spans="7:7" x14ac:dyDescent="0.25">
      <c r="G4615" s="21"/>
    </row>
    <row r="4616" spans="7:7" x14ac:dyDescent="0.25">
      <c r="G4616" s="21"/>
    </row>
    <row r="4617" spans="7:7" x14ac:dyDescent="0.25">
      <c r="G4617" s="21"/>
    </row>
    <row r="4618" spans="7:7" x14ac:dyDescent="0.25">
      <c r="G4618" s="21"/>
    </row>
    <row r="4619" spans="7:7" x14ac:dyDescent="0.25">
      <c r="G4619" s="21"/>
    </row>
    <row r="4620" spans="7:7" x14ac:dyDescent="0.25">
      <c r="G4620" s="21"/>
    </row>
    <row r="4621" spans="7:7" x14ac:dyDescent="0.25">
      <c r="G4621" s="21"/>
    </row>
    <row r="4622" spans="7:7" x14ac:dyDescent="0.25">
      <c r="G4622" s="21"/>
    </row>
    <row r="4623" spans="7:7" x14ac:dyDescent="0.25">
      <c r="G4623" s="21"/>
    </row>
    <row r="4624" spans="7:7" x14ac:dyDescent="0.25">
      <c r="G4624" s="21"/>
    </row>
    <row r="4625" spans="7:7" x14ac:dyDescent="0.25">
      <c r="G4625" s="21"/>
    </row>
    <row r="4626" spans="7:7" x14ac:dyDescent="0.25">
      <c r="G4626" s="21"/>
    </row>
    <row r="4627" spans="7:7" x14ac:dyDescent="0.25">
      <c r="G4627" s="21"/>
    </row>
    <row r="4628" spans="7:7" x14ac:dyDescent="0.25">
      <c r="G4628" s="21"/>
    </row>
    <row r="4629" spans="7:7" x14ac:dyDescent="0.25">
      <c r="G4629" s="21"/>
    </row>
    <row r="4630" spans="7:7" x14ac:dyDescent="0.25">
      <c r="G4630" s="21"/>
    </row>
    <row r="4631" spans="7:7" x14ac:dyDescent="0.25">
      <c r="G4631" s="21"/>
    </row>
    <row r="4632" spans="7:7" x14ac:dyDescent="0.25">
      <c r="G4632" s="21"/>
    </row>
    <row r="4633" spans="7:7" x14ac:dyDescent="0.25">
      <c r="G4633" s="21"/>
    </row>
    <row r="4634" spans="7:7" x14ac:dyDescent="0.25">
      <c r="G4634" s="21"/>
    </row>
    <row r="4635" spans="7:7" x14ac:dyDescent="0.25">
      <c r="G4635" s="21"/>
    </row>
    <row r="4636" spans="7:7" x14ac:dyDescent="0.25">
      <c r="G4636" s="21"/>
    </row>
    <row r="4637" spans="7:7" x14ac:dyDescent="0.25">
      <c r="G4637" s="21"/>
    </row>
    <row r="4638" spans="7:7" x14ac:dyDescent="0.25">
      <c r="G4638" s="21"/>
    </row>
    <row r="4639" spans="7:7" x14ac:dyDescent="0.25">
      <c r="G4639" s="21"/>
    </row>
    <row r="4640" spans="7:7" x14ac:dyDescent="0.25">
      <c r="G4640" s="21"/>
    </row>
    <row r="4641" spans="7:7" x14ac:dyDescent="0.25">
      <c r="G4641" s="21"/>
    </row>
    <row r="4642" spans="7:7" x14ac:dyDescent="0.25">
      <c r="G4642" s="21"/>
    </row>
    <row r="4643" spans="7:7" x14ac:dyDescent="0.25">
      <c r="G4643" s="21"/>
    </row>
    <row r="4644" spans="7:7" x14ac:dyDescent="0.25">
      <c r="G4644" s="21"/>
    </row>
    <row r="4645" spans="7:7" x14ac:dyDescent="0.25">
      <c r="G4645" s="21"/>
    </row>
    <row r="4646" spans="7:7" x14ac:dyDescent="0.25">
      <c r="G4646" s="21"/>
    </row>
    <row r="4647" spans="7:7" x14ac:dyDescent="0.25">
      <c r="G4647" s="21"/>
    </row>
    <row r="4648" spans="7:7" x14ac:dyDescent="0.25">
      <c r="G4648" s="21"/>
    </row>
    <row r="4649" spans="7:7" x14ac:dyDescent="0.25">
      <c r="G4649" s="21"/>
    </row>
    <row r="4650" spans="7:7" x14ac:dyDescent="0.25">
      <c r="G4650" s="21"/>
    </row>
    <row r="4651" spans="7:7" x14ac:dyDescent="0.25">
      <c r="G4651" s="21"/>
    </row>
    <row r="4652" spans="7:7" x14ac:dyDescent="0.25">
      <c r="G4652" s="21"/>
    </row>
    <row r="4653" spans="7:7" x14ac:dyDescent="0.25">
      <c r="G4653" s="21"/>
    </row>
    <row r="4654" spans="7:7" x14ac:dyDescent="0.25">
      <c r="G4654" s="21"/>
    </row>
    <row r="4655" spans="7:7" x14ac:dyDescent="0.25">
      <c r="G4655" s="21"/>
    </row>
    <row r="4656" spans="7:7" x14ac:dyDescent="0.25">
      <c r="G4656" s="21"/>
    </row>
    <row r="4657" spans="7:7" x14ac:dyDescent="0.25">
      <c r="G4657" s="21"/>
    </row>
    <row r="4658" spans="7:7" x14ac:dyDescent="0.25">
      <c r="G4658" s="21"/>
    </row>
    <row r="4659" spans="7:7" x14ac:dyDescent="0.25">
      <c r="G4659" s="21"/>
    </row>
    <row r="4660" spans="7:7" x14ac:dyDescent="0.25">
      <c r="G4660" s="21"/>
    </row>
    <row r="4661" spans="7:7" x14ac:dyDescent="0.25">
      <c r="G4661" s="21"/>
    </row>
    <row r="4662" spans="7:7" x14ac:dyDescent="0.25">
      <c r="G4662" s="21"/>
    </row>
    <row r="4663" spans="7:7" x14ac:dyDescent="0.25">
      <c r="G4663" s="21"/>
    </row>
    <row r="4664" spans="7:7" x14ac:dyDescent="0.25">
      <c r="G4664" s="21"/>
    </row>
    <row r="4665" spans="7:7" x14ac:dyDescent="0.25">
      <c r="G4665" s="21"/>
    </row>
    <row r="4666" spans="7:7" x14ac:dyDescent="0.25">
      <c r="G4666" s="21"/>
    </row>
    <row r="4667" spans="7:7" x14ac:dyDescent="0.25">
      <c r="G4667" s="21"/>
    </row>
    <row r="4668" spans="7:7" x14ac:dyDescent="0.25">
      <c r="G4668" s="21"/>
    </row>
    <row r="4669" spans="7:7" x14ac:dyDescent="0.25">
      <c r="G4669" s="21"/>
    </row>
    <row r="4670" spans="7:7" x14ac:dyDescent="0.25">
      <c r="G4670" s="21"/>
    </row>
    <row r="4671" spans="7:7" x14ac:dyDescent="0.25">
      <c r="G4671" s="21"/>
    </row>
    <row r="4672" spans="7:7" x14ac:dyDescent="0.25">
      <c r="G4672" s="21"/>
    </row>
    <row r="4673" spans="7:7" x14ac:dyDescent="0.25">
      <c r="G4673" s="21"/>
    </row>
    <row r="4674" spans="7:7" x14ac:dyDescent="0.25">
      <c r="G4674" s="21"/>
    </row>
    <row r="4675" spans="7:7" x14ac:dyDescent="0.25">
      <c r="G4675" s="21"/>
    </row>
    <row r="4676" spans="7:7" x14ac:dyDescent="0.25">
      <c r="G4676" s="21"/>
    </row>
    <row r="4677" spans="7:7" x14ac:dyDescent="0.25">
      <c r="G4677" s="21"/>
    </row>
    <row r="4678" spans="7:7" x14ac:dyDescent="0.25">
      <c r="G4678" s="21"/>
    </row>
    <row r="4679" spans="7:7" x14ac:dyDescent="0.25">
      <c r="G4679" s="21"/>
    </row>
    <row r="4680" spans="7:7" x14ac:dyDescent="0.25">
      <c r="G4680" s="21"/>
    </row>
    <row r="4681" spans="7:7" x14ac:dyDescent="0.25">
      <c r="G4681" s="21"/>
    </row>
    <row r="4682" spans="7:7" x14ac:dyDescent="0.25">
      <c r="G4682" s="21"/>
    </row>
    <row r="4683" spans="7:7" x14ac:dyDescent="0.25">
      <c r="G4683" s="21"/>
    </row>
    <row r="4684" spans="7:7" x14ac:dyDescent="0.25">
      <c r="G4684" s="21"/>
    </row>
    <row r="4685" spans="7:7" x14ac:dyDescent="0.25">
      <c r="G4685" s="21"/>
    </row>
    <row r="4686" spans="7:7" x14ac:dyDescent="0.25">
      <c r="G4686" s="21"/>
    </row>
    <row r="4687" spans="7:7" x14ac:dyDescent="0.25">
      <c r="G4687" s="21"/>
    </row>
    <row r="4688" spans="7:7" x14ac:dyDescent="0.25">
      <c r="G4688" s="21"/>
    </row>
    <row r="4689" spans="7:7" x14ac:dyDescent="0.25">
      <c r="G4689" s="21"/>
    </row>
    <row r="4690" spans="7:7" x14ac:dyDescent="0.25">
      <c r="G4690" s="21"/>
    </row>
    <row r="4691" spans="7:7" x14ac:dyDescent="0.25">
      <c r="G4691" s="21"/>
    </row>
    <row r="4692" spans="7:7" x14ac:dyDescent="0.25">
      <c r="G4692" s="21"/>
    </row>
    <row r="4693" spans="7:7" x14ac:dyDescent="0.25">
      <c r="G4693" s="21"/>
    </row>
    <row r="4694" spans="7:7" x14ac:dyDescent="0.25">
      <c r="G4694" s="21"/>
    </row>
    <row r="4695" spans="7:7" x14ac:dyDescent="0.25">
      <c r="G4695" s="21"/>
    </row>
    <row r="4696" spans="7:7" x14ac:dyDescent="0.25">
      <c r="G4696" s="21"/>
    </row>
    <row r="4697" spans="7:7" x14ac:dyDescent="0.25">
      <c r="G4697" s="21"/>
    </row>
    <row r="4698" spans="7:7" x14ac:dyDescent="0.25">
      <c r="G4698" s="21"/>
    </row>
    <row r="4699" spans="7:7" x14ac:dyDescent="0.25">
      <c r="G4699" s="21"/>
    </row>
    <row r="4700" spans="7:7" x14ac:dyDescent="0.25">
      <c r="G4700" s="21"/>
    </row>
    <row r="4701" spans="7:7" x14ac:dyDescent="0.25">
      <c r="G4701" s="21"/>
    </row>
    <row r="4702" spans="7:7" x14ac:dyDescent="0.25">
      <c r="G4702" s="21"/>
    </row>
    <row r="4703" spans="7:7" x14ac:dyDescent="0.25">
      <c r="G4703" s="21"/>
    </row>
    <row r="4704" spans="7:7" x14ac:dyDescent="0.25">
      <c r="G4704" s="21"/>
    </row>
    <row r="4705" spans="7:7" x14ac:dyDescent="0.25">
      <c r="G4705" s="21"/>
    </row>
    <row r="4706" spans="7:7" x14ac:dyDescent="0.25">
      <c r="G4706" s="21"/>
    </row>
    <row r="4707" spans="7:7" x14ac:dyDescent="0.25">
      <c r="G4707" s="21"/>
    </row>
    <row r="4708" spans="7:7" x14ac:dyDescent="0.25">
      <c r="G4708" s="21"/>
    </row>
    <row r="4709" spans="7:7" x14ac:dyDescent="0.25">
      <c r="G4709" s="21"/>
    </row>
    <row r="4710" spans="7:7" x14ac:dyDescent="0.25">
      <c r="G4710" s="21"/>
    </row>
    <row r="4711" spans="7:7" x14ac:dyDescent="0.25">
      <c r="G4711" s="21"/>
    </row>
    <row r="4712" spans="7:7" x14ac:dyDescent="0.25">
      <c r="G4712" s="21"/>
    </row>
    <row r="4713" spans="7:7" x14ac:dyDescent="0.25">
      <c r="G4713" s="21"/>
    </row>
    <row r="4714" spans="7:7" x14ac:dyDescent="0.25">
      <c r="G4714" s="21"/>
    </row>
    <row r="4715" spans="7:7" x14ac:dyDescent="0.25">
      <c r="G4715" s="21"/>
    </row>
    <row r="4716" spans="7:7" x14ac:dyDescent="0.25">
      <c r="G4716" s="21"/>
    </row>
    <row r="4717" spans="7:7" x14ac:dyDescent="0.25">
      <c r="G4717" s="21"/>
    </row>
    <row r="4718" spans="7:7" x14ac:dyDescent="0.25">
      <c r="G4718" s="21"/>
    </row>
    <row r="4719" spans="7:7" x14ac:dyDescent="0.25">
      <c r="G4719" s="21"/>
    </row>
    <row r="4720" spans="7:7" x14ac:dyDescent="0.25">
      <c r="G4720" s="21"/>
    </row>
    <row r="4721" spans="7:7" x14ac:dyDescent="0.25">
      <c r="G4721" s="21"/>
    </row>
    <row r="4722" spans="7:7" x14ac:dyDescent="0.25">
      <c r="G4722" s="21"/>
    </row>
    <row r="4723" spans="7:7" x14ac:dyDescent="0.25">
      <c r="G4723" s="21"/>
    </row>
    <row r="4724" spans="7:7" x14ac:dyDescent="0.25">
      <c r="G4724" s="21"/>
    </row>
    <row r="4725" spans="7:7" x14ac:dyDescent="0.25">
      <c r="G4725" s="21"/>
    </row>
    <row r="4726" spans="7:7" x14ac:dyDescent="0.25">
      <c r="G4726" s="21"/>
    </row>
    <row r="4727" spans="7:7" x14ac:dyDescent="0.25">
      <c r="G4727" s="21"/>
    </row>
    <row r="4728" spans="7:7" x14ac:dyDescent="0.25">
      <c r="G4728" s="21"/>
    </row>
    <row r="4729" spans="7:7" x14ac:dyDescent="0.25">
      <c r="G4729" s="21"/>
    </row>
    <row r="4730" spans="7:7" x14ac:dyDescent="0.25">
      <c r="G4730" s="21"/>
    </row>
    <row r="4731" spans="7:7" x14ac:dyDescent="0.25">
      <c r="G4731" s="21"/>
    </row>
    <row r="4732" spans="7:7" x14ac:dyDescent="0.25">
      <c r="G4732" s="21"/>
    </row>
    <row r="4733" spans="7:7" x14ac:dyDescent="0.25">
      <c r="G4733" s="21"/>
    </row>
    <row r="4734" spans="7:7" x14ac:dyDescent="0.25">
      <c r="G4734" s="21"/>
    </row>
    <row r="4735" spans="7:7" x14ac:dyDescent="0.25">
      <c r="G4735" s="21"/>
    </row>
    <row r="4736" spans="7:7" x14ac:dyDescent="0.25">
      <c r="G4736" s="21"/>
    </row>
    <row r="4737" spans="7:7" x14ac:dyDescent="0.25">
      <c r="G4737" s="21"/>
    </row>
    <row r="4738" spans="7:7" x14ac:dyDescent="0.25">
      <c r="G4738" s="21"/>
    </row>
    <row r="4739" spans="7:7" x14ac:dyDescent="0.25">
      <c r="G4739" s="21"/>
    </row>
    <row r="4740" spans="7:7" x14ac:dyDescent="0.25">
      <c r="G4740" s="21"/>
    </row>
    <row r="4741" spans="7:7" x14ac:dyDescent="0.25">
      <c r="G4741" s="21"/>
    </row>
    <row r="4742" spans="7:7" x14ac:dyDescent="0.25">
      <c r="G4742" s="21"/>
    </row>
    <row r="4743" spans="7:7" x14ac:dyDescent="0.25">
      <c r="G4743" s="21"/>
    </row>
    <row r="4744" spans="7:7" x14ac:dyDescent="0.25">
      <c r="G4744" s="21"/>
    </row>
    <row r="4745" spans="7:7" x14ac:dyDescent="0.25">
      <c r="G4745" s="21"/>
    </row>
    <row r="4746" spans="7:7" x14ac:dyDescent="0.25">
      <c r="G4746" s="21"/>
    </row>
    <row r="4747" spans="7:7" x14ac:dyDescent="0.25">
      <c r="G4747" s="21"/>
    </row>
    <row r="4748" spans="7:7" x14ac:dyDescent="0.25">
      <c r="G4748" s="21"/>
    </row>
    <row r="4749" spans="7:7" x14ac:dyDescent="0.25">
      <c r="G4749" s="21"/>
    </row>
    <row r="4750" spans="7:7" x14ac:dyDescent="0.25">
      <c r="G4750" s="21"/>
    </row>
    <row r="4751" spans="7:7" x14ac:dyDescent="0.25">
      <c r="G4751" s="21"/>
    </row>
    <row r="4752" spans="7:7" x14ac:dyDescent="0.25">
      <c r="G4752" s="21"/>
    </row>
    <row r="4753" spans="7:7" x14ac:dyDescent="0.25">
      <c r="G4753" s="21"/>
    </row>
    <row r="4754" spans="7:7" x14ac:dyDescent="0.25">
      <c r="G4754" s="21"/>
    </row>
    <row r="4755" spans="7:7" x14ac:dyDescent="0.25">
      <c r="G4755" s="21"/>
    </row>
    <row r="4756" spans="7:7" x14ac:dyDescent="0.25">
      <c r="G4756" s="21"/>
    </row>
    <row r="4757" spans="7:7" x14ac:dyDescent="0.25">
      <c r="G4757" s="21"/>
    </row>
    <row r="4758" spans="7:7" x14ac:dyDescent="0.25">
      <c r="G4758" s="21"/>
    </row>
    <row r="4759" spans="7:7" x14ac:dyDescent="0.25">
      <c r="G4759" s="21"/>
    </row>
    <row r="4760" spans="7:7" x14ac:dyDescent="0.25">
      <c r="G4760" s="21"/>
    </row>
    <row r="4761" spans="7:7" x14ac:dyDescent="0.25">
      <c r="G4761" s="21"/>
    </row>
    <row r="4762" spans="7:7" x14ac:dyDescent="0.25">
      <c r="G4762" s="21"/>
    </row>
    <row r="4763" spans="7:7" x14ac:dyDescent="0.25">
      <c r="G4763" s="21"/>
    </row>
    <row r="4764" spans="7:7" x14ac:dyDescent="0.25">
      <c r="G4764" s="21"/>
    </row>
    <row r="4765" spans="7:7" x14ac:dyDescent="0.25">
      <c r="G4765" s="21"/>
    </row>
    <row r="4766" spans="7:7" x14ac:dyDescent="0.25">
      <c r="G4766" s="21"/>
    </row>
    <row r="4767" spans="7:7" x14ac:dyDescent="0.25">
      <c r="G4767" s="21"/>
    </row>
    <row r="4768" spans="7:7" x14ac:dyDescent="0.25">
      <c r="G4768" s="21"/>
    </row>
    <row r="4769" spans="7:7" x14ac:dyDescent="0.25">
      <c r="G4769" s="21"/>
    </row>
    <row r="4770" spans="7:7" x14ac:dyDescent="0.25">
      <c r="G4770" s="21"/>
    </row>
    <row r="4771" spans="7:7" x14ac:dyDescent="0.25">
      <c r="G4771" s="21"/>
    </row>
    <row r="4772" spans="7:7" x14ac:dyDescent="0.25">
      <c r="G4772" s="21"/>
    </row>
    <row r="4773" spans="7:7" x14ac:dyDescent="0.25">
      <c r="G4773" s="21"/>
    </row>
    <row r="4774" spans="7:7" x14ac:dyDescent="0.25">
      <c r="G4774" s="21"/>
    </row>
    <row r="4775" spans="7:7" x14ac:dyDescent="0.25">
      <c r="G4775" s="21"/>
    </row>
    <row r="4776" spans="7:7" x14ac:dyDescent="0.25">
      <c r="G4776" s="21"/>
    </row>
    <row r="4777" spans="7:7" x14ac:dyDescent="0.25">
      <c r="G4777" s="21"/>
    </row>
    <row r="4778" spans="7:7" x14ac:dyDescent="0.25">
      <c r="G4778" s="21"/>
    </row>
    <row r="4779" spans="7:7" x14ac:dyDescent="0.25">
      <c r="G4779" s="21"/>
    </row>
    <row r="4780" spans="7:7" x14ac:dyDescent="0.25">
      <c r="G4780" s="21"/>
    </row>
    <row r="4781" spans="7:7" x14ac:dyDescent="0.25">
      <c r="G4781" s="21"/>
    </row>
    <row r="4782" spans="7:7" x14ac:dyDescent="0.25">
      <c r="G4782" s="21"/>
    </row>
    <row r="4783" spans="7:7" x14ac:dyDescent="0.25">
      <c r="G4783" s="21"/>
    </row>
    <row r="4784" spans="7:7" x14ac:dyDescent="0.25">
      <c r="G4784" s="21"/>
    </row>
    <row r="4785" spans="7:7" x14ac:dyDescent="0.25">
      <c r="G4785" s="21"/>
    </row>
    <row r="4786" spans="7:7" x14ac:dyDescent="0.25">
      <c r="G4786" s="21"/>
    </row>
    <row r="4787" spans="7:7" x14ac:dyDescent="0.25">
      <c r="G4787" s="21"/>
    </row>
    <row r="4788" spans="7:7" x14ac:dyDescent="0.25">
      <c r="G4788" s="21"/>
    </row>
    <row r="4789" spans="7:7" x14ac:dyDescent="0.25">
      <c r="G4789" s="21"/>
    </row>
    <row r="4790" spans="7:7" x14ac:dyDescent="0.25">
      <c r="G4790" s="21"/>
    </row>
    <row r="4791" spans="7:7" x14ac:dyDescent="0.25">
      <c r="G4791" s="21"/>
    </row>
    <row r="4792" spans="7:7" x14ac:dyDescent="0.25">
      <c r="G4792" s="21"/>
    </row>
    <row r="4793" spans="7:7" x14ac:dyDescent="0.25">
      <c r="G4793" s="21"/>
    </row>
    <row r="4794" spans="7:7" x14ac:dyDescent="0.25">
      <c r="G4794" s="21"/>
    </row>
    <row r="4795" spans="7:7" x14ac:dyDescent="0.25">
      <c r="G4795" s="21"/>
    </row>
    <row r="4796" spans="7:7" x14ac:dyDescent="0.25">
      <c r="G4796" s="21"/>
    </row>
    <row r="4797" spans="7:7" x14ac:dyDescent="0.25">
      <c r="G4797" s="21"/>
    </row>
    <row r="4798" spans="7:7" x14ac:dyDescent="0.25">
      <c r="G4798" s="21"/>
    </row>
    <row r="4799" spans="7:7" x14ac:dyDescent="0.25">
      <c r="G4799" s="21"/>
    </row>
    <row r="4800" spans="7:7" x14ac:dyDescent="0.25">
      <c r="G4800" s="21"/>
    </row>
    <row r="4801" spans="7:7" x14ac:dyDescent="0.25">
      <c r="G4801" s="21"/>
    </row>
    <row r="4802" spans="7:7" x14ac:dyDescent="0.25">
      <c r="G4802" s="21"/>
    </row>
    <row r="4803" spans="7:7" x14ac:dyDescent="0.25">
      <c r="G4803" s="21"/>
    </row>
    <row r="4804" spans="7:7" x14ac:dyDescent="0.25">
      <c r="G4804" s="21"/>
    </row>
    <row r="4805" spans="7:7" x14ac:dyDescent="0.25">
      <c r="G4805" s="21"/>
    </row>
    <row r="4806" spans="7:7" x14ac:dyDescent="0.25">
      <c r="G4806" s="21"/>
    </row>
    <row r="4807" spans="7:7" x14ac:dyDescent="0.25">
      <c r="G4807" s="21"/>
    </row>
    <row r="4808" spans="7:7" x14ac:dyDescent="0.25">
      <c r="G4808" s="21"/>
    </row>
    <row r="4809" spans="7:7" x14ac:dyDescent="0.25">
      <c r="G4809" s="21"/>
    </row>
    <row r="4810" spans="7:7" x14ac:dyDescent="0.25">
      <c r="G4810" s="21"/>
    </row>
    <row r="4811" spans="7:7" x14ac:dyDescent="0.25">
      <c r="G4811" s="21"/>
    </row>
    <row r="4812" spans="7:7" x14ac:dyDescent="0.25">
      <c r="G4812" s="21"/>
    </row>
    <row r="4813" spans="7:7" x14ac:dyDescent="0.25">
      <c r="G4813" s="21"/>
    </row>
    <row r="4814" spans="7:7" x14ac:dyDescent="0.25">
      <c r="G4814" s="21"/>
    </row>
    <row r="4815" spans="7:7" x14ac:dyDescent="0.25">
      <c r="G4815" s="21"/>
    </row>
    <row r="4816" spans="7:7" x14ac:dyDescent="0.25">
      <c r="G4816" s="21"/>
    </row>
    <row r="4817" spans="7:7" x14ac:dyDescent="0.25">
      <c r="G4817" s="21"/>
    </row>
    <row r="4818" spans="7:7" x14ac:dyDescent="0.25">
      <c r="G4818" s="21"/>
    </row>
    <row r="4819" spans="7:7" x14ac:dyDescent="0.25">
      <c r="G4819" s="21"/>
    </row>
    <row r="4820" spans="7:7" x14ac:dyDescent="0.25">
      <c r="G4820" s="21"/>
    </row>
    <row r="4821" spans="7:7" x14ac:dyDescent="0.25">
      <c r="G4821" s="21"/>
    </row>
    <row r="4822" spans="7:7" x14ac:dyDescent="0.25">
      <c r="G4822" s="21"/>
    </row>
    <row r="4823" spans="7:7" x14ac:dyDescent="0.25">
      <c r="G4823" s="21"/>
    </row>
    <row r="4824" spans="7:7" x14ac:dyDescent="0.25">
      <c r="G4824" s="21"/>
    </row>
    <row r="4825" spans="7:7" x14ac:dyDescent="0.25">
      <c r="G4825" s="21"/>
    </row>
    <row r="4826" spans="7:7" x14ac:dyDescent="0.25">
      <c r="G4826" s="21"/>
    </row>
    <row r="4827" spans="7:7" x14ac:dyDescent="0.25">
      <c r="G4827" s="21"/>
    </row>
    <row r="4828" spans="7:7" x14ac:dyDescent="0.25">
      <c r="G4828" s="21"/>
    </row>
    <row r="4829" spans="7:7" x14ac:dyDescent="0.25">
      <c r="G4829" s="21"/>
    </row>
    <row r="4830" spans="7:7" x14ac:dyDescent="0.25">
      <c r="G4830" s="21"/>
    </row>
    <row r="4831" spans="7:7" x14ac:dyDescent="0.25">
      <c r="G4831" s="21"/>
    </row>
    <row r="4832" spans="7:7" x14ac:dyDescent="0.25">
      <c r="G4832" s="21"/>
    </row>
    <row r="4833" spans="7:7" x14ac:dyDescent="0.25">
      <c r="G4833" s="21"/>
    </row>
    <row r="4834" spans="7:7" x14ac:dyDescent="0.25">
      <c r="G4834" s="21"/>
    </row>
    <row r="4835" spans="7:7" x14ac:dyDescent="0.25">
      <c r="G4835" s="21"/>
    </row>
    <row r="4836" spans="7:7" x14ac:dyDescent="0.25">
      <c r="G4836" s="21"/>
    </row>
    <row r="4837" spans="7:7" x14ac:dyDescent="0.25">
      <c r="G4837" s="21"/>
    </row>
    <row r="4838" spans="7:7" x14ac:dyDescent="0.25">
      <c r="G4838" s="21"/>
    </row>
    <row r="4839" spans="7:7" x14ac:dyDescent="0.25">
      <c r="G4839" s="21"/>
    </row>
    <row r="4840" spans="7:7" x14ac:dyDescent="0.25">
      <c r="G4840" s="21"/>
    </row>
    <row r="4841" spans="7:7" x14ac:dyDescent="0.25">
      <c r="G4841" s="21"/>
    </row>
    <row r="4842" spans="7:7" x14ac:dyDescent="0.25">
      <c r="G4842" s="21"/>
    </row>
    <row r="4843" spans="7:7" x14ac:dyDescent="0.25">
      <c r="G4843" s="21"/>
    </row>
    <row r="4844" spans="7:7" x14ac:dyDescent="0.25">
      <c r="G4844" s="21"/>
    </row>
    <row r="4845" spans="7:7" x14ac:dyDescent="0.25">
      <c r="G4845" s="21"/>
    </row>
    <row r="4846" spans="7:7" x14ac:dyDescent="0.25">
      <c r="G4846" s="21"/>
    </row>
    <row r="4847" spans="7:7" x14ac:dyDescent="0.25">
      <c r="G4847" s="21"/>
    </row>
    <row r="4848" spans="7:7" x14ac:dyDescent="0.25">
      <c r="G4848" s="21"/>
    </row>
    <row r="4849" spans="7:7" x14ac:dyDescent="0.25">
      <c r="G4849" s="21"/>
    </row>
    <row r="4850" spans="7:7" x14ac:dyDescent="0.25">
      <c r="G4850" s="21"/>
    </row>
    <row r="4851" spans="7:7" x14ac:dyDescent="0.25">
      <c r="G4851" s="21"/>
    </row>
    <row r="4852" spans="7:7" x14ac:dyDescent="0.25">
      <c r="G4852" s="21"/>
    </row>
    <row r="4853" spans="7:7" x14ac:dyDescent="0.25">
      <c r="G4853" s="21"/>
    </row>
    <row r="4854" spans="7:7" x14ac:dyDescent="0.25">
      <c r="G4854" s="21"/>
    </row>
    <row r="4855" spans="7:7" x14ac:dyDescent="0.25">
      <c r="G4855" s="21"/>
    </row>
    <row r="4856" spans="7:7" x14ac:dyDescent="0.25">
      <c r="G4856" s="21"/>
    </row>
    <row r="4857" spans="7:7" x14ac:dyDescent="0.25">
      <c r="G4857" s="21"/>
    </row>
    <row r="4858" spans="7:7" x14ac:dyDescent="0.25">
      <c r="G4858" s="21"/>
    </row>
    <row r="4859" spans="7:7" x14ac:dyDescent="0.25">
      <c r="G4859" s="21"/>
    </row>
    <row r="4860" spans="7:7" x14ac:dyDescent="0.25">
      <c r="G4860" s="21"/>
    </row>
    <row r="4861" spans="7:7" x14ac:dyDescent="0.25">
      <c r="G4861" s="21"/>
    </row>
    <row r="4862" spans="7:7" x14ac:dyDescent="0.25">
      <c r="G4862" s="21"/>
    </row>
    <row r="4863" spans="7:7" x14ac:dyDescent="0.25">
      <c r="G4863" s="21"/>
    </row>
    <row r="4864" spans="7:7" x14ac:dyDescent="0.25">
      <c r="G4864" s="21"/>
    </row>
    <row r="4865" spans="7:7" x14ac:dyDescent="0.25">
      <c r="G4865" s="21"/>
    </row>
    <row r="4866" spans="7:7" x14ac:dyDescent="0.25">
      <c r="G4866" s="21"/>
    </row>
    <row r="4867" spans="7:7" x14ac:dyDescent="0.25">
      <c r="G4867" s="21"/>
    </row>
    <row r="4868" spans="7:7" x14ac:dyDescent="0.25">
      <c r="G4868" s="21"/>
    </row>
    <row r="4869" spans="7:7" x14ac:dyDescent="0.25">
      <c r="G4869" s="21"/>
    </row>
    <row r="4870" spans="7:7" x14ac:dyDescent="0.25">
      <c r="G4870" s="21"/>
    </row>
    <row r="4871" spans="7:7" x14ac:dyDescent="0.25">
      <c r="G4871" s="21"/>
    </row>
    <row r="4872" spans="7:7" x14ac:dyDescent="0.25">
      <c r="G4872" s="21"/>
    </row>
    <row r="4873" spans="7:7" x14ac:dyDescent="0.25">
      <c r="G4873" s="21"/>
    </row>
    <row r="4874" spans="7:7" x14ac:dyDescent="0.25">
      <c r="G4874" s="21"/>
    </row>
    <row r="4875" spans="7:7" x14ac:dyDescent="0.25">
      <c r="G4875" s="21"/>
    </row>
    <row r="4876" spans="7:7" x14ac:dyDescent="0.25">
      <c r="G4876" s="21"/>
    </row>
    <row r="4877" spans="7:7" x14ac:dyDescent="0.25">
      <c r="G4877" s="21"/>
    </row>
    <row r="4878" spans="7:7" x14ac:dyDescent="0.25">
      <c r="G4878" s="21"/>
    </row>
    <row r="4879" spans="7:7" x14ac:dyDescent="0.25">
      <c r="G4879" s="21"/>
    </row>
    <row r="4880" spans="7:7" x14ac:dyDescent="0.25">
      <c r="G4880" s="21"/>
    </row>
    <row r="4881" spans="7:7" x14ac:dyDescent="0.25">
      <c r="G4881" s="21"/>
    </row>
    <row r="4882" spans="7:7" x14ac:dyDescent="0.25">
      <c r="G4882" s="21"/>
    </row>
    <row r="4883" spans="7:7" x14ac:dyDescent="0.25">
      <c r="G4883" s="21"/>
    </row>
    <row r="4884" spans="7:7" x14ac:dyDescent="0.25">
      <c r="G4884" s="21"/>
    </row>
    <row r="4885" spans="7:7" x14ac:dyDescent="0.25">
      <c r="G4885" s="21"/>
    </row>
    <row r="4886" spans="7:7" x14ac:dyDescent="0.25">
      <c r="G4886" s="21"/>
    </row>
    <row r="4887" spans="7:7" x14ac:dyDescent="0.25">
      <c r="G4887" s="21"/>
    </row>
    <row r="4888" spans="7:7" x14ac:dyDescent="0.25">
      <c r="G4888" s="21"/>
    </row>
    <row r="4889" spans="7:7" x14ac:dyDescent="0.25">
      <c r="G4889" s="21"/>
    </row>
    <row r="4890" spans="7:7" x14ac:dyDescent="0.25">
      <c r="G4890" s="21"/>
    </row>
    <row r="4891" spans="7:7" x14ac:dyDescent="0.25">
      <c r="G4891" s="21"/>
    </row>
    <row r="4892" spans="7:7" x14ac:dyDescent="0.25">
      <c r="G4892" s="21"/>
    </row>
    <row r="4893" spans="7:7" x14ac:dyDescent="0.25">
      <c r="G4893" s="21"/>
    </row>
    <row r="4894" spans="7:7" x14ac:dyDescent="0.25">
      <c r="G4894" s="21"/>
    </row>
    <row r="4895" spans="7:7" x14ac:dyDescent="0.25">
      <c r="G4895" s="21"/>
    </row>
    <row r="4896" spans="7:7" x14ac:dyDescent="0.25">
      <c r="G4896" s="21"/>
    </row>
    <row r="4897" spans="7:7" x14ac:dyDescent="0.25">
      <c r="G4897" s="21"/>
    </row>
    <row r="4898" spans="7:7" x14ac:dyDescent="0.25">
      <c r="G4898" s="21"/>
    </row>
    <row r="4899" spans="7:7" x14ac:dyDescent="0.25">
      <c r="G4899" s="21"/>
    </row>
    <row r="4900" spans="7:7" x14ac:dyDescent="0.25">
      <c r="G4900" s="21"/>
    </row>
    <row r="4901" spans="7:7" x14ac:dyDescent="0.25">
      <c r="G4901" s="21"/>
    </row>
    <row r="4902" spans="7:7" x14ac:dyDescent="0.25">
      <c r="G4902" s="21"/>
    </row>
    <row r="4903" spans="7:7" x14ac:dyDescent="0.25">
      <c r="G4903" s="21"/>
    </row>
    <row r="4904" spans="7:7" x14ac:dyDescent="0.25">
      <c r="G4904" s="21"/>
    </row>
    <row r="4905" spans="7:7" x14ac:dyDescent="0.25">
      <c r="G4905" s="21"/>
    </row>
    <row r="4906" spans="7:7" x14ac:dyDescent="0.25">
      <c r="G4906" s="21"/>
    </row>
    <row r="4907" spans="7:7" x14ac:dyDescent="0.25">
      <c r="G4907" s="21"/>
    </row>
    <row r="4908" spans="7:7" x14ac:dyDescent="0.25">
      <c r="G4908" s="21"/>
    </row>
    <row r="4909" spans="7:7" x14ac:dyDescent="0.25">
      <c r="G4909" s="21"/>
    </row>
    <row r="4910" spans="7:7" x14ac:dyDescent="0.25">
      <c r="G4910" s="21"/>
    </row>
    <row r="4911" spans="7:7" x14ac:dyDescent="0.25">
      <c r="G4911" s="21"/>
    </row>
    <row r="4912" spans="7:7" x14ac:dyDescent="0.25">
      <c r="G4912" s="21"/>
    </row>
    <row r="4913" spans="7:7" x14ac:dyDescent="0.25">
      <c r="G4913" s="21"/>
    </row>
    <row r="4914" spans="7:7" x14ac:dyDescent="0.25">
      <c r="G4914" s="21"/>
    </row>
    <row r="4915" spans="7:7" x14ac:dyDescent="0.25">
      <c r="G4915" s="21"/>
    </row>
    <row r="4916" spans="7:7" x14ac:dyDescent="0.25">
      <c r="G4916" s="21"/>
    </row>
    <row r="4917" spans="7:7" x14ac:dyDescent="0.25">
      <c r="G4917" s="21"/>
    </row>
    <row r="4918" spans="7:7" x14ac:dyDescent="0.25">
      <c r="G4918" s="21"/>
    </row>
    <row r="4919" spans="7:7" x14ac:dyDescent="0.25">
      <c r="G4919" s="21"/>
    </row>
    <row r="4920" spans="7:7" x14ac:dyDescent="0.25">
      <c r="G4920" s="21"/>
    </row>
    <row r="4921" spans="7:7" x14ac:dyDescent="0.25">
      <c r="G4921" s="21"/>
    </row>
    <row r="4922" spans="7:7" x14ac:dyDescent="0.25">
      <c r="G4922" s="21"/>
    </row>
    <row r="4923" spans="7:7" x14ac:dyDescent="0.25">
      <c r="G4923" s="21"/>
    </row>
    <row r="4924" spans="7:7" x14ac:dyDescent="0.25">
      <c r="G4924" s="21"/>
    </row>
    <row r="4925" spans="7:7" x14ac:dyDescent="0.25">
      <c r="G4925" s="21"/>
    </row>
    <row r="4926" spans="7:7" x14ac:dyDescent="0.25">
      <c r="G4926" s="21"/>
    </row>
    <row r="4927" spans="7:7" x14ac:dyDescent="0.25">
      <c r="G4927" s="21"/>
    </row>
    <row r="4928" spans="7:7" x14ac:dyDescent="0.25">
      <c r="G4928" s="21"/>
    </row>
    <row r="4929" spans="7:7" x14ac:dyDescent="0.25">
      <c r="G4929" s="21"/>
    </row>
    <row r="4930" spans="7:7" x14ac:dyDescent="0.25">
      <c r="G4930" s="21"/>
    </row>
    <row r="4931" spans="7:7" x14ac:dyDescent="0.25">
      <c r="G4931" s="21"/>
    </row>
    <row r="4932" spans="7:7" x14ac:dyDescent="0.25">
      <c r="G4932" s="21"/>
    </row>
    <row r="4933" spans="7:7" x14ac:dyDescent="0.25">
      <c r="G4933" s="21"/>
    </row>
    <row r="4934" spans="7:7" x14ac:dyDescent="0.25">
      <c r="G4934" s="21"/>
    </row>
    <row r="4935" spans="7:7" x14ac:dyDescent="0.25">
      <c r="G4935" s="21"/>
    </row>
    <row r="4936" spans="7:7" x14ac:dyDescent="0.25">
      <c r="G4936" s="21"/>
    </row>
    <row r="4937" spans="7:7" x14ac:dyDescent="0.25">
      <c r="G4937" s="21"/>
    </row>
    <row r="4938" spans="7:7" x14ac:dyDescent="0.25">
      <c r="G4938" s="21"/>
    </row>
    <row r="4939" spans="7:7" x14ac:dyDescent="0.25">
      <c r="G4939" s="21"/>
    </row>
    <row r="4940" spans="7:7" x14ac:dyDescent="0.25">
      <c r="G4940" s="21"/>
    </row>
    <row r="4941" spans="7:7" x14ac:dyDescent="0.25">
      <c r="G4941" s="21"/>
    </row>
    <row r="4942" spans="7:7" x14ac:dyDescent="0.25">
      <c r="G4942" s="21"/>
    </row>
    <row r="4943" spans="7:7" x14ac:dyDescent="0.25">
      <c r="G4943" s="21"/>
    </row>
    <row r="4944" spans="7:7" x14ac:dyDescent="0.25">
      <c r="G4944" s="21"/>
    </row>
    <row r="4945" spans="7:7" x14ac:dyDescent="0.25">
      <c r="G4945" s="21"/>
    </row>
    <row r="4946" spans="7:7" x14ac:dyDescent="0.25">
      <c r="G4946" s="21"/>
    </row>
    <row r="4947" spans="7:7" x14ac:dyDescent="0.25">
      <c r="G4947" s="21"/>
    </row>
    <row r="4948" spans="7:7" x14ac:dyDescent="0.25">
      <c r="G4948" s="21"/>
    </row>
    <row r="4949" spans="7:7" x14ac:dyDescent="0.25">
      <c r="G4949" s="21"/>
    </row>
    <row r="4950" spans="7:7" x14ac:dyDescent="0.25">
      <c r="G4950" s="21"/>
    </row>
    <row r="4951" spans="7:7" x14ac:dyDescent="0.25">
      <c r="G4951" s="21"/>
    </row>
    <row r="4952" spans="7:7" x14ac:dyDescent="0.25">
      <c r="G4952" s="21"/>
    </row>
    <row r="4953" spans="7:7" x14ac:dyDescent="0.25">
      <c r="G4953" s="21"/>
    </row>
    <row r="4954" spans="7:7" x14ac:dyDescent="0.25">
      <c r="G4954" s="21"/>
    </row>
    <row r="4955" spans="7:7" x14ac:dyDescent="0.25">
      <c r="G4955" s="21"/>
    </row>
    <row r="4956" spans="7:7" x14ac:dyDescent="0.25">
      <c r="G4956" s="21"/>
    </row>
    <row r="4957" spans="7:7" x14ac:dyDescent="0.25">
      <c r="G4957" s="21"/>
    </row>
    <row r="4958" spans="7:7" x14ac:dyDescent="0.25">
      <c r="G4958" s="21"/>
    </row>
    <row r="4959" spans="7:7" x14ac:dyDescent="0.25">
      <c r="G4959" s="21"/>
    </row>
    <row r="4960" spans="7:7" x14ac:dyDescent="0.25">
      <c r="G4960" s="21"/>
    </row>
    <row r="4961" spans="7:7" x14ac:dyDescent="0.25">
      <c r="G4961" s="21"/>
    </row>
    <row r="4962" spans="7:7" x14ac:dyDescent="0.25">
      <c r="G4962" s="21"/>
    </row>
    <row r="4963" spans="7:7" x14ac:dyDescent="0.25">
      <c r="G4963" s="21"/>
    </row>
    <row r="4964" spans="7:7" x14ac:dyDescent="0.25">
      <c r="G4964" s="21"/>
    </row>
    <row r="4965" spans="7:7" x14ac:dyDescent="0.25">
      <c r="G4965" s="21"/>
    </row>
    <row r="4966" spans="7:7" x14ac:dyDescent="0.25">
      <c r="G4966" s="21"/>
    </row>
    <row r="4967" spans="7:7" x14ac:dyDescent="0.25">
      <c r="G4967" s="21"/>
    </row>
    <row r="4968" spans="7:7" x14ac:dyDescent="0.25">
      <c r="G4968" s="21"/>
    </row>
    <row r="4969" spans="7:7" x14ac:dyDescent="0.25">
      <c r="G4969" s="21"/>
    </row>
    <row r="4970" spans="7:7" x14ac:dyDescent="0.25">
      <c r="G4970" s="21"/>
    </row>
    <row r="4971" spans="7:7" x14ac:dyDescent="0.25">
      <c r="G4971" s="21"/>
    </row>
    <row r="4972" spans="7:7" x14ac:dyDescent="0.25">
      <c r="G4972" s="21"/>
    </row>
    <row r="4973" spans="7:7" x14ac:dyDescent="0.25">
      <c r="G4973" s="21"/>
    </row>
    <row r="4974" spans="7:7" x14ac:dyDescent="0.25">
      <c r="G4974" s="21"/>
    </row>
    <row r="4975" spans="7:7" x14ac:dyDescent="0.25">
      <c r="G4975" s="21"/>
    </row>
    <row r="4976" spans="7:7" x14ac:dyDescent="0.25">
      <c r="G4976" s="21"/>
    </row>
    <row r="4977" spans="7:7" x14ac:dyDescent="0.25">
      <c r="G4977" s="21"/>
    </row>
    <row r="4978" spans="7:7" x14ac:dyDescent="0.25">
      <c r="G4978" s="21"/>
    </row>
    <row r="4979" spans="7:7" x14ac:dyDescent="0.25">
      <c r="G4979" s="21"/>
    </row>
    <row r="4980" spans="7:7" x14ac:dyDescent="0.25">
      <c r="G4980" s="21"/>
    </row>
    <row r="4981" spans="7:7" x14ac:dyDescent="0.25">
      <c r="G4981" s="21"/>
    </row>
    <row r="4982" spans="7:7" x14ac:dyDescent="0.25">
      <c r="G4982" s="21"/>
    </row>
    <row r="4983" spans="7:7" x14ac:dyDescent="0.25">
      <c r="G4983" s="21"/>
    </row>
    <row r="4984" spans="7:7" x14ac:dyDescent="0.25">
      <c r="G4984" s="21"/>
    </row>
    <row r="4985" spans="7:7" x14ac:dyDescent="0.25">
      <c r="G4985" s="21"/>
    </row>
    <row r="4986" spans="7:7" x14ac:dyDescent="0.25">
      <c r="G4986" s="21"/>
    </row>
    <row r="4987" spans="7:7" x14ac:dyDescent="0.25">
      <c r="G4987" s="21"/>
    </row>
    <row r="4988" spans="7:7" x14ac:dyDescent="0.25">
      <c r="G4988" s="21"/>
    </row>
    <row r="4989" spans="7:7" x14ac:dyDescent="0.25">
      <c r="G4989" s="21"/>
    </row>
    <row r="4990" spans="7:7" x14ac:dyDescent="0.25">
      <c r="G4990" s="21"/>
    </row>
    <row r="4991" spans="7:7" x14ac:dyDescent="0.25">
      <c r="G4991" s="21"/>
    </row>
    <row r="4992" spans="7:7" x14ac:dyDescent="0.25">
      <c r="G4992" s="21"/>
    </row>
    <row r="4993" spans="7:7" x14ac:dyDescent="0.25">
      <c r="G4993" s="21"/>
    </row>
    <row r="4994" spans="7:7" x14ac:dyDescent="0.25">
      <c r="G4994" s="21"/>
    </row>
    <row r="4995" spans="7:7" x14ac:dyDescent="0.25">
      <c r="G4995" s="21"/>
    </row>
    <row r="4996" spans="7:7" x14ac:dyDescent="0.25">
      <c r="G4996" s="21"/>
    </row>
    <row r="4997" spans="7:7" x14ac:dyDescent="0.25">
      <c r="G4997" s="21"/>
    </row>
    <row r="4998" spans="7:7" x14ac:dyDescent="0.25">
      <c r="G4998" s="21"/>
    </row>
    <row r="4999" spans="7:7" x14ac:dyDescent="0.25">
      <c r="G4999" s="21"/>
    </row>
    <row r="5000" spans="7:7" x14ac:dyDescent="0.25">
      <c r="G5000" s="21"/>
    </row>
    <row r="5001" spans="7:7" x14ac:dyDescent="0.25">
      <c r="G5001" s="21"/>
    </row>
    <row r="5002" spans="7:7" x14ac:dyDescent="0.25">
      <c r="G5002" s="21"/>
    </row>
    <row r="5003" spans="7:7" x14ac:dyDescent="0.25">
      <c r="G5003" s="21"/>
    </row>
    <row r="5004" spans="7:7" x14ac:dyDescent="0.25">
      <c r="G5004" s="21"/>
    </row>
    <row r="5005" spans="7:7" x14ac:dyDescent="0.25">
      <c r="G5005" s="21"/>
    </row>
    <row r="5006" spans="7:7" x14ac:dyDescent="0.25">
      <c r="G5006" s="21"/>
    </row>
    <row r="5007" spans="7:7" x14ac:dyDescent="0.25">
      <c r="G5007" s="21"/>
    </row>
    <row r="5008" spans="7:7" x14ac:dyDescent="0.25">
      <c r="G5008" s="21"/>
    </row>
    <row r="5009" spans="7:7" x14ac:dyDescent="0.25">
      <c r="G5009" s="21"/>
    </row>
    <row r="5010" spans="7:7" x14ac:dyDescent="0.25">
      <c r="G5010" s="21"/>
    </row>
    <row r="5011" spans="7:7" x14ac:dyDescent="0.25">
      <c r="G5011" s="21"/>
    </row>
    <row r="5012" spans="7:7" x14ac:dyDescent="0.25">
      <c r="G5012" s="21"/>
    </row>
    <row r="5013" spans="7:7" x14ac:dyDescent="0.25">
      <c r="G5013" s="21"/>
    </row>
    <row r="5014" spans="7:7" x14ac:dyDescent="0.25">
      <c r="G5014" s="21"/>
    </row>
    <row r="5015" spans="7:7" x14ac:dyDescent="0.25">
      <c r="G5015" s="21"/>
    </row>
    <row r="5016" spans="7:7" x14ac:dyDescent="0.25">
      <c r="G5016" s="21"/>
    </row>
    <row r="5017" spans="7:7" x14ac:dyDescent="0.25">
      <c r="G5017" s="21"/>
    </row>
    <row r="5018" spans="7:7" x14ac:dyDescent="0.25">
      <c r="G5018" s="21"/>
    </row>
    <row r="5019" spans="7:7" x14ac:dyDescent="0.25">
      <c r="G5019" s="21"/>
    </row>
    <row r="5020" spans="7:7" x14ac:dyDescent="0.25">
      <c r="G5020" s="21"/>
    </row>
    <row r="5021" spans="7:7" x14ac:dyDescent="0.25">
      <c r="G5021" s="21"/>
    </row>
    <row r="5022" spans="7:7" x14ac:dyDescent="0.25">
      <c r="G5022" s="21"/>
    </row>
    <row r="5023" spans="7:7" x14ac:dyDescent="0.25">
      <c r="G5023" s="21"/>
    </row>
    <row r="5024" spans="7:7" x14ac:dyDescent="0.25">
      <c r="G5024" s="21"/>
    </row>
    <row r="5025" spans="7:7" x14ac:dyDescent="0.25">
      <c r="G5025" s="21"/>
    </row>
    <row r="5026" spans="7:7" x14ac:dyDescent="0.25">
      <c r="G5026" s="21"/>
    </row>
    <row r="5027" spans="7:7" x14ac:dyDescent="0.25">
      <c r="G5027" s="21"/>
    </row>
    <row r="5028" spans="7:7" x14ac:dyDescent="0.25">
      <c r="G5028" s="21"/>
    </row>
    <row r="5029" spans="7:7" x14ac:dyDescent="0.25">
      <c r="G5029" s="21"/>
    </row>
    <row r="5030" spans="7:7" x14ac:dyDescent="0.25">
      <c r="G5030" s="21"/>
    </row>
    <row r="5031" spans="7:7" x14ac:dyDescent="0.25">
      <c r="G5031" s="21"/>
    </row>
    <row r="5032" spans="7:7" x14ac:dyDescent="0.25">
      <c r="G5032" s="21"/>
    </row>
    <row r="5033" spans="7:7" x14ac:dyDescent="0.25">
      <c r="G5033" s="21"/>
    </row>
    <row r="5034" spans="7:7" x14ac:dyDescent="0.25">
      <c r="G5034" s="21"/>
    </row>
    <row r="5035" spans="7:7" x14ac:dyDescent="0.25">
      <c r="G5035" s="21"/>
    </row>
    <row r="5036" spans="7:7" x14ac:dyDescent="0.25">
      <c r="G5036" s="21"/>
    </row>
    <row r="5037" spans="7:7" x14ac:dyDescent="0.25">
      <c r="G5037" s="21"/>
    </row>
    <row r="5038" spans="7:7" x14ac:dyDescent="0.25">
      <c r="G5038" s="21"/>
    </row>
    <row r="5039" spans="7:7" x14ac:dyDescent="0.25">
      <c r="G5039" s="21"/>
    </row>
    <row r="5040" spans="7:7" x14ac:dyDescent="0.25">
      <c r="G5040" s="21"/>
    </row>
    <row r="5041" spans="7:7" x14ac:dyDescent="0.25">
      <c r="G5041" s="21"/>
    </row>
    <row r="5042" spans="7:7" x14ac:dyDescent="0.25">
      <c r="G5042" s="21"/>
    </row>
    <row r="5043" spans="7:7" x14ac:dyDescent="0.25">
      <c r="G5043" s="21"/>
    </row>
    <row r="5044" spans="7:7" x14ac:dyDescent="0.25">
      <c r="G5044" s="21"/>
    </row>
    <row r="5045" spans="7:7" x14ac:dyDescent="0.25">
      <c r="G5045" s="21"/>
    </row>
    <row r="5046" spans="7:7" x14ac:dyDescent="0.25">
      <c r="G5046" s="21"/>
    </row>
    <row r="5047" spans="7:7" x14ac:dyDescent="0.25">
      <c r="G5047" s="21"/>
    </row>
    <row r="5048" spans="7:7" x14ac:dyDescent="0.25">
      <c r="G5048" s="21"/>
    </row>
    <row r="5049" spans="7:7" x14ac:dyDescent="0.25">
      <c r="G5049" s="21"/>
    </row>
    <row r="5050" spans="7:7" x14ac:dyDescent="0.25">
      <c r="G5050" s="21"/>
    </row>
    <row r="5051" spans="7:7" x14ac:dyDescent="0.25">
      <c r="G5051" s="21"/>
    </row>
    <row r="5052" spans="7:7" x14ac:dyDescent="0.25">
      <c r="G5052" s="21"/>
    </row>
    <row r="5053" spans="7:7" x14ac:dyDescent="0.25">
      <c r="G5053" s="21"/>
    </row>
    <row r="5054" spans="7:7" x14ac:dyDescent="0.25">
      <c r="G5054" s="21"/>
    </row>
    <row r="5055" spans="7:7" x14ac:dyDescent="0.25">
      <c r="G5055" s="21"/>
    </row>
    <row r="5056" spans="7:7" x14ac:dyDescent="0.25">
      <c r="G5056" s="21"/>
    </row>
    <row r="5057" spans="7:7" x14ac:dyDescent="0.25">
      <c r="G5057" s="21"/>
    </row>
    <row r="5058" spans="7:7" x14ac:dyDescent="0.25">
      <c r="G5058" s="21"/>
    </row>
    <row r="5059" spans="7:7" x14ac:dyDescent="0.25">
      <c r="G5059" s="21"/>
    </row>
    <row r="5060" spans="7:7" x14ac:dyDescent="0.25">
      <c r="G5060" s="21"/>
    </row>
    <row r="5061" spans="7:7" x14ac:dyDescent="0.25">
      <c r="G5061" s="21"/>
    </row>
    <row r="5062" spans="7:7" x14ac:dyDescent="0.25">
      <c r="G5062" s="21"/>
    </row>
    <row r="5063" spans="7:7" x14ac:dyDescent="0.25">
      <c r="G5063" s="21"/>
    </row>
    <row r="5064" spans="7:7" x14ac:dyDescent="0.25">
      <c r="G5064" s="21"/>
    </row>
    <row r="5065" spans="7:7" x14ac:dyDescent="0.25">
      <c r="G5065" s="21"/>
    </row>
    <row r="5066" spans="7:7" x14ac:dyDescent="0.25">
      <c r="G5066" s="21"/>
    </row>
    <row r="5067" spans="7:7" x14ac:dyDescent="0.25">
      <c r="G5067" s="21"/>
    </row>
    <row r="5068" spans="7:7" x14ac:dyDescent="0.25">
      <c r="G5068" s="21"/>
    </row>
    <row r="5069" spans="7:7" x14ac:dyDescent="0.25">
      <c r="G5069" s="21"/>
    </row>
    <row r="5070" spans="7:7" x14ac:dyDescent="0.25">
      <c r="G5070" s="21"/>
    </row>
    <row r="5071" spans="7:7" x14ac:dyDescent="0.25">
      <c r="G5071" s="21"/>
    </row>
    <row r="5072" spans="7:7" x14ac:dyDescent="0.25">
      <c r="G5072" s="21"/>
    </row>
    <row r="5073" spans="7:7" x14ac:dyDescent="0.25">
      <c r="G5073" s="21"/>
    </row>
    <row r="5074" spans="7:7" x14ac:dyDescent="0.25">
      <c r="G5074" s="21"/>
    </row>
    <row r="5075" spans="7:7" x14ac:dyDescent="0.25">
      <c r="G5075" s="21"/>
    </row>
    <row r="5076" spans="7:7" x14ac:dyDescent="0.25">
      <c r="G5076" s="21"/>
    </row>
    <row r="5077" spans="7:7" x14ac:dyDescent="0.25">
      <c r="G5077" s="21"/>
    </row>
    <row r="5078" spans="7:7" x14ac:dyDescent="0.25">
      <c r="G5078" s="21"/>
    </row>
    <row r="5079" spans="7:7" x14ac:dyDescent="0.25">
      <c r="G5079" s="21"/>
    </row>
    <row r="5080" spans="7:7" x14ac:dyDescent="0.25">
      <c r="G5080" s="21"/>
    </row>
    <row r="5081" spans="7:7" x14ac:dyDescent="0.25">
      <c r="G5081" s="21"/>
    </row>
    <row r="5082" spans="7:7" x14ac:dyDescent="0.25">
      <c r="G5082" s="21"/>
    </row>
    <row r="5083" spans="7:7" x14ac:dyDescent="0.25">
      <c r="G5083" s="21"/>
    </row>
    <row r="5084" spans="7:7" x14ac:dyDescent="0.25">
      <c r="G5084" s="21"/>
    </row>
    <row r="5085" spans="7:7" x14ac:dyDescent="0.25">
      <c r="G5085" s="21"/>
    </row>
    <row r="5086" spans="7:7" x14ac:dyDescent="0.25">
      <c r="G5086" s="21"/>
    </row>
    <row r="5087" spans="7:7" x14ac:dyDescent="0.25">
      <c r="G5087" s="21"/>
    </row>
    <row r="5088" spans="7:7" x14ac:dyDescent="0.25">
      <c r="G5088" s="21"/>
    </row>
    <row r="5089" spans="7:7" x14ac:dyDescent="0.25">
      <c r="G5089" s="21"/>
    </row>
    <row r="5090" spans="7:7" x14ac:dyDescent="0.25">
      <c r="G5090" s="21"/>
    </row>
    <row r="5091" spans="7:7" x14ac:dyDescent="0.25">
      <c r="G5091" s="21"/>
    </row>
    <row r="5092" spans="7:7" x14ac:dyDescent="0.25">
      <c r="G5092" s="21"/>
    </row>
    <row r="5093" spans="7:7" x14ac:dyDescent="0.25">
      <c r="G5093" s="21"/>
    </row>
    <row r="5094" spans="7:7" x14ac:dyDescent="0.25">
      <c r="G5094" s="21"/>
    </row>
    <row r="5095" spans="7:7" x14ac:dyDescent="0.25">
      <c r="G5095" s="21"/>
    </row>
    <row r="5096" spans="7:7" x14ac:dyDescent="0.25">
      <c r="G5096" s="21"/>
    </row>
    <row r="5097" spans="7:7" x14ac:dyDescent="0.25">
      <c r="G5097" s="21"/>
    </row>
    <row r="5098" spans="7:7" x14ac:dyDescent="0.25">
      <c r="G5098" s="21"/>
    </row>
    <row r="5099" spans="7:7" x14ac:dyDescent="0.25">
      <c r="G5099" s="21"/>
    </row>
    <row r="5100" spans="7:7" x14ac:dyDescent="0.25">
      <c r="G5100" s="21"/>
    </row>
    <row r="5101" spans="7:7" x14ac:dyDescent="0.25">
      <c r="G5101" s="21"/>
    </row>
    <row r="5102" spans="7:7" x14ac:dyDescent="0.25">
      <c r="G5102" s="21"/>
    </row>
    <row r="5103" spans="7:7" x14ac:dyDescent="0.25">
      <c r="G5103" s="21"/>
    </row>
    <row r="5104" spans="7:7" x14ac:dyDescent="0.25">
      <c r="G5104" s="21"/>
    </row>
    <row r="5105" spans="7:7" x14ac:dyDescent="0.25">
      <c r="G5105" s="21"/>
    </row>
    <row r="5106" spans="7:7" x14ac:dyDescent="0.25">
      <c r="G5106" s="21"/>
    </row>
    <row r="5107" spans="7:7" x14ac:dyDescent="0.25">
      <c r="G5107" s="21"/>
    </row>
    <row r="5108" spans="7:7" x14ac:dyDescent="0.25">
      <c r="G5108" s="21"/>
    </row>
    <row r="5109" spans="7:7" x14ac:dyDescent="0.25">
      <c r="G5109" s="21"/>
    </row>
    <row r="5110" spans="7:7" x14ac:dyDescent="0.25">
      <c r="G5110" s="21"/>
    </row>
    <row r="5111" spans="7:7" x14ac:dyDescent="0.25">
      <c r="G5111" s="21"/>
    </row>
    <row r="5112" spans="7:7" x14ac:dyDescent="0.25">
      <c r="G5112" s="21"/>
    </row>
    <row r="5113" spans="7:7" x14ac:dyDescent="0.25">
      <c r="G5113" s="21"/>
    </row>
    <row r="5114" spans="7:7" x14ac:dyDescent="0.25">
      <c r="G5114" s="21"/>
    </row>
    <row r="5115" spans="7:7" x14ac:dyDescent="0.25">
      <c r="G5115" s="21"/>
    </row>
    <row r="5116" spans="7:7" x14ac:dyDescent="0.25">
      <c r="G5116" s="21"/>
    </row>
    <row r="5117" spans="7:7" x14ac:dyDescent="0.25">
      <c r="G5117" s="21"/>
    </row>
    <row r="5118" spans="7:7" x14ac:dyDescent="0.25">
      <c r="G5118" s="21"/>
    </row>
    <row r="5119" spans="7:7" x14ac:dyDescent="0.25">
      <c r="G5119" s="21"/>
    </row>
    <row r="5120" spans="7:7" x14ac:dyDescent="0.25">
      <c r="G5120" s="21"/>
    </row>
    <row r="5121" spans="7:7" x14ac:dyDescent="0.25">
      <c r="G5121" s="21"/>
    </row>
    <row r="5122" spans="7:7" x14ac:dyDescent="0.25">
      <c r="G5122" s="21"/>
    </row>
    <row r="5123" spans="7:7" x14ac:dyDescent="0.25">
      <c r="G5123" s="21"/>
    </row>
    <row r="5124" spans="7:7" x14ac:dyDescent="0.25">
      <c r="G5124" s="21"/>
    </row>
    <row r="5125" spans="7:7" x14ac:dyDescent="0.25">
      <c r="G5125" s="21"/>
    </row>
    <row r="5126" spans="7:7" x14ac:dyDescent="0.25">
      <c r="G5126" s="21"/>
    </row>
    <row r="5127" spans="7:7" x14ac:dyDescent="0.25">
      <c r="G5127" s="21"/>
    </row>
    <row r="5128" spans="7:7" x14ac:dyDescent="0.25">
      <c r="G5128" s="21"/>
    </row>
    <row r="5129" spans="7:7" x14ac:dyDescent="0.25">
      <c r="G5129" s="21"/>
    </row>
    <row r="5130" spans="7:7" x14ac:dyDescent="0.25">
      <c r="G5130" s="21"/>
    </row>
    <row r="5131" spans="7:7" x14ac:dyDescent="0.25">
      <c r="G5131" s="21"/>
    </row>
    <row r="5132" spans="7:7" x14ac:dyDescent="0.25">
      <c r="G5132" s="21"/>
    </row>
    <row r="5133" spans="7:7" x14ac:dyDescent="0.25">
      <c r="G5133" s="21"/>
    </row>
    <row r="5134" spans="7:7" x14ac:dyDescent="0.25">
      <c r="G5134" s="21"/>
    </row>
    <row r="5135" spans="7:7" x14ac:dyDescent="0.25">
      <c r="G5135" s="21"/>
    </row>
    <row r="5136" spans="7:7" x14ac:dyDescent="0.25">
      <c r="G5136" s="21"/>
    </row>
    <row r="5137" spans="7:7" x14ac:dyDescent="0.25">
      <c r="G5137" s="21"/>
    </row>
    <row r="5138" spans="7:7" x14ac:dyDescent="0.25">
      <c r="G5138" s="21"/>
    </row>
    <row r="5139" spans="7:7" x14ac:dyDescent="0.25">
      <c r="G5139" s="21"/>
    </row>
    <row r="5140" spans="7:7" x14ac:dyDescent="0.25">
      <c r="G5140" s="21"/>
    </row>
    <row r="5141" spans="7:7" x14ac:dyDescent="0.25">
      <c r="G5141" s="21"/>
    </row>
    <row r="5142" spans="7:7" x14ac:dyDescent="0.25">
      <c r="G5142" s="21"/>
    </row>
    <row r="5143" spans="7:7" x14ac:dyDescent="0.25">
      <c r="G5143" s="21"/>
    </row>
    <row r="5144" spans="7:7" x14ac:dyDescent="0.25">
      <c r="G5144" s="21"/>
    </row>
    <row r="5145" spans="7:7" x14ac:dyDescent="0.25">
      <c r="G5145" s="21"/>
    </row>
    <row r="5146" spans="7:7" x14ac:dyDescent="0.25">
      <c r="G5146" s="21"/>
    </row>
    <row r="5147" spans="7:7" x14ac:dyDescent="0.25">
      <c r="G5147" s="21"/>
    </row>
    <row r="5148" spans="7:7" x14ac:dyDescent="0.25">
      <c r="G5148" s="21"/>
    </row>
    <row r="5149" spans="7:7" x14ac:dyDescent="0.25">
      <c r="G5149" s="21"/>
    </row>
    <row r="5150" spans="7:7" x14ac:dyDescent="0.25">
      <c r="G5150" s="21"/>
    </row>
    <row r="5151" spans="7:7" x14ac:dyDescent="0.25">
      <c r="G5151" s="21"/>
    </row>
    <row r="5152" spans="7:7" x14ac:dyDescent="0.25">
      <c r="G5152" s="21"/>
    </row>
    <row r="5153" spans="7:7" x14ac:dyDescent="0.25">
      <c r="G5153" s="21"/>
    </row>
    <row r="5154" spans="7:7" x14ac:dyDescent="0.25">
      <c r="G5154" s="21"/>
    </row>
    <row r="5155" spans="7:7" x14ac:dyDescent="0.25">
      <c r="G5155" s="21"/>
    </row>
    <row r="5156" spans="7:7" x14ac:dyDescent="0.25">
      <c r="G5156" s="21"/>
    </row>
    <row r="5157" spans="7:7" x14ac:dyDescent="0.25">
      <c r="G5157" s="21"/>
    </row>
    <row r="5158" spans="7:7" x14ac:dyDescent="0.25">
      <c r="G5158" s="21"/>
    </row>
    <row r="5159" spans="7:7" x14ac:dyDescent="0.25">
      <c r="G5159" s="21"/>
    </row>
    <row r="5160" spans="7:7" x14ac:dyDescent="0.25">
      <c r="G5160" s="21"/>
    </row>
    <row r="5161" spans="7:7" x14ac:dyDescent="0.25">
      <c r="G5161" s="21"/>
    </row>
    <row r="5162" spans="7:7" x14ac:dyDescent="0.25">
      <c r="G5162" s="21"/>
    </row>
    <row r="5163" spans="7:7" x14ac:dyDescent="0.25">
      <c r="G5163" s="21"/>
    </row>
    <row r="5164" spans="7:7" x14ac:dyDescent="0.25">
      <c r="G5164" s="21"/>
    </row>
    <row r="5165" spans="7:7" x14ac:dyDescent="0.25">
      <c r="G5165" s="21"/>
    </row>
    <row r="5166" spans="7:7" x14ac:dyDescent="0.25">
      <c r="G5166" s="21"/>
    </row>
    <row r="5167" spans="7:7" x14ac:dyDescent="0.25">
      <c r="G5167" s="21"/>
    </row>
    <row r="5168" spans="7:7" x14ac:dyDescent="0.25">
      <c r="G5168" s="21"/>
    </row>
    <row r="5169" spans="7:7" x14ac:dyDescent="0.25">
      <c r="G5169" s="21"/>
    </row>
    <row r="5170" spans="7:7" x14ac:dyDescent="0.25">
      <c r="G5170" s="21"/>
    </row>
    <row r="5171" spans="7:7" x14ac:dyDescent="0.25">
      <c r="G5171" s="21"/>
    </row>
    <row r="5172" spans="7:7" x14ac:dyDescent="0.25">
      <c r="G5172" s="21"/>
    </row>
    <row r="5173" spans="7:7" x14ac:dyDescent="0.25">
      <c r="G5173" s="21"/>
    </row>
    <row r="5174" spans="7:7" x14ac:dyDescent="0.25">
      <c r="G5174" s="21"/>
    </row>
    <row r="5175" spans="7:7" x14ac:dyDescent="0.25">
      <c r="G5175" s="21"/>
    </row>
    <row r="5176" spans="7:7" x14ac:dyDescent="0.25">
      <c r="G5176" s="21"/>
    </row>
    <row r="5177" spans="7:7" x14ac:dyDescent="0.25">
      <c r="G5177" s="21"/>
    </row>
    <row r="5178" spans="7:7" x14ac:dyDescent="0.25">
      <c r="G5178" s="21"/>
    </row>
    <row r="5179" spans="7:7" x14ac:dyDescent="0.25">
      <c r="G5179" s="21"/>
    </row>
    <row r="5180" spans="7:7" x14ac:dyDescent="0.25">
      <c r="G5180" s="21"/>
    </row>
    <row r="5181" spans="7:7" x14ac:dyDescent="0.25">
      <c r="G5181" s="21"/>
    </row>
    <row r="5182" spans="7:7" x14ac:dyDescent="0.25">
      <c r="G5182" s="21"/>
    </row>
    <row r="5183" spans="7:7" x14ac:dyDescent="0.25">
      <c r="G5183" s="21"/>
    </row>
    <row r="5184" spans="7:7" x14ac:dyDescent="0.25">
      <c r="G5184" s="21"/>
    </row>
    <row r="5185" spans="7:7" x14ac:dyDescent="0.25">
      <c r="G5185" s="21"/>
    </row>
    <row r="5186" spans="7:7" x14ac:dyDescent="0.25">
      <c r="G5186" s="21"/>
    </row>
    <row r="5187" spans="7:7" x14ac:dyDescent="0.25">
      <c r="G5187" s="21"/>
    </row>
    <row r="5188" spans="7:7" x14ac:dyDescent="0.25">
      <c r="G5188" s="21"/>
    </row>
    <row r="5189" spans="7:7" x14ac:dyDescent="0.25">
      <c r="G5189" s="21"/>
    </row>
    <row r="5190" spans="7:7" x14ac:dyDescent="0.25">
      <c r="G5190" s="21"/>
    </row>
    <row r="5191" spans="7:7" x14ac:dyDescent="0.25">
      <c r="G5191" s="21"/>
    </row>
    <row r="5192" spans="7:7" x14ac:dyDescent="0.25">
      <c r="G5192" s="21"/>
    </row>
    <row r="5193" spans="7:7" x14ac:dyDescent="0.25">
      <c r="G5193" s="21"/>
    </row>
    <row r="5194" spans="7:7" x14ac:dyDescent="0.25">
      <c r="G5194" s="21"/>
    </row>
    <row r="5195" spans="7:7" x14ac:dyDescent="0.25">
      <c r="G5195" s="21"/>
    </row>
    <row r="5196" spans="7:7" x14ac:dyDescent="0.25">
      <c r="G5196" s="21"/>
    </row>
    <row r="5197" spans="7:7" x14ac:dyDescent="0.25">
      <c r="G5197" s="21"/>
    </row>
    <row r="5198" spans="7:7" x14ac:dyDescent="0.25">
      <c r="G5198" s="21"/>
    </row>
    <row r="5199" spans="7:7" x14ac:dyDescent="0.25">
      <c r="G5199" s="21"/>
    </row>
    <row r="5200" spans="7:7" x14ac:dyDescent="0.25">
      <c r="G5200" s="21"/>
    </row>
    <row r="5201" spans="7:7" x14ac:dyDescent="0.25">
      <c r="G5201" s="21"/>
    </row>
    <row r="5202" spans="7:7" x14ac:dyDescent="0.25">
      <c r="G5202" s="21"/>
    </row>
    <row r="5203" spans="7:7" x14ac:dyDescent="0.25">
      <c r="G5203" s="21"/>
    </row>
    <row r="5204" spans="7:7" x14ac:dyDescent="0.25">
      <c r="G5204" s="21"/>
    </row>
    <row r="5205" spans="7:7" x14ac:dyDescent="0.25">
      <c r="G5205" s="21"/>
    </row>
    <row r="5206" spans="7:7" x14ac:dyDescent="0.25">
      <c r="G5206" s="21"/>
    </row>
    <row r="5207" spans="7:7" x14ac:dyDescent="0.25">
      <c r="G5207" s="21"/>
    </row>
    <row r="5208" spans="7:7" x14ac:dyDescent="0.25">
      <c r="G5208" s="21"/>
    </row>
    <row r="5209" spans="7:7" x14ac:dyDescent="0.25">
      <c r="G5209" s="21"/>
    </row>
    <row r="5210" spans="7:7" x14ac:dyDescent="0.25">
      <c r="G5210" s="21"/>
    </row>
    <row r="5211" spans="7:7" x14ac:dyDescent="0.25">
      <c r="G5211" s="21"/>
    </row>
    <row r="5212" spans="7:7" x14ac:dyDescent="0.25">
      <c r="G5212" s="21"/>
    </row>
    <row r="5213" spans="7:7" x14ac:dyDescent="0.25">
      <c r="G5213" s="21"/>
    </row>
    <row r="5214" spans="7:7" x14ac:dyDescent="0.25">
      <c r="G5214" s="21"/>
    </row>
    <row r="5215" spans="7:7" x14ac:dyDescent="0.25">
      <c r="G5215" s="21"/>
    </row>
    <row r="5216" spans="7:7" x14ac:dyDescent="0.25">
      <c r="G5216" s="21"/>
    </row>
    <row r="5217" spans="7:7" x14ac:dyDescent="0.25">
      <c r="G5217" s="21"/>
    </row>
    <row r="5218" spans="7:7" x14ac:dyDescent="0.25">
      <c r="G5218" s="21"/>
    </row>
    <row r="5219" spans="7:7" x14ac:dyDescent="0.25">
      <c r="G5219" s="21"/>
    </row>
    <row r="5220" spans="7:7" x14ac:dyDescent="0.25">
      <c r="G5220" s="21"/>
    </row>
    <row r="5221" spans="7:7" x14ac:dyDescent="0.25">
      <c r="G5221" s="21"/>
    </row>
    <row r="5222" spans="7:7" x14ac:dyDescent="0.25">
      <c r="G5222" s="21"/>
    </row>
    <row r="5223" spans="7:7" x14ac:dyDescent="0.25">
      <c r="G5223" s="21"/>
    </row>
    <row r="5224" spans="7:7" x14ac:dyDescent="0.25">
      <c r="G5224" s="21"/>
    </row>
    <row r="5225" spans="7:7" x14ac:dyDescent="0.25">
      <c r="G5225" s="21"/>
    </row>
    <row r="5226" spans="7:7" x14ac:dyDescent="0.25">
      <c r="G5226" s="21"/>
    </row>
    <row r="5227" spans="7:7" x14ac:dyDescent="0.25">
      <c r="G5227" s="21"/>
    </row>
    <row r="5228" spans="7:7" x14ac:dyDescent="0.25">
      <c r="G5228" s="21"/>
    </row>
    <row r="5229" spans="7:7" x14ac:dyDescent="0.25">
      <c r="G5229" s="21"/>
    </row>
    <row r="5230" spans="7:7" x14ac:dyDescent="0.25">
      <c r="G5230" s="21"/>
    </row>
    <row r="5231" spans="7:7" x14ac:dyDescent="0.25">
      <c r="G5231" s="21"/>
    </row>
    <row r="5232" spans="7:7" x14ac:dyDescent="0.25">
      <c r="G5232" s="21"/>
    </row>
    <row r="5233" spans="7:7" x14ac:dyDescent="0.25">
      <c r="G5233" s="21"/>
    </row>
    <row r="5234" spans="7:7" x14ac:dyDescent="0.25">
      <c r="G5234" s="21"/>
    </row>
    <row r="5235" spans="7:7" x14ac:dyDescent="0.25">
      <c r="G5235" s="21"/>
    </row>
    <row r="5236" spans="7:7" x14ac:dyDescent="0.25">
      <c r="G5236" s="21"/>
    </row>
    <row r="5237" spans="7:7" x14ac:dyDescent="0.25">
      <c r="G5237" s="21"/>
    </row>
    <row r="5238" spans="7:7" x14ac:dyDescent="0.25">
      <c r="G5238" s="21"/>
    </row>
    <row r="5239" spans="7:7" x14ac:dyDescent="0.25">
      <c r="G5239" s="21"/>
    </row>
    <row r="5240" spans="7:7" x14ac:dyDescent="0.25">
      <c r="G5240" s="21"/>
    </row>
    <row r="5241" spans="7:7" x14ac:dyDescent="0.25">
      <c r="G5241" s="21"/>
    </row>
    <row r="5242" spans="7:7" x14ac:dyDescent="0.25">
      <c r="G5242" s="21"/>
    </row>
    <row r="5243" spans="7:7" x14ac:dyDescent="0.25">
      <c r="G5243" s="21"/>
    </row>
    <row r="5244" spans="7:7" x14ac:dyDescent="0.25">
      <c r="G5244" s="21"/>
    </row>
    <row r="5245" spans="7:7" x14ac:dyDescent="0.25">
      <c r="G5245" s="21"/>
    </row>
    <row r="5246" spans="7:7" x14ac:dyDescent="0.25">
      <c r="G5246" s="21"/>
    </row>
    <row r="5247" spans="7:7" x14ac:dyDescent="0.25">
      <c r="G5247" s="21"/>
    </row>
    <row r="5248" spans="7:7" x14ac:dyDescent="0.25">
      <c r="G5248" s="21"/>
    </row>
    <row r="5249" spans="7:7" x14ac:dyDescent="0.25">
      <c r="G5249" s="21"/>
    </row>
    <row r="5250" spans="7:7" x14ac:dyDescent="0.25">
      <c r="G5250" s="21"/>
    </row>
    <row r="5251" spans="7:7" x14ac:dyDescent="0.25">
      <c r="G5251" s="21"/>
    </row>
    <row r="5252" spans="7:7" x14ac:dyDescent="0.25">
      <c r="G5252" s="21"/>
    </row>
    <row r="5253" spans="7:7" x14ac:dyDescent="0.25">
      <c r="G5253" s="21"/>
    </row>
    <row r="5254" spans="7:7" x14ac:dyDescent="0.25">
      <c r="G5254" s="21"/>
    </row>
    <row r="5255" spans="7:7" x14ac:dyDescent="0.25">
      <c r="G5255" s="21"/>
    </row>
    <row r="5256" spans="7:7" x14ac:dyDescent="0.25">
      <c r="G5256" s="21"/>
    </row>
    <row r="5257" spans="7:7" x14ac:dyDescent="0.25">
      <c r="G5257" s="21"/>
    </row>
    <row r="5258" spans="7:7" x14ac:dyDescent="0.25">
      <c r="G5258" s="21"/>
    </row>
    <row r="5259" spans="7:7" x14ac:dyDescent="0.25">
      <c r="G5259" s="21"/>
    </row>
    <row r="5260" spans="7:7" x14ac:dyDescent="0.25">
      <c r="G5260" s="21"/>
    </row>
    <row r="5261" spans="7:7" x14ac:dyDescent="0.25">
      <c r="G5261" s="21"/>
    </row>
    <row r="5262" spans="7:7" x14ac:dyDescent="0.25">
      <c r="G5262" s="21"/>
    </row>
    <row r="5263" spans="7:7" x14ac:dyDescent="0.25">
      <c r="G5263" s="21"/>
    </row>
    <row r="5264" spans="7:7" x14ac:dyDescent="0.25">
      <c r="G5264" s="21"/>
    </row>
    <row r="5265" spans="7:7" x14ac:dyDescent="0.25">
      <c r="G5265" s="21"/>
    </row>
    <row r="5266" spans="7:7" x14ac:dyDescent="0.25">
      <c r="G5266" s="21"/>
    </row>
    <row r="5267" spans="7:7" x14ac:dyDescent="0.25">
      <c r="G5267" s="21"/>
    </row>
    <row r="5268" spans="7:7" x14ac:dyDescent="0.25">
      <c r="G5268" s="21"/>
    </row>
    <row r="5269" spans="7:7" x14ac:dyDescent="0.25">
      <c r="G5269" s="21"/>
    </row>
    <row r="5270" spans="7:7" x14ac:dyDescent="0.25">
      <c r="G5270" s="21"/>
    </row>
    <row r="5271" spans="7:7" x14ac:dyDescent="0.25">
      <c r="G5271" s="21"/>
    </row>
    <row r="5272" spans="7:7" x14ac:dyDescent="0.25">
      <c r="G5272" s="21"/>
    </row>
    <row r="5273" spans="7:7" x14ac:dyDescent="0.25">
      <c r="G5273" s="21"/>
    </row>
    <row r="5274" spans="7:7" x14ac:dyDescent="0.25">
      <c r="G5274" s="21"/>
    </row>
    <row r="5275" spans="7:7" x14ac:dyDescent="0.25">
      <c r="G5275" s="21"/>
    </row>
    <row r="5276" spans="7:7" x14ac:dyDescent="0.25">
      <c r="G5276" s="21"/>
    </row>
    <row r="5277" spans="7:7" x14ac:dyDescent="0.25">
      <c r="G5277" s="21"/>
    </row>
    <row r="5278" spans="7:7" x14ac:dyDescent="0.25">
      <c r="G5278" s="21"/>
    </row>
    <row r="5279" spans="7:7" x14ac:dyDescent="0.25">
      <c r="G5279" s="21"/>
    </row>
    <row r="5280" spans="7:7" x14ac:dyDescent="0.25">
      <c r="G5280" s="21"/>
    </row>
    <row r="5281" spans="7:7" x14ac:dyDescent="0.25">
      <c r="G5281" s="21"/>
    </row>
    <row r="5282" spans="7:7" x14ac:dyDescent="0.25">
      <c r="G5282" s="21"/>
    </row>
    <row r="5283" spans="7:7" x14ac:dyDescent="0.25">
      <c r="G5283" s="21"/>
    </row>
    <row r="5284" spans="7:7" x14ac:dyDescent="0.25">
      <c r="G5284" s="21"/>
    </row>
    <row r="5285" spans="7:7" x14ac:dyDescent="0.25">
      <c r="G5285" s="21"/>
    </row>
    <row r="5286" spans="7:7" x14ac:dyDescent="0.25">
      <c r="G5286" s="21"/>
    </row>
    <row r="5287" spans="7:7" x14ac:dyDescent="0.25">
      <c r="G5287" s="21"/>
    </row>
    <row r="5288" spans="7:7" x14ac:dyDescent="0.25">
      <c r="G5288" s="21"/>
    </row>
    <row r="5289" spans="7:7" x14ac:dyDescent="0.25">
      <c r="G5289" s="21"/>
    </row>
    <row r="5290" spans="7:7" x14ac:dyDescent="0.25">
      <c r="G5290" s="21"/>
    </row>
    <row r="5291" spans="7:7" x14ac:dyDescent="0.25">
      <c r="G5291" s="21"/>
    </row>
    <row r="5292" spans="7:7" x14ac:dyDescent="0.25">
      <c r="G5292" s="21"/>
    </row>
    <row r="5293" spans="7:7" x14ac:dyDescent="0.25">
      <c r="G5293" s="21"/>
    </row>
    <row r="5294" spans="7:7" x14ac:dyDescent="0.25">
      <c r="G5294" s="21"/>
    </row>
    <row r="5295" spans="7:7" x14ac:dyDescent="0.25">
      <c r="G5295" s="21"/>
    </row>
    <row r="5296" spans="7:7" x14ac:dyDescent="0.25">
      <c r="G5296" s="21"/>
    </row>
    <row r="5297" spans="7:7" x14ac:dyDescent="0.25">
      <c r="G5297" s="21"/>
    </row>
    <row r="5298" spans="7:7" x14ac:dyDescent="0.25">
      <c r="G5298" s="21"/>
    </row>
    <row r="5299" spans="7:7" x14ac:dyDescent="0.25">
      <c r="G5299" s="21"/>
    </row>
    <row r="5300" spans="7:7" x14ac:dyDescent="0.25">
      <c r="G5300" s="21"/>
    </row>
    <row r="5301" spans="7:7" x14ac:dyDescent="0.25">
      <c r="G5301" s="21"/>
    </row>
    <row r="5302" spans="7:7" x14ac:dyDescent="0.25">
      <c r="G5302" s="21"/>
    </row>
    <row r="5303" spans="7:7" x14ac:dyDescent="0.25">
      <c r="G5303" s="21"/>
    </row>
    <row r="5304" spans="7:7" x14ac:dyDescent="0.25">
      <c r="G5304" s="21"/>
    </row>
    <row r="5305" spans="7:7" x14ac:dyDescent="0.25">
      <c r="G5305" s="21"/>
    </row>
    <row r="5306" spans="7:7" x14ac:dyDescent="0.25">
      <c r="G5306" s="21"/>
    </row>
    <row r="5307" spans="7:7" x14ac:dyDescent="0.25">
      <c r="G5307" s="21"/>
    </row>
    <row r="5308" spans="7:7" x14ac:dyDescent="0.25">
      <c r="G5308" s="21"/>
    </row>
    <row r="5309" spans="7:7" x14ac:dyDescent="0.25">
      <c r="G5309" s="21"/>
    </row>
    <row r="5310" spans="7:7" x14ac:dyDescent="0.25">
      <c r="G5310" s="21"/>
    </row>
    <row r="5311" spans="7:7" x14ac:dyDescent="0.25">
      <c r="G5311" s="21"/>
    </row>
    <row r="5312" spans="7:7" x14ac:dyDescent="0.25">
      <c r="G5312" s="21"/>
    </row>
    <row r="5313" spans="7:7" x14ac:dyDescent="0.25">
      <c r="G5313" s="21"/>
    </row>
    <row r="5314" spans="7:7" x14ac:dyDescent="0.25">
      <c r="G5314" s="21"/>
    </row>
    <row r="5315" spans="7:7" x14ac:dyDescent="0.25">
      <c r="G5315" s="21"/>
    </row>
    <row r="5316" spans="7:7" x14ac:dyDescent="0.25">
      <c r="G5316" s="21"/>
    </row>
    <row r="5317" spans="7:7" x14ac:dyDescent="0.25">
      <c r="G5317" s="21"/>
    </row>
    <row r="5318" spans="7:7" x14ac:dyDescent="0.25">
      <c r="G5318" s="21"/>
    </row>
    <row r="5319" spans="7:7" x14ac:dyDescent="0.25">
      <c r="G5319" s="21"/>
    </row>
    <row r="5320" spans="7:7" x14ac:dyDescent="0.25">
      <c r="G5320" s="21"/>
    </row>
    <row r="5321" spans="7:7" x14ac:dyDescent="0.25">
      <c r="G5321" s="21"/>
    </row>
    <row r="5322" spans="7:7" x14ac:dyDescent="0.25">
      <c r="G5322" s="21"/>
    </row>
    <row r="5323" spans="7:7" x14ac:dyDescent="0.25">
      <c r="G5323" s="21"/>
    </row>
    <row r="5324" spans="7:7" x14ac:dyDescent="0.25">
      <c r="G5324" s="21"/>
    </row>
    <row r="5325" spans="7:7" x14ac:dyDescent="0.25">
      <c r="G5325" s="21"/>
    </row>
    <row r="5326" spans="7:7" x14ac:dyDescent="0.25">
      <c r="G5326" s="21"/>
    </row>
    <row r="5327" spans="7:7" x14ac:dyDescent="0.25">
      <c r="G5327" s="21"/>
    </row>
    <row r="5328" spans="7:7" x14ac:dyDescent="0.25">
      <c r="G5328" s="21"/>
    </row>
    <row r="5329" spans="7:7" x14ac:dyDescent="0.25">
      <c r="G5329" s="21"/>
    </row>
    <row r="5330" spans="7:7" x14ac:dyDescent="0.25">
      <c r="G5330" s="21"/>
    </row>
    <row r="5331" spans="7:7" x14ac:dyDescent="0.25">
      <c r="G5331" s="21"/>
    </row>
    <row r="5332" spans="7:7" x14ac:dyDescent="0.25">
      <c r="G5332" s="21"/>
    </row>
    <row r="5333" spans="7:7" x14ac:dyDescent="0.25">
      <c r="G5333" s="21"/>
    </row>
    <row r="5334" spans="7:7" x14ac:dyDescent="0.25">
      <c r="G5334" s="21"/>
    </row>
    <row r="5335" spans="7:7" x14ac:dyDescent="0.25">
      <c r="G5335" s="21"/>
    </row>
    <row r="5336" spans="7:7" x14ac:dyDescent="0.25">
      <c r="G5336" s="21"/>
    </row>
    <row r="5337" spans="7:7" x14ac:dyDescent="0.25">
      <c r="G5337" s="21"/>
    </row>
    <row r="5338" spans="7:7" x14ac:dyDescent="0.25">
      <c r="G5338" s="21"/>
    </row>
    <row r="5339" spans="7:7" x14ac:dyDescent="0.25">
      <c r="G5339" s="21"/>
    </row>
    <row r="5340" spans="7:7" x14ac:dyDescent="0.25">
      <c r="G5340" s="21"/>
    </row>
    <row r="5341" spans="7:7" x14ac:dyDescent="0.25">
      <c r="G5341" s="21"/>
    </row>
    <row r="5342" spans="7:7" x14ac:dyDescent="0.25">
      <c r="G5342" s="21"/>
    </row>
    <row r="5343" spans="7:7" x14ac:dyDescent="0.25">
      <c r="G5343" s="21"/>
    </row>
    <row r="5344" spans="7:7" x14ac:dyDescent="0.25">
      <c r="G5344" s="21"/>
    </row>
    <row r="5345" spans="7:7" x14ac:dyDescent="0.25">
      <c r="G5345" s="21"/>
    </row>
    <row r="5346" spans="7:7" x14ac:dyDescent="0.25">
      <c r="G5346" s="21"/>
    </row>
    <row r="5347" spans="7:7" x14ac:dyDescent="0.25">
      <c r="G5347" s="21"/>
    </row>
    <row r="5348" spans="7:7" x14ac:dyDescent="0.25">
      <c r="G5348" s="21"/>
    </row>
    <row r="5349" spans="7:7" x14ac:dyDescent="0.25">
      <c r="G5349" s="21"/>
    </row>
    <row r="5350" spans="7:7" x14ac:dyDescent="0.25">
      <c r="G5350" s="21"/>
    </row>
    <row r="5351" spans="7:7" x14ac:dyDescent="0.25">
      <c r="G5351" s="21"/>
    </row>
    <row r="5352" spans="7:7" x14ac:dyDescent="0.25">
      <c r="G5352" s="21"/>
    </row>
    <row r="5353" spans="7:7" x14ac:dyDescent="0.25">
      <c r="G5353" s="21"/>
    </row>
    <row r="5354" spans="7:7" x14ac:dyDescent="0.25">
      <c r="G5354" s="21"/>
    </row>
    <row r="5355" spans="7:7" x14ac:dyDescent="0.25">
      <c r="G5355" s="21"/>
    </row>
    <row r="5356" spans="7:7" x14ac:dyDescent="0.25">
      <c r="G5356" s="21"/>
    </row>
    <row r="5357" spans="7:7" x14ac:dyDescent="0.25">
      <c r="G5357" s="21"/>
    </row>
    <row r="5358" spans="7:7" x14ac:dyDescent="0.25">
      <c r="G5358" s="21"/>
    </row>
    <row r="5359" spans="7:7" x14ac:dyDescent="0.25">
      <c r="G5359" s="21"/>
    </row>
    <row r="5360" spans="7:7" x14ac:dyDescent="0.25">
      <c r="G5360" s="21"/>
    </row>
    <row r="5361" spans="7:7" x14ac:dyDescent="0.25">
      <c r="G5361" s="21"/>
    </row>
    <row r="5362" spans="7:7" x14ac:dyDescent="0.25">
      <c r="G5362" s="21"/>
    </row>
    <row r="5363" spans="7:7" x14ac:dyDescent="0.25">
      <c r="G5363" s="21"/>
    </row>
    <row r="5364" spans="7:7" x14ac:dyDescent="0.25">
      <c r="G5364" s="21"/>
    </row>
    <row r="5365" spans="7:7" x14ac:dyDescent="0.25">
      <c r="G5365" s="21"/>
    </row>
    <row r="5366" spans="7:7" x14ac:dyDescent="0.25">
      <c r="G5366" s="21"/>
    </row>
    <row r="5367" spans="7:7" x14ac:dyDescent="0.25">
      <c r="G5367" s="21"/>
    </row>
    <row r="5368" spans="7:7" x14ac:dyDescent="0.25">
      <c r="G5368" s="21"/>
    </row>
    <row r="5369" spans="7:7" x14ac:dyDescent="0.25">
      <c r="G5369" s="21"/>
    </row>
    <row r="5370" spans="7:7" x14ac:dyDescent="0.25">
      <c r="G5370" s="21"/>
    </row>
    <row r="5371" spans="7:7" x14ac:dyDescent="0.25">
      <c r="G5371" s="21"/>
    </row>
    <row r="5372" spans="7:7" x14ac:dyDescent="0.25">
      <c r="G5372" s="21"/>
    </row>
    <row r="5373" spans="7:7" x14ac:dyDescent="0.25">
      <c r="G5373" s="21"/>
    </row>
    <row r="5374" spans="7:7" x14ac:dyDescent="0.25">
      <c r="G5374" s="21"/>
    </row>
    <row r="5375" spans="7:7" x14ac:dyDescent="0.25">
      <c r="G5375" s="21"/>
    </row>
    <row r="5376" spans="7:7" x14ac:dyDescent="0.25">
      <c r="G5376" s="21"/>
    </row>
    <row r="5377" spans="7:7" x14ac:dyDescent="0.25">
      <c r="G5377" s="21"/>
    </row>
    <row r="5378" spans="7:7" x14ac:dyDescent="0.25">
      <c r="G5378" s="21"/>
    </row>
    <row r="5379" spans="7:7" x14ac:dyDescent="0.25">
      <c r="G5379" s="21"/>
    </row>
    <row r="5380" spans="7:7" x14ac:dyDescent="0.25">
      <c r="G5380" s="21"/>
    </row>
    <row r="5381" spans="7:7" x14ac:dyDescent="0.25">
      <c r="G5381" s="21"/>
    </row>
    <row r="5382" spans="7:7" x14ac:dyDescent="0.25">
      <c r="G5382" s="21"/>
    </row>
    <row r="5383" spans="7:7" x14ac:dyDescent="0.25">
      <c r="G5383" s="21"/>
    </row>
    <row r="5384" spans="7:7" x14ac:dyDescent="0.25">
      <c r="G5384" s="21"/>
    </row>
    <row r="5385" spans="7:7" x14ac:dyDescent="0.25">
      <c r="G5385" s="21"/>
    </row>
    <row r="5386" spans="7:7" x14ac:dyDescent="0.25">
      <c r="G5386" s="21"/>
    </row>
    <row r="5387" spans="7:7" x14ac:dyDescent="0.25">
      <c r="G5387" s="21"/>
    </row>
    <row r="5388" spans="7:7" x14ac:dyDescent="0.25">
      <c r="G5388" s="21"/>
    </row>
    <row r="5389" spans="7:7" x14ac:dyDescent="0.25">
      <c r="G5389" s="21"/>
    </row>
    <row r="5390" spans="7:7" x14ac:dyDescent="0.25">
      <c r="G5390" s="21"/>
    </row>
    <row r="5391" spans="7:7" x14ac:dyDescent="0.25">
      <c r="G5391" s="21"/>
    </row>
    <row r="5392" spans="7:7" x14ac:dyDescent="0.25">
      <c r="G5392" s="21"/>
    </row>
    <row r="5393" spans="7:7" x14ac:dyDescent="0.25">
      <c r="G5393" s="21"/>
    </row>
    <row r="5394" spans="7:7" x14ac:dyDescent="0.25">
      <c r="G5394" s="21"/>
    </row>
    <row r="5395" spans="7:7" x14ac:dyDescent="0.25">
      <c r="G5395" s="21"/>
    </row>
    <row r="5396" spans="7:7" x14ac:dyDescent="0.25">
      <c r="G5396" s="21"/>
    </row>
    <row r="5397" spans="7:7" x14ac:dyDescent="0.25">
      <c r="G5397" s="21"/>
    </row>
    <row r="5398" spans="7:7" x14ac:dyDescent="0.25">
      <c r="G5398" s="21"/>
    </row>
    <row r="5399" spans="7:7" x14ac:dyDescent="0.25">
      <c r="G5399" s="21"/>
    </row>
    <row r="5400" spans="7:7" x14ac:dyDescent="0.25">
      <c r="G5400" s="21"/>
    </row>
    <row r="5401" spans="7:7" x14ac:dyDescent="0.25">
      <c r="G5401" s="21"/>
    </row>
    <row r="5402" spans="7:7" x14ac:dyDescent="0.25">
      <c r="G5402" s="21"/>
    </row>
    <row r="5403" spans="7:7" x14ac:dyDescent="0.25">
      <c r="G5403" s="21"/>
    </row>
    <row r="5404" spans="7:7" x14ac:dyDescent="0.25">
      <c r="G5404" s="21"/>
    </row>
    <row r="5405" spans="7:7" x14ac:dyDescent="0.25">
      <c r="G5405" s="21"/>
    </row>
    <row r="5406" spans="7:7" x14ac:dyDescent="0.25">
      <c r="G5406" s="21"/>
    </row>
    <row r="5407" spans="7:7" x14ac:dyDescent="0.25">
      <c r="G5407" s="21"/>
    </row>
    <row r="5408" spans="7:7" x14ac:dyDescent="0.25">
      <c r="G5408" s="21"/>
    </row>
    <row r="5409" spans="7:7" x14ac:dyDescent="0.25">
      <c r="G5409" s="21"/>
    </row>
    <row r="5410" spans="7:7" x14ac:dyDescent="0.25">
      <c r="G5410" s="21"/>
    </row>
    <row r="5411" spans="7:7" x14ac:dyDescent="0.25">
      <c r="G5411" s="21"/>
    </row>
    <row r="5412" spans="7:7" x14ac:dyDescent="0.25">
      <c r="G5412" s="21"/>
    </row>
    <row r="5413" spans="7:7" x14ac:dyDescent="0.25">
      <c r="G5413" s="21"/>
    </row>
    <row r="5414" spans="7:7" x14ac:dyDescent="0.25">
      <c r="G5414" s="21"/>
    </row>
    <row r="5415" spans="7:7" x14ac:dyDescent="0.25">
      <c r="G5415" s="21"/>
    </row>
    <row r="5416" spans="7:7" x14ac:dyDescent="0.25">
      <c r="G5416" s="21"/>
    </row>
    <row r="5417" spans="7:7" x14ac:dyDescent="0.25">
      <c r="G5417" s="21"/>
    </row>
    <row r="5418" spans="7:7" x14ac:dyDescent="0.25">
      <c r="G5418" s="21"/>
    </row>
    <row r="5419" spans="7:7" x14ac:dyDescent="0.25">
      <c r="G5419" s="21"/>
    </row>
    <row r="5420" spans="7:7" x14ac:dyDescent="0.25">
      <c r="G5420" s="21"/>
    </row>
    <row r="5421" spans="7:7" x14ac:dyDescent="0.25">
      <c r="G5421" s="21"/>
    </row>
    <row r="5422" spans="7:7" x14ac:dyDescent="0.25">
      <c r="G5422" s="21"/>
    </row>
    <row r="5423" spans="7:7" x14ac:dyDescent="0.25">
      <c r="G5423" s="21"/>
    </row>
    <row r="5424" spans="7:7" x14ac:dyDescent="0.25">
      <c r="G5424" s="21"/>
    </row>
    <row r="5425" spans="7:7" x14ac:dyDescent="0.25">
      <c r="G5425" s="21"/>
    </row>
    <row r="5426" spans="7:7" x14ac:dyDescent="0.25">
      <c r="G5426" s="21"/>
    </row>
    <row r="5427" spans="7:7" x14ac:dyDescent="0.25">
      <c r="G5427" s="21"/>
    </row>
    <row r="5428" spans="7:7" x14ac:dyDescent="0.25">
      <c r="G5428" s="21"/>
    </row>
    <row r="5429" spans="7:7" x14ac:dyDescent="0.25">
      <c r="G5429" s="21"/>
    </row>
    <row r="5430" spans="7:7" x14ac:dyDescent="0.25">
      <c r="G5430" s="21"/>
    </row>
    <row r="5431" spans="7:7" x14ac:dyDescent="0.25">
      <c r="G5431" s="21"/>
    </row>
    <row r="5432" spans="7:7" x14ac:dyDescent="0.25">
      <c r="G5432" s="21"/>
    </row>
    <row r="5433" spans="7:7" x14ac:dyDescent="0.25">
      <c r="G5433" s="21"/>
    </row>
    <row r="5434" spans="7:7" x14ac:dyDescent="0.25">
      <c r="G5434" s="21"/>
    </row>
    <row r="5435" spans="7:7" x14ac:dyDescent="0.25">
      <c r="G5435" s="21"/>
    </row>
    <row r="5436" spans="7:7" x14ac:dyDescent="0.25">
      <c r="G5436" s="21"/>
    </row>
    <row r="5437" spans="7:7" x14ac:dyDescent="0.25">
      <c r="G5437" s="21"/>
    </row>
    <row r="5438" spans="7:7" x14ac:dyDescent="0.25">
      <c r="G5438" s="21"/>
    </row>
    <row r="5439" spans="7:7" x14ac:dyDescent="0.25">
      <c r="G5439" s="21"/>
    </row>
    <row r="5440" spans="7:7" x14ac:dyDescent="0.25">
      <c r="G5440" s="21"/>
    </row>
    <row r="5441" spans="7:7" x14ac:dyDescent="0.25">
      <c r="G5441" s="21"/>
    </row>
    <row r="5442" spans="7:7" x14ac:dyDescent="0.25">
      <c r="G5442" s="21"/>
    </row>
    <row r="5443" spans="7:7" x14ac:dyDescent="0.25">
      <c r="G5443" s="21"/>
    </row>
    <row r="5444" spans="7:7" x14ac:dyDescent="0.25">
      <c r="G5444" s="21"/>
    </row>
    <row r="5445" spans="7:7" x14ac:dyDescent="0.25">
      <c r="G5445" s="21"/>
    </row>
    <row r="5446" spans="7:7" x14ac:dyDescent="0.25">
      <c r="G5446" s="21"/>
    </row>
    <row r="5447" spans="7:7" x14ac:dyDescent="0.25">
      <c r="G5447" s="21"/>
    </row>
    <row r="5448" spans="7:7" x14ac:dyDescent="0.25">
      <c r="G5448" s="21"/>
    </row>
    <row r="5449" spans="7:7" x14ac:dyDescent="0.25">
      <c r="G5449" s="21"/>
    </row>
    <row r="5450" spans="7:7" x14ac:dyDescent="0.25">
      <c r="G5450" s="21"/>
    </row>
    <row r="5451" spans="7:7" x14ac:dyDescent="0.25">
      <c r="G5451" s="21"/>
    </row>
    <row r="5452" spans="7:7" x14ac:dyDescent="0.25">
      <c r="G5452" s="21"/>
    </row>
    <row r="5453" spans="7:7" x14ac:dyDescent="0.25">
      <c r="G5453" s="21"/>
    </row>
    <row r="5454" spans="7:7" x14ac:dyDescent="0.25">
      <c r="G5454" s="21"/>
    </row>
    <row r="5455" spans="7:7" x14ac:dyDescent="0.25">
      <c r="G5455" s="21"/>
    </row>
    <row r="5456" spans="7:7" x14ac:dyDescent="0.25">
      <c r="G5456" s="21"/>
    </row>
    <row r="5457" spans="7:7" x14ac:dyDescent="0.25">
      <c r="G5457" s="21"/>
    </row>
    <row r="5458" spans="7:7" x14ac:dyDescent="0.25">
      <c r="G5458" s="21"/>
    </row>
    <row r="5459" spans="7:7" x14ac:dyDescent="0.25">
      <c r="G5459" s="21"/>
    </row>
    <row r="5460" spans="7:7" x14ac:dyDescent="0.25">
      <c r="G5460" s="21"/>
    </row>
    <row r="5461" spans="7:7" x14ac:dyDescent="0.25">
      <c r="G5461" s="21"/>
    </row>
    <row r="5462" spans="7:7" x14ac:dyDescent="0.25">
      <c r="G5462" s="21"/>
    </row>
    <row r="5463" spans="7:7" x14ac:dyDescent="0.25">
      <c r="G5463" s="21"/>
    </row>
    <row r="5464" spans="7:7" x14ac:dyDescent="0.25">
      <c r="G5464" s="21"/>
    </row>
    <row r="5465" spans="7:7" x14ac:dyDescent="0.25">
      <c r="G5465" s="21"/>
    </row>
    <row r="5466" spans="7:7" x14ac:dyDescent="0.25">
      <c r="G5466" s="21"/>
    </row>
    <row r="5467" spans="7:7" x14ac:dyDescent="0.25">
      <c r="G5467" s="21"/>
    </row>
    <row r="5468" spans="7:7" x14ac:dyDescent="0.25">
      <c r="G5468" s="21"/>
    </row>
    <row r="5469" spans="7:7" x14ac:dyDescent="0.25">
      <c r="G5469" s="21"/>
    </row>
    <row r="5470" spans="7:7" x14ac:dyDescent="0.25">
      <c r="G5470" s="21"/>
    </row>
    <row r="5471" spans="7:7" x14ac:dyDescent="0.25">
      <c r="G5471" s="21"/>
    </row>
    <row r="5472" spans="7:7" x14ac:dyDescent="0.25">
      <c r="G5472" s="21"/>
    </row>
    <row r="5473" spans="7:7" x14ac:dyDescent="0.25">
      <c r="G5473" s="21"/>
    </row>
    <row r="5474" spans="7:7" x14ac:dyDescent="0.25">
      <c r="G5474" s="21"/>
    </row>
    <row r="5475" spans="7:7" x14ac:dyDescent="0.25">
      <c r="G5475" s="21"/>
    </row>
    <row r="5476" spans="7:7" x14ac:dyDescent="0.25">
      <c r="G5476" s="21"/>
    </row>
    <row r="5477" spans="7:7" x14ac:dyDescent="0.25">
      <c r="G5477" s="21"/>
    </row>
    <row r="5478" spans="7:7" x14ac:dyDescent="0.25">
      <c r="G5478" s="21"/>
    </row>
    <row r="5479" spans="7:7" x14ac:dyDescent="0.25">
      <c r="G5479" s="21"/>
    </row>
    <row r="5480" spans="7:7" x14ac:dyDescent="0.25">
      <c r="G5480" s="21"/>
    </row>
    <row r="5481" spans="7:7" x14ac:dyDescent="0.25">
      <c r="G5481" s="21"/>
    </row>
    <row r="5482" spans="7:7" x14ac:dyDescent="0.25">
      <c r="G5482" s="21"/>
    </row>
    <row r="5483" spans="7:7" x14ac:dyDescent="0.25">
      <c r="G5483" s="21"/>
    </row>
    <row r="5484" spans="7:7" x14ac:dyDescent="0.25">
      <c r="G5484" s="21"/>
    </row>
    <row r="5485" spans="7:7" x14ac:dyDescent="0.25">
      <c r="G5485" s="21"/>
    </row>
    <row r="5486" spans="7:7" x14ac:dyDescent="0.25">
      <c r="G5486" s="21"/>
    </row>
    <row r="5487" spans="7:7" x14ac:dyDescent="0.25">
      <c r="G5487" s="21"/>
    </row>
    <row r="5488" spans="7:7" x14ac:dyDescent="0.25">
      <c r="G5488" s="21"/>
    </row>
    <row r="5489" spans="7:7" x14ac:dyDescent="0.25">
      <c r="G5489" s="21"/>
    </row>
    <row r="5490" spans="7:7" x14ac:dyDescent="0.25">
      <c r="G5490" s="21"/>
    </row>
    <row r="5491" spans="7:7" x14ac:dyDescent="0.25">
      <c r="G5491" s="21"/>
    </row>
    <row r="5492" spans="7:7" x14ac:dyDescent="0.25">
      <c r="G5492" s="21"/>
    </row>
    <row r="5493" spans="7:7" x14ac:dyDescent="0.25">
      <c r="G5493" s="21"/>
    </row>
    <row r="5494" spans="7:7" x14ac:dyDescent="0.25">
      <c r="G5494" s="21"/>
    </row>
    <row r="5495" spans="7:7" x14ac:dyDescent="0.25">
      <c r="G5495" s="21"/>
    </row>
    <row r="5496" spans="7:7" x14ac:dyDescent="0.25">
      <c r="G5496" s="21"/>
    </row>
    <row r="5497" spans="7:7" x14ac:dyDescent="0.25">
      <c r="G5497" s="21"/>
    </row>
    <row r="5498" spans="7:7" x14ac:dyDescent="0.25">
      <c r="G5498" s="21"/>
    </row>
    <row r="5499" spans="7:7" x14ac:dyDescent="0.25">
      <c r="G5499" s="21"/>
    </row>
    <row r="5500" spans="7:7" x14ac:dyDescent="0.25">
      <c r="G5500" s="21"/>
    </row>
    <row r="5501" spans="7:7" x14ac:dyDescent="0.25">
      <c r="G5501" s="21"/>
    </row>
    <row r="5502" spans="7:7" x14ac:dyDescent="0.25">
      <c r="G5502" s="21"/>
    </row>
    <row r="5503" spans="7:7" x14ac:dyDescent="0.25">
      <c r="G5503" s="21"/>
    </row>
    <row r="5504" spans="7:7" x14ac:dyDescent="0.25">
      <c r="G5504" s="21"/>
    </row>
    <row r="5505" spans="7:7" x14ac:dyDescent="0.25">
      <c r="G5505" s="21"/>
    </row>
    <row r="5506" spans="7:7" x14ac:dyDescent="0.25">
      <c r="G5506" s="21"/>
    </row>
    <row r="5507" spans="7:7" x14ac:dyDescent="0.25">
      <c r="G5507" s="21"/>
    </row>
    <row r="5508" spans="7:7" x14ac:dyDescent="0.25">
      <c r="G5508" s="21"/>
    </row>
    <row r="5509" spans="7:7" x14ac:dyDescent="0.25">
      <c r="G5509" s="21"/>
    </row>
    <row r="5510" spans="7:7" x14ac:dyDescent="0.25">
      <c r="G5510" s="21"/>
    </row>
    <row r="5511" spans="7:7" x14ac:dyDescent="0.25">
      <c r="G5511" s="21"/>
    </row>
    <row r="5512" spans="7:7" x14ac:dyDescent="0.25">
      <c r="G5512" s="21"/>
    </row>
    <row r="5513" spans="7:7" x14ac:dyDescent="0.25">
      <c r="G5513" s="21"/>
    </row>
    <row r="5514" spans="7:7" x14ac:dyDescent="0.25">
      <c r="G5514" s="21"/>
    </row>
    <row r="5515" spans="7:7" x14ac:dyDescent="0.25">
      <c r="G5515" s="21"/>
    </row>
    <row r="5516" spans="7:7" x14ac:dyDescent="0.25">
      <c r="G5516" s="21"/>
    </row>
    <row r="5517" spans="7:7" x14ac:dyDescent="0.25">
      <c r="G5517" s="21"/>
    </row>
    <row r="5518" spans="7:7" x14ac:dyDescent="0.25">
      <c r="G5518" s="21"/>
    </row>
    <row r="5519" spans="7:7" x14ac:dyDescent="0.25">
      <c r="G5519" s="21"/>
    </row>
    <row r="5520" spans="7:7" x14ac:dyDescent="0.25">
      <c r="G5520" s="21"/>
    </row>
    <row r="5521" spans="7:7" x14ac:dyDescent="0.25">
      <c r="G5521" s="21"/>
    </row>
    <row r="5522" spans="7:7" x14ac:dyDescent="0.25">
      <c r="G5522" s="21"/>
    </row>
    <row r="5523" spans="7:7" x14ac:dyDescent="0.25">
      <c r="G5523" s="21"/>
    </row>
    <row r="5524" spans="7:7" x14ac:dyDescent="0.25">
      <c r="G5524" s="21"/>
    </row>
    <row r="5525" spans="7:7" x14ac:dyDescent="0.25">
      <c r="G5525" s="21"/>
    </row>
    <row r="5526" spans="7:7" x14ac:dyDescent="0.25">
      <c r="G5526" s="21"/>
    </row>
    <row r="5527" spans="7:7" x14ac:dyDescent="0.25">
      <c r="G5527" s="21"/>
    </row>
    <row r="5528" spans="7:7" x14ac:dyDescent="0.25">
      <c r="G5528" s="21"/>
    </row>
    <row r="5529" spans="7:7" x14ac:dyDescent="0.25">
      <c r="G5529" s="21"/>
    </row>
    <row r="5530" spans="7:7" x14ac:dyDescent="0.25">
      <c r="G5530" s="21"/>
    </row>
    <row r="5531" spans="7:7" x14ac:dyDescent="0.25">
      <c r="G5531" s="21"/>
    </row>
    <row r="5532" spans="7:7" x14ac:dyDescent="0.25">
      <c r="G5532" s="21"/>
    </row>
    <row r="5533" spans="7:7" x14ac:dyDescent="0.25">
      <c r="G5533" s="21"/>
    </row>
    <row r="5534" spans="7:7" x14ac:dyDescent="0.25">
      <c r="G5534" s="21"/>
    </row>
    <row r="5535" spans="7:7" x14ac:dyDescent="0.25">
      <c r="G5535" s="21"/>
    </row>
    <row r="5536" spans="7:7" x14ac:dyDescent="0.25">
      <c r="G5536" s="21"/>
    </row>
    <row r="5537" spans="7:7" x14ac:dyDescent="0.25">
      <c r="G5537" s="21"/>
    </row>
    <row r="5538" spans="7:7" x14ac:dyDescent="0.25">
      <c r="G5538" s="21"/>
    </row>
    <row r="5539" spans="7:7" x14ac:dyDescent="0.25">
      <c r="G5539" s="21"/>
    </row>
    <row r="5540" spans="7:7" x14ac:dyDescent="0.25">
      <c r="G5540" s="21"/>
    </row>
    <row r="5541" spans="7:7" x14ac:dyDescent="0.25">
      <c r="G5541" s="21"/>
    </row>
    <row r="5542" spans="7:7" x14ac:dyDescent="0.25">
      <c r="G5542" s="21"/>
    </row>
    <row r="5543" spans="7:7" x14ac:dyDescent="0.25">
      <c r="G5543" s="21"/>
    </row>
    <row r="5544" spans="7:7" x14ac:dyDescent="0.25">
      <c r="G5544" s="21"/>
    </row>
    <row r="5545" spans="7:7" x14ac:dyDescent="0.25">
      <c r="G5545" s="21"/>
    </row>
    <row r="5546" spans="7:7" x14ac:dyDescent="0.25">
      <c r="G5546" s="21"/>
    </row>
    <row r="5547" spans="7:7" x14ac:dyDescent="0.25">
      <c r="G5547" s="21"/>
    </row>
    <row r="5548" spans="7:7" x14ac:dyDescent="0.25">
      <c r="G5548" s="21"/>
    </row>
    <row r="5549" spans="7:7" x14ac:dyDescent="0.25">
      <c r="G5549" s="21"/>
    </row>
    <row r="5550" spans="7:7" x14ac:dyDescent="0.25">
      <c r="G5550" s="21"/>
    </row>
    <row r="5551" spans="7:7" x14ac:dyDescent="0.25">
      <c r="G5551" s="21"/>
    </row>
    <row r="5552" spans="7:7" x14ac:dyDescent="0.25">
      <c r="G5552" s="21"/>
    </row>
    <row r="5553" spans="7:7" x14ac:dyDescent="0.25">
      <c r="G5553" s="21"/>
    </row>
    <row r="5554" spans="7:7" x14ac:dyDescent="0.25">
      <c r="G5554" s="21"/>
    </row>
    <row r="5555" spans="7:7" x14ac:dyDescent="0.25">
      <c r="G5555" s="21"/>
    </row>
    <row r="5556" spans="7:7" x14ac:dyDescent="0.25">
      <c r="G5556" s="21"/>
    </row>
    <row r="5557" spans="7:7" x14ac:dyDescent="0.25">
      <c r="G5557" s="21"/>
    </row>
    <row r="5558" spans="7:7" x14ac:dyDescent="0.25">
      <c r="G5558" s="21"/>
    </row>
    <row r="5559" spans="7:7" x14ac:dyDescent="0.25">
      <c r="G5559" s="21"/>
    </row>
    <row r="5560" spans="7:7" x14ac:dyDescent="0.25">
      <c r="G5560" s="21"/>
    </row>
    <row r="5561" spans="7:7" x14ac:dyDescent="0.25">
      <c r="G5561" s="21"/>
    </row>
    <row r="5562" spans="7:7" x14ac:dyDescent="0.25">
      <c r="G5562" s="21"/>
    </row>
    <row r="5563" spans="7:7" x14ac:dyDescent="0.25">
      <c r="G5563" s="21"/>
    </row>
    <row r="5564" spans="7:7" x14ac:dyDescent="0.25">
      <c r="G5564" s="21"/>
    </row>
    <row r="5565" spans="7:7" x14ac:dyDescent="0.25">
      <c r="G5565" s="21"/>
    </row>
    <row r="5566" spans="7:7" x14ac:dyDescent="0.25">
      <c r="G5566" s="21"/>
    </row>
    <row r="5567" spans="7:7" x14ac:dyDescent="0.25">
      <c r="G5567" s="21"/>
    </row>
    <row r="5568" spans="7:7" x14ac:dyDescent="0.25">
      <c r="G5568" s="21"/>
    </row>
    <row r="5569" spans="7:7" x14ac:dyDescent="0.25">
      <c r="G5569" s="21"/>
    </row>
    <row r="5570" spans="7:7" x14ac:dyDescent="0.25">
      <c r="G5570" s="21"/>
    </row>
    <row r="5571" spans="7:7" x14ac:dyDescent="0.25">
      <c r="G5571" s="21"/>
    </row>
    <row r="5572" spans="7:7" x14ac:dyDescent="0.25">
      <c r="G5572" s="21"/>
    </row>
    <row r="5573" spans="7:7" x14ac:dyDescent="0.25">
      <c r="G5573" s="21"/>
    </row>
    <row r="5574" spans="7:7" x14ac:dyDescent="0.25">
      <c r="G5574" s="21"/>
    </row>
    <row r="5575" spans="7:7" x14ac:dyDescent="0.25">
      <c r="G5575" s="21"/>
    </row>
    <row r="5576" spans="7:7" x14ac:dyDescent="0.25">
      <c r="G5576" s="21"/>
    </row>
    <row r="5577" spans="7:7" x14ac:dyDescent="0.25">
      <c r="G5577" s="21"/>
    </row>
    <row r="5578" spans="7:7" x14ac:dyDescent="0.25">
      <c r="G5578" s="21"/>
    </row>
    <row r="5579" spans="7:7" x14ac:dyDescent="0.25">
      <c r="G5579" s="21"/>
    </row>
    <row r="5580" spans="7:7" x14ac:dyDescent="0.25">
      <c r="G5580" s="21"/>
    </row>
    <row r="5581" spans="7:7" x14ac:dyDescent="0.25">
      <c r="G5581" s="21"/>
    </row>
    <row r="5582" spans="7:7" x14ac:dyDescent="0.25">
      <c r="G5582" s="21"/>
    </row>
    <row r="5583" spans="7:7" x14ac:dyDescent="0.25">
      <c r="G5583" s="21"/>
    </row>
    <row r="5584" spans="7:7" x14ac:dyDescent="0.25">
      <c r="G5584" s="21"/>
    </row>
    <row r="5585" spans="7:7" x14ac:dyDescent="0.25">
      <c r="G5585" s="21"/>
    </row>
    <row r="5586" spans="7:7" x14ac:dyDescent="0.25">
      <c r="G5586" s="21"/>
    </row>
    <row r="5587" spans="7:7" x14ac:dyDescent="0.25">
      <c r="G5587" s="21"/>
    </row>
    <row r="5588" spans="7:7" x14ac:dyDescent="0.25">
      <c r="G5588" s="21"/>
    </row>
    <row r="5589" spans="7:7" x14ac:dyDescent="0.25">
      <c r="G5589" s="21"/>
    </row>
    <row r="5590" spans="7:7" x14ac:dyDescent="0.25">
      <c r="G5590" s="21"/>
    </row>
    <row r="5591" spans="7:7" x14ac:dyDescent="0.25">
      <c r="G5591" s="21"/>
    </row>
    <row r="5592" spans="7:7" x14ac:dyDescent="0.25">
      <c r="G5592" s="21"/>
    </row>
    <row r="5593" spans="7:7" x14ac:dyDescent="0.25">
      <c r="G5593" s="21"/>
    </row>
    <row r="5594" spans="7:7" x14ac:dyDescent="0.25">
      <c r="G5594" s="21"/>
    </row>
    <row r="5595" spans="7:7" x14ac:dyDescent="0.25">
      <c r="G5595" s="21"/>
    </row>
    <row r="5596" spans="7:7" x14ac:dyDescent="0.25">
      <c r="G5596" s="21"/>
    </row>
    <row r="5597" spans="7:7" x14ac:dyDescent="0.25">
      <c r="G5597" s="21"/>
    </row>
    <row r="5598" spans="7:7" x14ac:dyDescent="0.25">
      <c r="G5598" s="21"/>
    </row>
    <row r="5599" spans="7:7" x14ac:dyDescent="0.25">
      <c r="G5599" s="21"/>
    </row>
    <row r="5600" spans="7:7" x14ac:dyDescent="0.25">
      <c r="G5600" s="21"/>
    </row>
    <row r="5601" spans="7:7" x14ac:dyDescent="0.25">
      <c r="G5601" s="21"/>
    </row>
    <row r="5602" spans="7:7" x14ac:dyDescent="0.25">
      <c r="G5602" s="21"/>
    </row>
    <row r="5603" spans="7:7" x14ac:dyDescent="0.25">
      <c r="G5603" s="21"/>
    </row>
    <row r="5604" spans="7:7" x14ac:dyDescent="0.25">
      <c r="G5604" s="21"/>
    </row>
    <row r="5605" spans="7:7" x14ac:dyDescent="0.25">
      <c r="G5605" s="21"/>
    </row>
    <row r="5606" spans="7:7" x14ac:dyDescent="0.25">
      <c r="G5606" s="21"/>
    </row>
    <row r="5607" spans="7:7" x14ac:dyDescent="0.25">
      <c r="G5607" s="21"/>
    </row>
    <row r="5608" spans="7:7" x14ac:dyDescent="0.25">
      <c r="G5608" s="21"/>
    </row>
    <row r="5609" spans="7:7" x14ac:dyDescent="0.25">
      <c r="G5609" s="21"/>
    </row>
    <row r="5610" spans="7:7" x14ac:dyDescent="0.25">
      <c r="G5610" s="21"/>
    </row>
    <row r="5611" spans="7:7" x14ac:dyDescent="0.25">
      <c r="G5611" s="21"/>
    </row>
    <row r="5612" spans="7:7" x14ac:dyDescent="0.25">
      <c r="G5612" s="21"/>
    </row>
    <row r="5613" spans="7:7" x14ac:dyDescent="0.25">
      <c r="G5613" s="21"/>
    </row>
    <row r="5614" spans="7:7" x14ac:dyDescent="0.25">
      <c r="G5614" s="21"/>
    </row>
    <row r="5615" spans="7:7" x14ac:dyDescent="0.25">
      <c r="G5615" s="21"/>
    </row>
    <row r="5616" spans="7:7" x14ac:dyDescent="0.25">
      <c r="G5616" s="21"/>
    </row>
    <row r="5617" spans="7:7" x14ac:dyDescent="0.25">
      <c r="G5617" s="21"/>
    </row>
    <row r="5618" spans="7:7" x14ac:dyDescent="0.25">
      <c r="G5618" s="21"/>
    </row>
    <row r="5619" spans="7:7" x14ac:dyDescent="0.25">
      <c r="G5619" s="21"/>
    </row>
    <row r="5620" spans="7:7" x14ac:dyDescent="0.25">
      <c r="G5620" s="21"/>
    </row>
    <row r="5621" spans="7:7" x14ac:dyDescent="0.25">
      <c r="G5621" s="21"/>
    </row>
    <row r="5622" spans="7:7" x14ac:dyDescent="0.25">
      <c r="G5622" s="21"/>
    </row>
    <row r="5623" spans="7:7" x14ac:dyDescent="0.25">
      <c r="G5623" s="21"/>
    </row>
    <row r="5624" spans="7:7" x14ac:dyDescent="0.25">
      <c r="G5624" s="21"/>
    </row>
    <row r="5625" spans="7:7" x14ac:dyDescent="0.25">
      <c r="G5625" s="21"/>
    </row>
    <row r="5626" spans="7:7" x14ac:dyDescent="0.25">
      <c r="G5626" s="21"/>
    </row>
    <row r="5627" spans="7:7" x14ac:dyDescent="0.25">
      <c r="G5627" s="21"/>
    </row>
    <row r="5628" spans="7:7" x14ac:dyDescent="0.25">
      <c r="G5628" s="21"/>
    </row>
    <row r="5629" spans="7:7" x14ac:dyDescent="0.25">
      <c r="G5629" s="21"/>
    </row>
    <row r="5630" spans="7:7" x14ac:dyDescent="0.25">
      <c r="G5630" s="21"/>
    </row>
    <row r="5631" spans="7:7" x14ac:dyDescent="0.25">
      <c r="G5631" s="21"/>
    </row>
    <row r="5632" spans="7:7" x14ac:dyDescent="0.25">
      <c r="G5632" s="21"/>
    </row>
    <row r="5633" spans="7:7" x14ac:dyDescent="0.25">
      <c r="G5633" s="21"/>
    </row>
    <row r="5634" spans="7:7" x14ac:dyDescent="0.25">
      <c r="G5634" s="21"/>
    </row>
    <row r="5635" spans="7:7" x14ac:dyDescent="0.25">
      <c r="G5635" s="21"/>
    </row>
    <row r="5636" spans="7:7" x14ac:dyDescent="0.25">
      <c r="G5636" s="21"/>
    </row>
    <row r="5637" spans="7:7" x14ac:dyDescent="0.25">
      <c r="G5637" s="21"/>
    </row>
    <row r="5638" spans="7:7" x14ac:dyDescent="0.25">
      <c r="G5638" s="21"/>
    </row>
    <row r="5639" spans="7:7" x14ac:dyDescent="0.25">
      <c r="G5639" s="21"/>
    </row>
    <row r="5640" spans="7:7" x14ac:dyDescent="0.25">
      <c r="G5640" s="21"/>
    </row>
    <row r="5641" spans="7:7" x14ac:dyDescent="0.25">
      <c r="G5641" s="21"/>
    </row>
    <row r="5642" spans="7:7" x14ac:dyDescent="0.25">
      <c r="G5642" s="21"/>
    </row>
    <row r="5643" spans="7:7" x14ac:dyDescent="0.25">
      <c r="G5643" s="21"/>
    </row>
    <row r="5644" spans="7:7" x14ac:dyDescent="0.25">
      <c r="G5644" s="21"/>
    </row>
    <row r="5645" spans="7:7" x14ac:dyDescent="0.25">
      <c r="G5645" s="21"/>
    </row>
    <row r="5646" spans="7:7" x14ac:dyDescent="0.25">
      <c r="G5646" s="21"/>
    </row>
    <row r="5647" spans="7:7" x14ac:dyDescent="0.25">
      <c r="G5647" s="21"/>
    </row>
    <row r="5648" spans="7:7" x14ac:dyDescent="0.25">
      <c r="G5648" s="21"/>
    </row>
    <row r="5649" spans="7:7" x14ac:dyDescent="0.25">
      <c r="G5649" s="21"/>
    </row>
    <row r="5650" spans="7:7" x14ac:dyDescent="0.25">
      <c r="G5650" s="21"/>
    </row>
    <row r="5651" spans="7:7" x14ac:dyDescent="0.25">
      <c r="G5651" s="21"/>
    </row>
    <row r="5652" spans="7:7" x14ac:dyDescent="0.25">
      <c r="G5652" s="21"/>
    </row>
    <row r="5653" spans="7:7" x14ac:dyDescent="0.25">
      <c r="G5653" s="21"/>
    </row>
    <row r="5654" spans="7:7" x14ac:dyDescent="0.25">
      <c r="G5654" s="21"/>
    </row>
    <row r="5655" spans="7:7" x14ac:dyDescent="0.25">
      <c r="G5655" s="21"/>
    </row>
    <row r="5656" spans="7:7" x14ac:dyDescent="0.25">
      <c r="G5656" s="21"/>
    </row>
    <row r="5657" spans="7:7" x14ac:dyDescent="0.25">
      <c r="G5657" s="21"/>
    </row>
    <row r="5658" spans="7:7" x14ac:dyDescent="0.25">
      <c r="G5658" s="21"/>
    </row>
    <row r="5659" spans="7:7" x14ac:dyDescent="0.25">
      <c r="G5659" s="21"/>
    </row>
    <row r="5660" spans="7:7" x14ac:dyDescent="0.25">
      <c r="G5660" s="21"/>
    </row>
    <row r="5661" spans="7:7" x14ac:dyDescent="0.25">
      <c r="G5661" s="21"/>
    </row>
    <row r="5662" spans="7:7" x14ac:dyDescent="0.25">
      <c r="G5662" s="21"/>
    </row>
    <row r="5663" spans="7:7" x14ac:dyDescent="0.25">
      <c r="G5663" s="21"/>
    </row>
    <row r="5664" spans="7:7" x14ac:dyDescent="0.25">
      <c r="G5664" s="21"/>
    </row>
    <row r="5665" spans="7:7" x14ac:dyDescent="0.25">
      <c r="G5665" s="21"/>
    </row>
    <row r="5666" spans="7:7" x14ac:dyDescent="0.25">
      <c r="G5666" s="21"/>
    </row>
    <row r="5667" spans="7:7" x14ac:dyDescent="0.25">
      <c r="G5667" s="21"/>
    </row>
    <row r="5668" spans="7:7" x14ac:dyDescent="0.25">
      <c r="G5668" s="21"/>
    </row>
    <row r="5669" spans="7:7" x14ac:dyDescent="0.25">
      <c r="G5669" s="21"/>
    </row>
    <row r="5670" spans="7:7" x14ac:dyDescent="0.25">
      <c r="G5670" s="21"/>
    </row>
    <row r="5671" spans="7:7" x14ac:dyDescent="0.25">
      <c r="G5671" s="21"/>
    </row>
    <row r="5672" spans="7:7" x14ac:dyDescent="0.25">
      <c r="G5672" s="21"/>
    </row>
    <row r="5673" spans="7:7" x14ac:dyDescent="0.25">
      <c r="G5673" s="21"/>
    </row>
    <row r="5674" spans="7:7" x14ac:dyDescent="0.25">
      <c r="G5674" s="21"/>
    </row>
    <row r="5675" spans="7:7" x14ac:dyDescent="0.25">
      <c r="G5675" s="21"/>
    </row>
    <row r="5676" spans="7:7" x14ac:dyDescent="0.25">
      <c r="G5676" s="21"/>
    </row>
    <row r="5677" spans="7:7" x14ac:dyDescent="0.25">
      <c r="G5677" s="21"/>
    </row>
    <row r="5678" spans="7:7" x14ac:dyDescent="0.25">
      <c r="G5678" s="21"/>
    </row>
    <row r="5679" spans="7:7" x14ac:dyDescent="0.25">
      <c r="G5679" s="21"/>
    </row>
    <row r="5680" spans="7:7" x14ac:dyDescent="0.25">
      <c r="G5680" s="21"/>
    </row>
    <row r="5681" spans="7:7" x14ac:dyDescent="0.25">
      <c r="G5681" s="21"/>
    </row>
    <row r="5682" spans="7:7" x14ac:dyDescent="0.25">
      <c r="G5682" s="21"/>
    </row>
    <row r="5683" spans="7:7" x14ac:dyDescent="0.25">
      <c r="G5683" s="21"/>
    </row>
    <row r="5684" spans="7:7" x14ac:dyDescent="0.25">
      <c r="G5684" s="21"/>
    </row>
    <row r="5685" spans="7:7" x14ac:dyDescent="0.25">
      <c r="G5685" s="21"/>
    </row>
    <row r="5686" spans="7:7" x14ac:dyDescent="0.25">
      <c r="G5686" s="21"/>
    </row>
    <row r="5687" spans="7:7" x14ac:dyDescent="0.25">
      <c r="G5687" s="21"/>
    </row>
    <row r="5688" spans="7:7" x14ac:dyDescent="0.25">
      <c r="G5688" s="21"/>
    </row>
    <row r="5689" spans="7:7" x14ac:dyDescent="0.25">
      <c r="G5689" s="21"/>
    </row>
    <row r="5690" spans="7:7" x14ac:dyDescent="0.25">
      <c r="G5690" s="21"/>
    </row>
    <row r="5691" spans="7:7" x14ac:dyDescent="0.25">
      <c r="G5691" s="21"/>
    </row>
    <row r="5692" spans="7:7" x14ac:dyDescent="0.25">
      <c r="G5692" s="21"/>
    </row>
    <row r="5693" spans="7:7" x14ac:dyDescent="0.25">
      <c r="G5693" s="21"/>
    </row>
    <row r="5694" spans="7:7" x14ac:dyDescent="0.25">
      <c r="G5694" s="21"/>
    </row>
    <row r="5695" spans="7:7" x14ac:dyDescent="0.25">
      <c r="G5695" s="21"/>
    </row>
    <row r="5696" spans="7:7" x14ac:dyDescent="0.25">
      <c r="G5696" s="21"/>
    </row>
    <row r="5697" spans="7:7" x14ac:dyDescent="0.25">
      <c r="G5697" s="21"/>
    </row>
    <row r="5698" spans="7:7" x14ac:dyDescent="0.25">
      <c r="G5698" s="21"/>
    </row>
    <row r="5699" spans="7:7" x14ac:dyDescent="0.25">
      <c r="G5699" s="21"/>
    </row>
    <row r="5700" spans="7:7" x14ac:dyDescent="0.25">
      <c r="G5700" s="21"/>
    </row>
    <row r="5701" spans="7:7" x14ac:dyDescent="0.25">
      <c r="G5701" s="21"/>
    </row>
    <row r="5702" spans="7:7" x14ac:dyDescent="0.25">
      <c r="G5702" s="21"/>
    </row>
    <row r="5703" spans="7:7" x14ac:dyDescent="0.25">
      <c r="G5703" s="21"/>
    </row>
    <row r="5704" spans="7:7" x14ac:dyDescent="0.25">
      <c r="G5704" s="21"/>
    </row>
    <row r="5705" spans="7:7" x14ac:dyDescent="0.25">
      <c r="G5705" s="21"/>
    </row>
    <row r="5706" spans="7:7" x14ac:dyDescent="0.25">
      <c r="G5706" s="21"/>
    </row>
    <row r="5707" spans="7:7" x14ac:dyDescent="0.25">
      <c r="G5707" s="21"/>
    </row>
    <row r="5708" spans="7:7" x14ac:dyDescent="0.25">
      <c r="G5708" s="21"/>
    </row>
    <row r="5709" spans="7:7" x14ac:dyDescent="0.25">
      <c r="G5709" s="21"/>
    </row>
    <row r="5710" spans="7:7" x14ac:dyDescent="0.25">
      <c r="G5710" s="21"/>
    </row>
    <row r="5711" spans="7:7" x14ac:dyDescent="0.25">
      <c r="G5711" s="21"/>
    </row>
    <row r="5712" spans="7:7" x14ac:dyDescent="0.25">
      <c r="G5712" s="21"/>
    </row>
    <row r="5713" spans="7:7" x14ac:dyDescent="0.25">
      <c r="G5713" s="21"/>
    </row>
    <row r="5714" spans="7:7" x14ac:dyDescent="0.25">
      <c r="G5714" s="21"/>
    </row>
    <row r="5715" spans="7:7" x14ac:dyDescent="0.25">
      <c r="G5715" s="21"/>
    </row>
    <row r="5716" spans="7:7" x14ac:dyDescent="0.25">
      <c r="G5716" s="21"/>
    </row>
    <row r="5717" spans="7:7" x14ac:dyDescent="0.25">
      <c r="G5717" s="21"/>
    </row>
    <row r="5718" spans="7:7" x14ac:dyDescent="0.25">
      <c r="G5718" s="21"/>
    </row>
    <row r="5719" spans="7:7" x14ac:dyDescent="0.25">
      <c r="G5719" s="21"/>
    </row>
    <row r="5720" spans="7:7" x14ac:dyDescent="0.25">
      <c r="G5720" s="21"/>
    </row>
    <row r="5721" spans="7:7" x14ac:dyDescent="0.25">
      <c r="G5721" s="21"/>
    </row>
    <row r="5722" spans="7:7" x14ac:dyDescent="0.25">
      <c r="G5722" s="21"/>
    </row>
    <row r="5723" spans="7:7" x14ac:dyDescent="0.25">
      <c r="G5723" s="21"/>
    </row>
    <row r="5724" spans="7:7" x14ac:dyDescent="0.25">
      <c r="G5724" s="21"/>
    </row>
    <row r="5725" spans="7:7" x14ac:dyDescent="0.25">
      <c r="G5725" s="21"/>
    </row>
    <row r="5726" spans="7:7" x14ac:dyDescent="0.25">
      <c r="G5726" s="21"/>
    </row>
    <row r="5727" spans="7:7" x14ac:dyDescent="0.25">
      <c r="G5727" s="21"/>
    </row>
    <row r="5728" spans="7:7" x14ac:dyDescent="0.25">
      <c r="G5728" s="21"/>
    </row>
    <row r="5729" spans="7:7" x14ac:dyDescent="0.25">
      <c r="G5729" s="21"/>
    </row>
    <row r="5730" spans="7:7" x14ac:dyDescent="0.25">
      <c r="G5730" s="21"/>
    </row>
    <row r="5731" spans="7:7" x14ac:dyDescent="0.25">
      <c r="G5731" s="21"/>
    </row>
    <row r="5732" spans="7:7" x14ac:dyDescent="0.25">
      <c r="G5732" s="21"/>
    </row>
    <row r="5733" spans="7:7" x14ac:dyDescent="0.25">
      <c r="G5733" s="21"/>
    </row>
    <row r="5734" spans="7:7" x14ac:dyDescent="0.25">
      <c r="G5734" s="21"/>
    </row>
    <row r="5735" spans="7:7" x14ac:dyDescent="0.25">
      <c r="G5735" s="21"/>
    </row>
    <row r="5736" spans="7:7" x14ac:dyDescent="0.25">
      <c r="G5736" s="21"/>
    </row>
    <row r="5737" spans="7:7" x14ac:dyDescent="0.25">
      <c r="G5737" s="21"/>
    </row>
    <row r="5738" spans="7:7" x14ac:dyDescent="0.25">
      <c r="G5738" s="21"/>
    </row>
    <row r="5739" spans="7:7" x14ac:dyDescent="0.25">
      <c r="G5739" s="21"/>
    </row>
    <row r="5740" spans="7:7" x14ac:dyDescent="0.25">
      <c r="G5740" s="21"/>
    </row>
    <row r="5741" spans="7:7" x14ac:dyDescent="0.25">
      <c r="G5741" s="21"/>
    </row>
    <row r="5742" spans="7:7" x14ac:dyDescent="0.25">
      <c r="G5742" s="21"/>
    </row>
    <row r="5743" spans="7:7" x14ac:dyDescent="0.25">
      <c r="G5743" s="21"/>
    </row>
    <row r="5744" spans="7:7" x14ac:dyDescent="0.25">
      <c r="G5744" s="21"/>
    </row>
    <row r="5745" spans="7:7" x14ac:dyDescent="0.25">
      <c r="G5745" s="21"/>
    </row>
    <row r="5746" spans="7:7" x14ac:dyDescent="0.25">
      <c r="G5746" s="21"/>
    </row>
    <row r="5747" spans="7:7" x14ac:dyDescent="0.25">
      <c r="G5747" s="21"/>
    </row>
    <row r="5748" spans="7:7" x14ac:dyDescent="0.25">
      <c r="G5748" s="21"/>
    </row>
    <row r="5749" spans="7:7" x14ac:dyDescent="0.25">
      <c r="G5749" s="21"/>
    </row>
    <row r="5750" spans="7:7" x14ac:dyDescent="0.25">
      <c r="G5750" s="21"/>
    </row>
    <row r="5751" spans="7:7" x14ac:dyDescent="0.25">
      <c r="G5751" s="21"/>
    </row>
    <row r="5752" spans="7:7" x14ac:dyDescent="0.25">
      <c r="G5752" s="21"/>
    </row>
    <row r="5753" spans="7:7" x14ac:dyDescent="0.25">
      <c r="G5753" s="21"/>
    </row>
    <row r="5754" spans="7:7" x14ac:dyDescent="0.25">
      <c r="G5754" s="21"/>
    </row>
    <row r="5755" spans="7:7" x14ac:dyDescent="0.25">
      <c r="G5755" s="21"/>
    </row>
    <row r="5756" spans="7:7" x14ac:dyDescent="0.25">
      <c r="G5756" s="21"/>
    </row>
    <row r="5757" spans="7:7" x14ac:dyDescent="0.25">
      <c r="G5757" s="21"/>
    </row>
    <row r="5758" spans="7:7" x14ac:dyDescent="0.25">
      <c r="G5758" s="21"/>
    </row>
    <row r="5759" spans="7:7" x14ac:dyDescent="0.25">
      <c r="G5759" s="21"/>
    </row>
    <row r="5760" spans="7:7" x14ac:dyDescent="0.25">
      <c r="G5760" s="21"/>
    </row>
    <row r="5761" spans="7:7" x14ac:dyDescent="0.25">
      <c r="G5761" s="21"/>
    </row>
    <row r="5762" spans="7:7" x14ac:dyDescent="0.25">
      <c r="G5762" s="21"/>
    </row>
    <row r="5763" spans="7:7" x14ac:dyDescent="0.25">
      <c r="G5763" s="21"/>
    </row>
    <row r="5764" spans="7:7" x14ac:dyDescent="0.25">
      <c r="G5764" s="21"/>
    </row>
    <row r="5765" spans="7:7" x14ac:dyDescent="0.25">
      <c r="G5765" s="21"/>
    </row>
    <row r="5766" spans="7:7" x14ac:dyDescent="0.25">
      <c r="G5766" s="21"/>
    </row>
    <row r="5767" spans="7:7" x14ac:dyDescent="0.25">
      <c r="G5767" s="21"/>
    </row>
    <row r="5768" spans="7:7" x14ac:dyDescent="0.25">
      <c r="G5768" s="21"/>
    </row>
    <row r="5769" spans="7:7" x14ac:dyDescent="0.25">
      <c r="G5769" s="21"/>
    </row>
    <row r="5770" spans="7:7" x14ac:dyDescent="0.25">
      <c r="G5770" s="21"/>
    </row>
    <row r="5771" spans="7:7" x14ac:dyDescent="0.25">
      <c r="G5771" s="21"/>
    </row>
    <row r="5772" spans="7:7" x14ac:dyDescent="0.25">
      <c r="G5772" s="21"/>
    </row>
    <row r="5773" spans="7:7" x14ac:dyDescent="0.25">
      <c r="G5773" s="21"/>
    </row>
    <row r="5774" spans="7:7" x14ac:dyDescent="0.25">
      <c r="G5774" s="21"/>
    </row>
    <row r="5775" spans="7:7" x14ac:dyDescent="0.25">
      <c r="G5775" s="21"/>
    </row>
    <row r="5776" spans="7:7" x14ac:dyDescent="0.25">
      <c r="G5776" s="21"/>
    </row>
    <row r="5777" spans="7:7" x14ac:dyDescent="0.25">
      <c r="G5777" s="21"/>
    </row>
    <row r="5778" spans="7:7" x14ac:dyDescent="0.25">
      <c r="G5778" s="21"/>
    </row>
    <row r="5779" spans="7:7" x14ac:dyDescent="0.25">
      <c r="G5779" s="21"/>
    </row>
    <row r="5780" spans="7:7" x14ac:dyDescent="0.25">
      <c r="G5780" s="21"/>
    </row>
    <row r="5781" spans="7:7" x14ac:dyDescent="0.25">
      <c r="G5781" s="21"/>
    </row>
    <row r="5782" spans="7:7" x14ac:dyDescent="0.25">
      <c r="G5782" s="21"/>
    </row>
    <row r="5783" spans="7:7" x14ac:dyDescent="0.25">
      <c r="G5783" s="21"/>
    </row>
    <row r="5784" spans="7:7" x14ac:dyDescent="0.25">
      <c r="G5784" s="21"/>
    </row>
    <row r="5785" spans="7:7" x14ac:dyDescent="0.25">
      <c r="G5785" s="21"/>
    </row>
    <row r="5786" spans="7:7" x14ac:dyDescent="0.25">
      <c r="G5786" s="21"/>
    </row>
    <row r="5787" spans="7:7" x14ac:dyDescent="0.25">
      <c r="G5787" s="21"/>
    </row>
    <row r="5788" spans="7:7" x14ac:dyDescent="0.25">
      <c r="G5788" s="21"/>
    </row>
    <row r="5789" spans="7:7" x14ac:dyDescent="0.25">
      <c r="G5789" s="21"/>
    </row>
    <row r="5790" spans="7:7" x14ac:dyDescent="0.25">
      <c r="G5790" s="21"/>
    </row>
    <row r="5791" spans="7:7" x14ac:dyDescent="0.25">
      <c r="G5791" s="21"/>
    </row>
    <row r="5792" spans="7:7" x14ac:dyDescent="0.25">
      <c r="G5792" s="21"/>
    </row>
    <row r="5793" spans="7:7" x14ac:dyDescent="0.25">
      <c r="G5793" s="21"/>
    </row>
    <row r="5794" spans="7:7" x14ac:dyDescent="0.25">
      <c r="G5794" s="21"/>
    </row>
    <row r="5795" spans="7:7" x14ac:dyDescent="0.25">
      <c r="G5795" s="21"/>
    </row>
    <row r="5796" spans="7:7" x14ac:dyDescent="0.25">
      <c r="G5796" s="21"/>
    </row>
    <row r="5797" spans="7:7" x14ac:dyDescent="0.25">
      <c r="G5797" s="21"/>
    </row>
    <row r="5798" spans="7:7" x14ac:dyDescent="0.25">
      <c r="G5798" s="21"/>
    </row>
    <row r="5799" spans="7:7" x14ac:dyDescent="0.25">
      <c r="G5799" s="21"/>
    </row>
    <row r="5800" spans="7:7" x14ac:dyDescent="0.25">
      <c r="G5800" s="21"/>
    </row>
    <row r="5801" spans="7:7" x14ac:dyDescent="0.25">
      <c r="G5801" s="21"/>
    </row>
    <row r="5802" spans="7:7" x14ac:dyDescent="0.25">
      <c r="G5802" s="21"/>
    </row>
    <row r="5803" spans="7:7" x14ac:dyDescent="0.25">
      <c r="G5803" s="21"/>
    </row>
    <row r="5804" spans="7:7" x14ac:dyDescent="0.25">
      <c r="G5804" s="21"/>
    </row>
    <row r="5805" spans="7:7" x14ac:dyDescent="0.25">
      <c r="G5805" s="21"/>
    </row>
    <row r="5806" spans="7:7" x14ac:dyDescent="0.25">
      <c r="G5806" s="21"/>
    </row>
    <row r="5807" spans="7:7" x14ac:dyDescent="0.25">
      <c r="G5807" s="21"/>
    </row>
    <row r="5808" spans="7:7" x14ac:dyDescent="0.25">
      <c r="G5808" s="21"/>
    </row>
    <row r="5809" spans="7:7" x14ac:dyDescent="0.25">
      <c r="G5809" s="21"/>
    </row>
    <row r="5810" spans="7:7" x14ac:dyDescent="0.25">
      <c r="G5810" s="21"/>
    </row>
    <row r="5811" spans="7:7" x14ac:dyDescent="0.25">
      <c r="G5811" s="21"/>
    </row>
    <row r="5812" spans="7:7" x14ac:dyDescent="0.25">
      <c r="G5812" s="21"/>
    </row>
    <row r="5813" spans="7:7" x14ac:dyDescent="0.25">
      <c r="G5813" s="21"/>
    </row>
    <row r="5814" spans="7:7" x14ac:dyDescent="0.25">
      <c r="G5814" s="21"/>
    </row>
    <row r="5815" spans="7:7" x14ac:dyDescent="0.25">
      <c r="G5815" s="21"/>
    </row>
    <row r="5816" spans="7:7" x14ac:dyDescent="0.25">
      <c r="G5816" s="21"/>
    </row>
    <row r="5817" spans="7:7" x14ac:dyDescent="0.25">
      <c r="G5817" s="21"/>
    </row>
    <row r="5818" spans="7:7" x14ac:dyDescent="0.25">
      <c r="G5818" s="21"/>
    </row>
    <row r="5819" spans="7:7" x14ac:dyDescent="0.25">
      <c r="G5819" s="21"/>
    </row>
    <row r="5820" spans="7:7" x14ac:dyDescent="0.25">
      <c r="G5820" s="21"/>
    </row>
    <row r="5821" spans="7:7" x14ac:dyDescent="0.25">
      <c r="G5821" s="21"/>
    </row>
    <row r="5822" spans="7:7" x14ac:dyDescent="0.25">
      <c r="G5822" s="21"/>
    </row>
    <row r="5823" spans="7:7" x14ac:dyDescent="0.25">
      <c r="G5823" s="21"/>
    </row>
    <row r="5824" spans="7:7" x14ac:dyDescent="0.25">
      <c r="G5824" s="21"/>
    </row>
    <row r="5825" spans="7:7" x14ac:dyDescent="0.25">
      <c r="G5825" s="21"/>
    </row>
    <row r="5826" spans="7:7" x14ac:dyDescent="0.25">
      <c r="G5826" s="21"/>
    </row>
    <row r="5827" spans="7:7" x14ac:dyDescent="0.25">
      <c r="G5827" s="21"/>
    </row>
    <row r="5828" spans="7:7" x14ac:dyDescent="0.25">
      <c r="G5828" s="21"/>
    </row>
    <row r="5829" spans="7:7" x14ac:dyDescent="0.25">
      <c r="G5829" s="21"/>
    </row>
    <row r="5830" spans="7:7" x14ac:dyDescent="0.25">
      <c r="G5830" s="21"/>
    </row>
    <row r="5831" spans="7:7" x14ac:dyDescent="0.25">
      <c r="G5831" s="21"/>
    </row>
    <row r="5832" spans="7:7" x14ac:dyDescent="0.25">
      <c r="G5832" s="21"/>
    </row>
    <row r="5833" spans="7:7" x14ac:dyDescent="0.25">
      <c r="G5833" s="21"/>
    </row>
    <row r="5834" spans="7:7" x14ac:dyDescent="0.25">
      <c r="G5834" s="21"/>
    </row>
    <row r="5835" spans="7:7" x14ac:dyDescent="0.25">
      <c r="G5835" s="21"/>
    </row>
    <row r="5836" spans="7:7" x14ac:dyDescent="0.25">
      <c r="G5836" s="21"/>
    </row>
    <row r="5837" spans="7:7" x14ac:dyDescent="0.25">
      <c r="G5837" s="21"/>
    </row>
    <row r="5838" spans="7:7" x14ac:dyDescent="0.25">
      <c r="G5838" s="21"/>
    </row>
    <row r="5839" spans="7:7" x14ac:dyDescent="0.25">
      <c r="G5839" s="21"/>
    </row>
    <row r="5840" spans="7:7" x14ac:dyDescent="0.25">
      <c r="G5840" s="21"/>
    </row>
    <row r="5841" spans="7:7" x14ac:dyDescent="0.25">
      <c r="G5841" s="21"/>
    </row>
    <row r="5842" spans="7:7" x14ac:dyDescent="0.25">
      <c r="G5842" s="21"/>
    </row>
    <row r="5843" spans="7:7" x14ac:dyDescent="0.25">
      <c r="G5843" s="21"/>
    </row>
    <row r="5844" spans="7:7" x14ac:dyDescent="0.25">
      <c r="G5844" s="21"/>
    </row>
    <row r="5845" spans="7:7" x14ac:dyDescent="0.25">
      <c r="G5845" s="21"/>
    </row>
    <row r="5846" spans="7:7" x14ac:dyDescent="0.25">
      <c r="G5846" s="21"/>
    </row>
    <row r="5847" spans="7:7" x14ac:dyDescent="0.25">
      <c r="G5847" s="21"/>
    </row>
    <row r="5848" spans="7:7" x14ac:dyDescent="0.25">
      <c r="G5848" s="21"/>
    </row>
    <row r="5849" spans="7:7" x14ac:dyDescent="0.25">
      <c r="G5849" s="21"/>
    </row>
    <row r="5850" spans="7:7" x14ac:dyDescent="0.25">
      <c r="G5850" s="21"/>
    </row>
    <row r="5851" spans="7:7" x14ac:dyDescent="0.25">
      <c r="G5851" s="21"/>
    </row>
    <row r="5852" spans="7:7" x14ac:dyDescent="0.25">
      <c r="G5852" s="21"/>
    </row>
    <row r="5853" spans="7:7" x14ac:dyDescent="0.25">
      <c r="G5853" s="21"/>
    </row>
    <row r="5854" spans="7:7" x14ac:dyDescent="0.25">
      <c r="G5854" s="21"/>
    </row>
    <row r="5855" spans="7:7" x14ac:dyDescent="0.25">
      <c r="G5855" s="21"/>
    </row>
    <row r="5856" spans="7:7" x14ac:dyDescent="0.25">
      <c r="G5856" s="21"/>
    </row>
    <row r="5857" spans="7:7" x14ac:dyDescent="0.25">
      <c r="G5857" s="21"/>
    </row>
    <row r="5858" spans="7:7" x14ac:dyDescent="0.25">
      <c r="G5858" s="21"/>
    </row>
    <row r="5859" spans="7:7" x14ac:dyDescent="0.25">
      <c r="G5859" s="21"/>
    </row>
    <row r="5860" spans="7:7" x14ac:dyDescent="0.25">
      <c r="G5860" s="21"/>
    </row>
    <row r="5861" spans="7:7" x14ac:dyDescent="0.25">
      <c r="G5861" s="21"/>
    </row>
    <row r="5862" spans="7:7" x14ac:dyDescent="0.25">
      <c r="G5862" s="21"/>
    </row>
    <row r="5863" spans="7:7" x14ac:dyDescent="0.25">
      <c r="G5863" s="21"/>
    </row>
    <row r="5864" spans="7:7" x14ac:dyDescent="0.25">
      <c r="G5864" s="21"/>
    </row>
    <row r="5865" spans="7:7" x14ac:dyDescent="0.25">
      <c r="G5865" s="21"/>
    </row>
    <row r="5866" spans="7:7" x14ac:dyDescent="0.25">
      <c r="G5866" s="21"/>
    </row>
    <row r="5867" spans="7:7" x14ac:dyDescent="0.25">
      <c r="G5867" s="21"/>
    </row>
    <row r="5868" spans="7:7" x14ac:dyDescent="0.25">
      <c r="G5868" s="21"/>
    </row>
    <row r="5869" spans="7:7" x14ac:dyDescent="0.25">
      <c r="G5869" s="21"/>
    </row>
    <row r="5870" spans="7:7" x14ac:dyDescent="0.25">
      <c r="G5870" s="21"/>
    </row>
    <row r="5871" spans="7:7" x14ac:dyDescent="0.25">
      <c r="G5871" s="21"/>
    </row>
    <row r="5872" spans="7:7" x14ac:dyDescent="0.25">
      <c r="G5872" s="21"/>
    </row>
    <row r="5873" spans="7:7" x14ac:dyDescent="0.25">
      <c r="G5873" s="21"/>
    </row>
    <row r="5874" spans="7:7" x14ac:dyDescent="0.25">
      <c r="G5874" s="21"/>
    </row>
    <row r="5875" spans="7:7" x14ac:dyDescent="0.25">
      <c r="G5875" s="21"/>
    </row>
    <row r="5876" spans="7:7" x14ac:dyDescent="0.25">
      <c r="G5876" s="21"/>
    </row>
    <row r="5877" spans="7:7" x14ac:dyDescent="0.25">
      <c r="G5877" s="21"/>
    </row>
    <row r="5878" spans="7:7" x14ac:dyDescent="0.25">
      <c r="G5878" s="21"/>
    </row>
    <row r="5879" spans="7:7" x14ac:dyDescent="0.25">
      <c r="G5879" s="21"/>
    </row>
    <row r="5880" spans="7:7" x14ac:dyDescent="0.25">
      <c r="G5880" s="21"/>
    </row>
    <row r="5881" spans="7:7" x14ac:dyDescent="0.25">
      <c r="G5881" s="21"/>
    </row>
    <row r="5882" spans="7:7" x14ac:dyDescent="0.25">
      <c r="G5882" s="21"/>
    </row>
    <row r="5883" spans="7:7" x14ac:dyDescent="0.25">
      <c r="G5883" s="21"/>
    </row>
    <row r="5884" spans="7:7" x14ac:dyDescent="0.25">
      <c r="G5884" s="21"/>
    </row>
    <row r="5885" spans="7:7" x14ac:dyDescent="0.25">
      <c r="G5885" s="21"/>
    </row>
    <row r="5886" spans="7:7" x14ac:dyDescent="0.25">
      <c r="G5886" s="21"/>
    </row>
    <row r="5887" spans="7:7" x14ac:dyDescent="0.25">
      <c r="G5887" s="21"/>
    </row>
    <row r="5888" spans="7:7" x14ac:dyDescent="0.25">
      <c r="G5888" s="21"/>
    </row>
    <row r="5889" spans="7:7" x14ac:dyDescent="0.25">
      <c r="G5889" s="21"/>
    </row>
    <row r="5890" spans="7:7" x14ac:dyDescent="0.25">
      <c r="G5890" s="21"/>
    </row>
    <row r="5891" spans="7:7" x14ac:dyDescent="0.25">
      <c r="G5891" s="21"/>
    </row>
    <row r="5892" spans="7:7" x14ac:dyDescent="0.25">
      <c r="G5892" s="21"/>
    </row>
    <row r="5893" spans="7:7" x14ac:dyDescent="0.25">
      <c r="G5893" s="21"/>
    </row>
    <row r="5894" spans="7:7" x14ac:dyDescent="0.25">
      <c r="G5894" s="21"/>
    </row>
    <row r="5895" spans="7:7" x14ac:dyDescent="0.25">
      <c r="G5895" s="21"/>
    </row>
    <row r="5896" spans="7:7" x14ac:dyDescent="0.25">
      <c r="G5896" s="21"/>
    </row>
    <row r="5897" spans="7:7" x14ac:dyDescent="0.25">
      <c r="G5897" s="21"/>
    </row>
    <row r="5898" spans="7:7" x14ac:dyDescent="0.25">
      <c r="G5898" s="21"/>
    </row>
    <row r="5899" spans="7:7" x14ac:dyDescent="0.25">
      <c r="G5899" s="21"/>
    </row>
    <row r="5900" spans="7:7" x14ac:dyDescent="0.25">
      <c r="G5900" s="21"/>
    </row>
    <row r="5901" spans="7:7" x14ac:dyDescent="0.25">
      <c r="G5901" s="21"/>
    </row>
    <row r="5902" spans="7:7" x14ac:dyDescent="0.25">
      <c r="G5902" s="21"/>
    </row>
    <row r="5903" spans="7:7" x14ac:dyDescent="0.25">
      <c r="G5903" s="21"/>
    </row>
    <row r="5904" spans="7:7" x14ac:dyDescent="0.25">
      <c r="G5904" s="21"/>
    </row>
    <row r="5905" spans="7:7" x14ac:dyDescent="0.25">
      <c r="G5905" s="21"/>
    </row>
    <row r="5906" spans="7:7" x14ac:dyDescent="0.25">
      <c r="G5906" s="21"/>
    </row>
    <row r="5907" spans="7:7" x14ac:dyDescent="0.25">
      <c r="G5907" s="21"/>
    </row>
    <row r="5908" spans="7:7" x14ac:dyDescent="0.25">
      <c r="G5908" s="21"/>
    </row>
    <row r="5909" spans="7:7" x14ac:dyDescent="0.25">
      <c r="G5909" s="21"/>
    </row>
    <row r="5910" spans="7:7" x14ac:dyDescent="0.25">
      <c r="G5910" s="21"/>
    </row>
    <row r="5911" spans="7:7" x14ac:dyDescent="0.25">
      <c r="G5911" s="21"/>
    </row>
    <row r="5912" spans="7:7" x14ac:dyDescent="0.25">
      <c r="G5912" s="21"/>
    </row>
    <row r="5913" spans="7:7" x14ac:dyDescent="0.25">
      <c r="G5913" s="21"/>
    </row>
    <row r="5914" spans="7:7" x14ac:dyDescent="0.25">
      <c r="G5914" s="21"/>
    </row>
    <row r="5915" spans="7:7" x14ac:dyDescent="0.25">
      <c r="G5915" s="21"/>
    </row>
    <row r="5916" spans="7:7" x14ac:dyDescent="0.25">
      <c r="G5916" s="21"/>
    </row>
    <row r="5917" spans="7:7" x14ac:dyDescent="0.25">
      <c r="G5917" s="21"/>
    </row>
    <row r="5918" spans="7:7" x14ac:dyDescent="0.25">
      <c r="G5918" s="21"/>
    </row>
    <row r="5919" spans="7:7" x14ac:dyDescent="0.25">
      <c r="G5919" s="21"/>
    </row>
    <row r="5920" spans="7:7" x14ac:dyDescent="0.25">
      <c r="G5920" s="21"/>
    </row>
    <row r="5921" spans="7:7" x14ac:dyDescent="0.25">
      <c r="G5921" s="21"/>
    </row>
    <row r="5922" spans="7:7" x14ac:dyDescent="0.25">
      <c r="G5922" s="21"/>
    </row>
    <row r="5923" spans="7:7" x14ac:dyDescent="0.25">
      <c r="G5923" s="21"/>
    </row>
    <row r="5924" spans="7:7" x14ac:dyDescent="0.25">
      <c r="G5924" s="21"/>
    </row>
    <row r="5925" spans="7:7" x14ac:dyDescent="0.25">
      <c r="G5925" s="21"/>
    </row>
    <row r="5926" spans="7:7" x14ac:dyDescent="0.25">
      <c r="G5926" s="21"/>
    </row>
    <row r="5927" spans="7:7" x14ac:dyDescent="0.25">
      <c r="G5927" s="21"/>
    </row>
    <row r="5928" spans="7:7" x14ac:dyDescent="0.25">
      <c r="G5928" s="21"/>
    </row>
    <row r="5929" spans="7:7" x14ac:dyDescent="0.25">
      <c r="G5929" s="21"/>
    </row>
    <row r="5930" spans="7:7" x14ac:dyDescent="0.25">
      <c r="G5930" s="21"/>
    </row>
    <row r="5931" spans="7:7" x14ac:dyDescent="0.25">
      <c r="G5931" s="21"/>
    </row>
    <row r="5932" spans="7:7" x14ac:dyDescent="0.25">
      <c r="G5932" s="21"/>
    </row>
    <row r="5933" spans="7:7" x14ac:dyDescent="0.25">
      <c r="G5933" s="21"/>
    </row>
    <row r="5934" spans="7:7" x14ac:dyDescent="0.25">
      <c r="G5934" s="21"/>
    </row>
    <row r="5935" spans="7:7" x14ac:dyDescent="0.25">
      <c r="G5935" s="21"/>
    </row>
    <row r="5936" spans="7:7" x14ac:dyDescent="0.25">
      <c r="G5936" s="21"/>
    </row>
    <row r="5937" spans="7:7" x14ac:dyDescent="0.25">
      <c r="G5937" s="21"/>
    </row>
    <row r="5938" spans="7:7" x14ac:dyDescent="0.25">
      <c r="G5938" s="21"/>
    </row>
    <row r="5939" spans="7:7" x14ac:dyDescent="0.25">
      <c r="G5939" s="21"/>
    </row>
    <row r="5940" spans="7:7" x14ac:dyDescent="0.25">
      <c r="G5940" s="21"/>
    </row>
    <row r="5941" spans="7:7" x14ac:dyDescent="0.25">
      <c r="G5941" s="21"/>
    </row>
    <row r="5942" spans="7:7" x14ac:dyDescent="0.25">
      <c r="G5942" s="21"/>
    </row>
    <row r="5943" spans="7:7" x14ac:dyDescent="0.25">
      <c r="G5943" s="21"/>
    </row>
    <row r="5944" spans="7:7" x14ac:dyDescent="0.25">
      <c r="G5944" s="21"/>
    </row>
    <row r="5945" spans="7:7" x14ac:dyDescent="0.25">
      <c r="G5945" s="21"/>
    </row>
    <row r="5946" spans="7:7" x14ac:dyDescent="0.25">
      <c r="G5946" s="21"/>
    </row>
    <row r="5947" spans="7:7" x14ac:dyDescent="0.25">
      <c r="G5947" s="21"/>
    </row>
    <row r="5948" spans="7:7" x14ac:dyDescent="0.25">
      <c r="G5948" s="21"/>
    </row>
    <row r="5949" spans="7:7" x14ac:dyDescent="0.25">
      <c r="G5949" s="21"/>
    </row>
    <row r="5950" spans="7:7" x14ac:dyDescent="0.25">
      <c r="G5950" s="21"/>
    </row>
    <row r="5951" spans="7:7" x14ac:dyDescent="0.25">
      <c r="G5951" s="21"/>
    </row>
    <row r="5952" spans="7:7" x14ac:dyDescent="0.25">
      <c r="G5952" s="21"/>
    </row>
    <row r="5953" spans="7:7" x14ac:dyDescent="0.25">
      <c r="G5953" s="21"/>
    </row>
    <row r="5954" spans="7:7" x14ac:dyDescent="0.25">
      <c r="G5954" s="21"/>
    </row>
    <row r="5955" spans="7:7" x14ac:dyDescent="0.25">
      <c r="G5955" s="21"/>
    </row>
    <row r="5956" spans="7:7" x14ac:dyDescent="0.25">
      <c r="G5956" s="21"/>
    </row>
    <row r="5957" spans="7:7" x14ac:dyDescent="0.25">
      <c r="G5957" s="21"/>
    </row>
    <row r="5958" spans="7:7" x14ac:dyDescent="0.25">
      <c r="G5958" s="21"/>
    </row>
    <row r="5959" spans="7:7" x14ac:dyDescent="0.25">
      <c r="G5959" s="21"/>
    </row>
    <row r="5960" spans="7:7" x14ac:dyDescent="0.25">
      <c r="G5960" s="21"/>
    </row>
    <row r="5961" spans="7:7" x14ac:dyDescent="0.25">
      <c r="G5961" s="21"/>
    </row>
    <row r="5962" spans="7:7" x14ac:dyDescent="0.25">
      <c r="G5962" s="21"/>
    </row>
    <row r="5963" spans="7:7" x14ac:dyDescent="0.25">
      <c r="G5963" s="21"/>
    </row>
    <row r="5964" spans="7:7" x14ac:dyDescent="0.25">
      <c r="G5964" s="21"/>
    </row>
    <row r="5965" spans="7:7" x14ac:dyDescent="0.25">
      <c r="G5965" s="21"/>
    </row>
    <row r="5966" spans="7:7" x14ac:dyDescent="0.25">
      <c r="G5966" s="21"/>
    </row>
    <row r="5967" spans="7:7" x14ac:dyDescent="0.25">
      <c r="G5967" s="21"/>
    </row>
    <row r="5968" spans="7:7" x14ac:dyDescent="0.25">
      <c r="G5968" s="21"/>
    </row>
    <row r="5969" spans="7:7" x14ac:dyDescent="0.25">
      <c r="G5969" s="21"/>
    </row>
    <row r="5970" spans="7:7" x14ac:dyDescent="0.25">
      <c r="G5970" s="21"/>
    </row>
    <row r="5971" spans="7:7" x14ac:dyDescent="0.25">
      <c r="G5971" s="21"/>
    </row>
    <row r="5972" spans="7:7" x14ac:dyDescent="0.25">
      <c r="G5972" s="21"/>
    </row>
    <row r="5973" spans="7:7" x14ac:dyDescent="0.25">
      <c r="G5973" s="21"/>
    </row>
    <row r="5974" spans="7:7" x14ac:dyDescent="0.25">
      <c r="G5974" s="21"/>
    </row>
    <row r="5975" spans="7:7" x14ac:dyDescent="0.25">
      <c r="G5975" s="21"/>
    </row>
    <row r="5976" spans="7:7" x14ac:dyDescent="0.25">
      <c r="G5976" s="21"/>
    </row>
    <row r="5977" spans="7:7" x14ac:dyDescent="0.25">
      <c r="G5977" s="21"/>
    </row>
    <row r="5978" spans="7:7" x14ac:dyDescent="0.25">
      <c r="G5978" s="21"/>
    </row>
    <row r="5979" spans="7:7" x14ac:dyDescent="0.25">
      <c r="G5979" s="21"/>
    </row>
    <row r="5980" spans="7:7" x14ac:dyDescent="0.25">
      <c r="G5980" s="21"/>
    </row>
    <row r="5981" spans="7:7" x14ac:dyDescent="0.25">
      <c r="G5981" s="21"/>
    </row>
    <row r="5982" spans="7:7" x14ac:dyDescent="0.25">
      <c r="G5982" s="21"/>
    </row>
    <row r="5983" spans="7:7" x14ac:dyDescent="0.25">
      <c r="G5983" s="21"/>
    </row>
    <row r="5984" spans="7:7" x14ac:dyDescent="0.25">
      <c r="G5984" s="21"/>
    </row>
    <row r="5985" spans="7:7" x14ac:dyDescent="0.25">
      <c r="G5985" s="21"/>
    </row>
    <row r="5986" spans="7:7" x14ac:dyDescent="0.25">
      <c r="G5986" s="21"/>
    </row>
    <row r="5987" spans="7:7" x14ac:dyDescent="0.25">
      <c r="G5987" s="21"/>
    </row>
    <row r="5988" spans="7:7" x14ac:dyDescent="0.25">
      <c r="G5988" s="21"/>
    </row>
    <row r="5989" spans="7:7" x14ac:dyDescent="0.25">
      <c r="G5989" s="21"/>
    </row>
    <row r="5990" spans="7:7" x14ac:dyDescent="0.25">
      <c r="G5990" s="21"/>
    </row>
    <row r="5991" spans="7:7" x14ac:dyDescent="0.25">
      <c r="G5991" s="21"/>
    </row>
    <row r="5992" spans="7:7" x14ac:dyDescent="0.25">
      <c r="G5992" s="21"/>
    </row>
    <row r="5993" spans="7:7" x14ac:dyDescent="0.25">
      <c r="G5993" s="21"/>
    </row>
    <row r="5994" spans="7:7" x14ac:dyDescent="0.25">
      <c r="G5994" s="21"/>
    </row>
    <row r="5995" spans="7:7" x14ac:dyDescent="0.25">
      <c r="G5995" s="21"/>
    </row>
    <row r="5996" spans="7:7" x14ac:dyDescent="0.25">
      <c r="G5996" s="21"/>
    </row>
    <row r="5997" spans="7:7" x14ac:dyDescent="0.25">
      <c r="G5997" s="21"/>
    </row>
    <row r="5998" spans="7:7" x14ac:dyDescent="0.25">
      <c r="G5998" s="21"/>
    </row>
    <row r="5999" spans="7:7" x14ac:dyDescent="0.25">
      <c r="G5999" s="21"/>
    </row>
    <row r="6000" spans="7:7" x14ac:dyDescent="0.25">
      <c r="G6000" s="21"/>
    </row>
    <row r="6001" spans="7:7" x14ac:dyDescent="0.25">
      <c r="G6001" s="21"/>
    </row>
    <row r="6002" spans="7:7" x14ac:dyDescent="0.25">
      <c r="G6002" s="21"/>
    </row>
    <row r="6003" spans="7:7" x14ac:dyDescent="0.25">
      <c r="G6003" s="21"/>
    </row>
    <row r="6004" spans="7:7" x14ac:dyDescent="0.25">
      <c r="G6004" s="21"/>
    </row>
    <row r="6005" spans="7:7" x14ac:dyDescent="0.25">
      <c r="G6005" s="21"/>
    </row>
    <row r="6006" spans="7:7" x14ac:dyDescent="0.25">
      <c r="G6006" s="21"/>
    </row>
    <row r="6007" spans="7:7" x14ac:dyDescent="0.25">
      <c r="G6007" s="21"/>
    </row>
    <row r="6008" spans="7:7" x14ac:dyDescent="0.25">
      <c r="G6008" s="21"/>
    </row>
    <row r="6009" spans="7:7" x14ac:dyDescent="0.25">
      <c r="G6009" s="21"/>
    </row>
    <row r="6010" spans="7:7" x14ac:dyDescent="0.25">
      <c r="G6010" s="21"/>
    </row>
    <row r="6011" spans="7:7" x14ac:dyDescent="0.25">
      <c r="G6011" s="21"/>
    </row>
    <row r="6012" spans="7:7" x14ac:dyDescent="0.25">
      <c r="G6012" s="21"/>
    </row>
    <row r="6013" spans="7:7" x14ac:dyDescent="0.25">
      <c r="G6013" s="21"/>
    </row>
    <row r="6014" spans="7:7" x14ac:dyDescent="0.25">
      <c r="G6014" s="21"/>
    </row>
    <row r="6015" spans="7:7" x14ac:dyDescent="0.25">
      <c r="G6015" s="21"/>
    </row>
    <row r="6016" spans="7:7" x14ac:dyDescent="0.25">
      <c r="G6016" s="21"/>
    </row>
    <row r="6017" spans="7:7" x14ac:dyDescent="0.25">
      <c r="G6017" s="21"/>
    </row>
    <row r="6018" spans="7:7" x14ac:dyDescent="0.25">
      <c r="G6018" s="21"/>
    </row>
    <row r="6019" spans="7:7" x14ac:dyDescent="0.25">
      <c r="G6019" s="21"/>
    </row>
    <row r="6020" spans="7:7" x14ac:dyDescent="0.25">
      <c r="G6020" s="21"/>
    </row>
    <row r="6021" spans="7:7" x14ac:dyDescent="0.25">
      <c r="G6021" s="21"/>
    </row>
    <row r="6022" spans="7:7" x14ac:dyDescent="0.25">
      <c r="G6022" s="21"/>
    </row>
    <row r="6023" spans="7:7" x14ac:dyDescent="0.25">
      <c r="G6023" s="21"/>
    </row>
    <row r="6024" spans="7:7" x14ac:dyDescent="0.25">
      <c r="G6024" s="21"/>
    </row>
    <row r="6025" spans="7:7" x14ac:dyDescent="0.25">
      <c r="G6025" s="21"/>
    </row>
    <row r="6026" spans="7:7" x14ac:dyDescent="0.25">
      <c r="G6026" s="21"/>
    </row>
    <row r="6027" spans="7:7" x14ac:dyDescent="0.25">
      <c r="G6027" s="21"/>
    </row>
    <row r="6028" spans="7:7" x14ac:dyDescent="0.25">
      <c r="G6028" s="21"/>
    </row>
    <row r="6029" spans="7:7" x14ac:dyDescent="0.25">
      <c r="G6029" s="21"/>
    </row>
    <row r="6030" spans="7:7" x14ac:dyDescent="0.25">
      <c r="G6030" s="21"/>
    </row>
    <row r="6031" spans="7:7" x14ac:dyDescent="0.25">
      <c r="G6031" s="21"/>
    </row>
    <row r="6032" spans="7:7" x14ac:dyDescent="0.25">
      <c r="G6032" s="21"/>
    </row>
    <row r="6033" spans="7:7" x14ac:dyDescent="0.25">
      <c r="G6033" s="21"/>
    </row>
    <row r="6034" spans="7:7" x14ac:dyDescent="0.25">
      <c r="G6034" s="21"/>
    </row>
    <row r="6035" spans="7:7" x14ac:dyDescent="0.25">
      <c r="G6035" s="21"/>
    </row>
    <row r="6036" spans="7:7" x14ac:dyDescent="0.25">
      <c r="G6036" s="21"/>
    </row>
    <row r="6037" spans="7:7" x14ac:dyDescent="0.25">
      <c r="G6037" s="21"/>
    </row>
    <row r="6038" spans="7:7" x14ac:dyDescent="0.25">
      <c r="G6038" s="21"/>
    </row>
    <row r="6039" spans="7:7" x14ac:dyDescent="0.25">
      <c r="G6039" s="21"/>
    </row>
    <row r="6040" spans="7:7" x14ac:dyDescent="0.25">
      <c r="G6040" s="21"/>
    </row>
    <row r="6041" spans="7:7" x14ac:dyDescent="0.25">
      <c r="G6041" s="21"/>
    </row>
    <row r="6042" spans="7:7" x14ac:dyDescent="0.25">
      <c r="G6042" s="21"/>
    </row>
    <row r="6043" spans="7:7" x14ac:dyDescent="0.25">
      <c r="G6043" s="21"/>
    </row>
    <row r="6044" spans="7:7" x14ac:dyDescent="0.25">
      <c r="G6044" s="21"/>
    </row>
    <row r="6045" spans="7:7" x14ac:dyDescent="0.25">
      <c r="G6045" s="21"/>
    </row>
    <row r="6046" spans="7:7" x14ac:dyDescent="0.25">
      <c r="G6046" s="21"/>
    </row>
    <row r="6047" spans="7:7" x14ac:dyDescent="0.25">
      <c r="G6047" s="21"/>
    </row>
    <row r="6048" spans="7:7" x14ac:dyDescent="0.25">
      <c r="G6048" s="21"/>
    </row>
    <row r="6049" spans="7:7" x14ac:dyDescent="0.25">
      <c r="G6049" s="21"/>
    </row>
    <row r="6050" spans="7:7" x14ac:dyDescent="0.25">
      <c r="G6050" s="21"/>
    </row>
    <row r="6051" spans="7:7" x14ac:dyDescent="0.25">
      <c r="G6051" s="21"/>
    </row>
    <row r="6052" spans="7:7" x14ac:dyDescent="0.25">
      <c r="G6052" s="21"/>
    </row>
    <row r="6053" spans="7:7" x14ac:dyDescent="0.25">
      <c r="G6053" s="21"/>
    </row>
    <row r="6054" spans="7:7" x14ac:dyDescent="0.25">
      <c r="G6054" s="21"/>
    </row>
    <row r="6055" spans="7:7" x14ac:dyDescent="0.25">
      <c r="G6055" s="21"/>
    </row>
    <row r="6056" spans="7:7" x14ac:dyDescent="0.25">
      <c r="G6056" s="21"/>
    </row>
    <row r="6057" spans="7:7" x14ac:dyDescent="0.25">
      <c r="G6057" s="21"/>
    </row>
    <row r="6058" spans="7:7" x14ac:dyDescent="0.25">
      <c r="G6058" s="21"/>
    </row>
    <row r="6059" spans="7:7" x14ac:dyDescent="0.25">
      <c r="G6059" s="21"/>
    </row>
    <row r="6060" spans="7:7" x14ac:dyDescent="0.25">
      <c r="G6060" s="21"/>
    </row>
    <row r="6061" spans="7:7" x14ac:dyDescent="0.25">
      <c r="G6061" s="21"/>
    </row>
    <row r="6062" spans="7:7" x14ac:dyDescent="0.25">
      <c r="G6062" s="21"/>
    </row>
    <row r="6063" spans="7:7" x14ac:dyDescent="0.25">
      <c r="G6063" s="21"/>
    </row>
    <row r="6064" spans="7:7" x14ac:dyDescent="0.25">
      <c r="G6064" s="21"/>
    </row>
    <row r="6065" spans="7:7" x14ac:dyDescent="0.25">
      <c r="G6065" s="21"/>
    </row>
    <row r="6066" spans="7:7" x14ac:dyDescent="0.25">
      <c r="G6066" s="21"/>
    </row>
    <row r="6067" spans="7:7" x14ac:dyDescent="0.25">
      <c r="G6067" s="21"/>
    </row>
    <row r="6068" spans="7:7" x14ac:dyDescent="0.25">
      <c r="G6068" s="21"/>
    </row>
    <row r="6069" spans="7:7" x14ac:dyDescent="0.25">
      <c r="G6069" s="21"/>
    </row>
    <row r="6070" spans="7:7" x14ac:dyDescent="0.25">
      <c r="G6070" s="21"/>
    </row>
    <row r="6071" spans="7:7" x14ac:dyDescent="0.25">
      <c r="G6071" s="21"/>
    </row>
    <row r="6072" spans="7:7" x14ac:dyDescent="0.25">
      <c r="G6072" s="21"/>
    </row>
    <row r="6073" spans="7:7" x14ac:dyDescent="0.25">
      <c r="G6073" s="21"/>
    </row>
    <row r="6074" spans="7:7" x14ac:dyDescent="0.25">
      <c r="G6074" s="21"/>
    </row>
    <row r="6075" spans="7:7" x14ac:dyDescent="0.25">
      <c r="G6075" s="21"/>
    </row>
    <row r="6076" spans="7:7" x14ac:dyDescent="0.25">
      <c r="G6076" s="21"/>
    </row>
    <row r="6077" spans="7:7" x14ac:dyDescent="0.25">
      <c r="G6077" s="21"/>
    </row>
    <row r="6078" spans="7:7" x14ac:dyDescent="0.25">
      <c r="G6078" s="21"/>
    </row>
    <row r="6079" spans="7:7" x14ac:dyDescent="0.25">
      <c r="G6079" s="21"/>
    </row>
    <row r="6080" spans="7:7" x14ac:dyDescent="0.25">
      <c r="G6080" s="21"/>
    </row>
    <row r="6081" spans="7:7" x14ac:dyDescent="0.25">
      <c r="G6081" s="21"/>
    </row>
    <row r="6082" spans="7:7" x14ac:dyDescent="0.25">
      <c r="G6082" s="21"/>
    </row>
    <row r="6083" spans="7:7" x14ac:dyDescent="0.25">
      <c r="G6083" s="21"/>
    </row>
    <row r="6084" spans="7:7" x14ac:dyDescent="0.25">
      <c r="G6084" s="21"/>
    </row>
    <row r="6085" spans="7:7" x14ac:dyDescent="0.25">
      <c r="G6085" s="21"/>
    </row>
    <row r="6086" spans="7:7" x14ac:dyDescent="0.25">
      <c r="G6086" s="21"/>
    </row>
    <row r="6087" spans="7:7" x14ac:dyDescent="0.25">
      <c r="G6087" s="21"/>
    </row>
    <row r="6088" spans="7:7" x14ac:dyDescent="0.25">
      <c r="G6088" s="21"/>
    </row>
    <row r="6089" spans="7:7" x14ac:dyDescent="0.25">
      <c r="G6089" s="21"/>
    </row>
    <row r="6090" spans="7:7" x14ac:dyDescent="0.25">
      <c r="G6090" s="21"/>
    </row>
    <row r="6091" spans="7:7" x14ac:dyDescent="0.25">
      <c r="G6091" s="21"/>
    </row>
    <row r="6092" spans="7:7" x14ac:dyDescent="0.25">
      <c r="G6092" s="21"/>
    </row>
    <row r="6093" spans="7:7" x14ac:dyDescent="0.25">
      <c r="G6093" s="21"/>
    </row>
    <row r="6094" spans="7:7" x14ac:dyDescent="0.25">
      <c r="G6094" s="21"/>
    </row>
    <row r="6095" spans="7:7" x14ac:dyDescent="0.25">
      <c r="G6095" s="21"/>
    </row>
    <row r="6096" spans="7:7" x14ac:dyDescent="0.25">
      <c r="G6096" s="21"/>
    </row>
    <row r="6097" spans="7:7" x14ac:dyDescent="0.25">
      <c r="G6097" s="21"/>
    </row>
    <row r="6098" spans="7:7" x14ac:dyDescent="0.25">
      <c r="G6098" s="21"/>
    </row>
    <row r="6099" spans="7:7" x14ac:dyDescent="0.25">
      <c r="G6099" s="21"/>
    </row>
    <row r="6100" spans="7:7" x14ac:dyDescent="0.25">
      <c r="G6100" s="21"/>
    </row>
    <row r="6101" spans="7:7" x14ac:dyDescent="0.25">
      <c r="G6101" s="21"/>
    </row>
    <row r="6102" spans="7:7" x14ac:dyDescent="0.25">
      <c r="G6102" s="21"/>
    </row>
    <row r="6103" spans="7:7" x14ac:dyDescent="0.25">
      <c r="G6103" s="21"/>
    </row>
    <row r="6104" spans="7:7" x14ac:dyDescent="0.25">
      <c r="G6104" s="21"/>
    </row>
    <row r="6105" spans="7:7" x14ac:dyDescent="0.25">
      <c r="G6105" s="21"/>
    </row>
    <row r="6106" spans="7:7" x14ac:dyDescent="0.25">
      <c r="G6106" s="21"/>
    </row>
    <row r="6107" spans="7:7" x14ac:dyDescent="0.25">
      <c r="G6107" s="21"/>
    </row>
    <row r="6108" spans="7:7" x14ac:dyDescent="0.25">
      <c r="G6108" s="21"/>
    </row>
    <row r="6109" spans="7:7" x14ac:dyDescent="0.25">
      <c r="G6109" s="21"/>
    </row>
    <row r="6110" spans="7:7" x14ac:dyDescent="0.25">
      <c r="G6110" s="21"/>
    </row>
    <row r="6111" spans="7:7" x14ac:dyDescent="0.25">
      <c r="G6111" s="21"/>
    </row>
    <row r="6112" spans="7:7" x14ac:dyDescent="0.25">
      <c r="G6112" s="21"/>
    </row>
    <row r="6113" spans="7:7" x14ac:dyDescent="0.25">
      <c r="G6113" s="21"/>
    </row>
    <row r="6114" spans="7:7" x14ac:dyDescent="0.25">
      <c r="G6114" s="21"/>
    </row>
    <row r="6115" spans="7:7" x14ac:dyDescent="0.25">
      <c r="G6115" s="21"/>
    </row>
    <row r="6116" spans="7:7" x14ac:dyDescent="0.25">
      <c r="G6116" s="21"/>
    </row>
    <row r="6117" spans="7:7" x14ac:dyDescent="0.25">
      <c r="G6117" s="21"/>
    </row>
    <row r="6118" spans="7:7" x14ac:dyDescent="0.25">
      <c r="G6118" s="21"/>
    </row>
    <row r="6119" spans="7:7" x14ac:dyDescent="0.25">
      <c r="G6119" s="21"/>
    </row>
    <row r="6120" spans="7:7" x14ac:dyDescent="0.25">
      <c r="G6120" s="21"/>
    </row>
    <row r="6121" spans="7:7" x14ac:dyDescent="0.25">
      <c r="G6121" s="21"/>
    </row>
    <row r="6122" spans="7:7" x14ac:dyDescent="0.25">
      <c r="G6122" s="21"/>
    </row>
    <row r="6123" spans="7:7" x14ac:dyDescent="0.25">
      <c r="G6123" s="21"/>
    </row>
    <row r="6124" spans="7:7" x14ac:dyDescent="0.25">
      <c r="G6124" s="21"/>
    </row>
    <row r="6125" spans="7:7" x14ac:dyDescent="0.25">
      <c r="G6125" s="21"/>
    </row>
    <row r="6126" spans="7:7" x14ac:dyDescent="0.25">
      <c r="G6126" s="21"/>
    </row>
    <row r="6127" spans="7:7" x14ac:dyDescent="0.25">
      <c r="G6127" s="21"/>
    </row>
    <row r="6128" spans="7:7" x14ac:dyDescent="0.25">
      <c r="G6128" s="21"/>
    </row>
    <row r="6129" spans="7:7" x14ac:dyDescent="0.25">
      <c r="G6129" s="21"/>
    </row>
    <row r="6130" spans="7:7" x14ac:dyDescent="0.25">
      <c r="G6130" s="21"/>
    </row>
    <row r="6131" spans="7:7" x14ac:dyDescent="0.25">
      <c r="G6131" s="21"/>
    </row>
    <row r="6132" spans="7:7" x14ac:dyDescent="0.25">
      <c r="G6132" s="21"/>
    </row>
    <row r="6133" spans="7:7" x14ac:dyDescent="0.25">
      <c r="G6133" s="21"/>
    </row>
    <row r="6134" spans="7:7" x14ac:dyDescent="0.25">
      <c r="G6134" s="21"/>
    </row>
    <row r="6135" spans="7:7" x14ac:dyDescent="0.25">
      <c r="G6135" s="21"/>
    </row>
    <row r="6136" spans="7:7" x14ac:dyDescent="0.25">
      <c r="G6136" s="21"/>
    </row>
    <row r="6137" spans="7:7" x14ac:dyDescent="0.25">
      <c r="G6137" s="21"/>
    </row>
    <row r="6138" spans="7:7" x14ac:dyDescent="0.25">
      <c r="G6138" s="21"/>
    </row>
    <row r="6139" spans="7:7" x14ac:dyDescent="0.25">
      <c r="G6139" s="21"/>
    </row>
    <row r="6140" spans="7:7" x14ac:dyDescent="0.25">
      <c r="G6140" s="21"/>
    </row>
    <row r="6141" spans="7:7" x14ac:dyDescent="0.25">
      <c r="G6141" s="21"/>
    </row>
    <row r="6142" spans="7:7" x14ac:dyDescent="0.25">
      <c r="G6142" s="21"/>
    </row>
    <row r="6143" spans="7:7" x14ac:dyDescent="0.25">
      <c r="G6143" s="21"/>
    </row>
    <row r="6144" spans="7:7" x14ac:dyDescent="0.25">
      <c r="G6144" s="21"/>
    </row>
    <row r="6145" spans="7:7" x14ac:dyDescent="0.25">
      <c r="G6145" s="21"/>
    </row>
    <row r="6146" spans="7:7" x14ac:dyDescent="0.25">
      <c r="G6146" s="21"/>
    </row>
    <row r="6147" spans="7:7" x14ac:dyDescent="0.25">
      <c r="G6147" s="21"/>
    </row>
    <row r="6148" spans="7:7" x14ac:dyDescent="0.25">
      <c r="G6148" s="21"/>
    </row>
    <row r="6149" spans="7:7" x14ac:dyDescent="0.25">
      <c r="G6149" s="21"/>
    </row>
    <row r="6150" spans="7:7" x14ac:dyDescent="0.25">
      <c r="G6150" s="21"/>
    </row>
    <row r="6151" spans="7:7" x14ac:dyDescent="0.25">
      <c r="G6151" s="21"/>
    </row>
    <row r="6152" spans="7:7" x14ac:dyDescent="0.25">
      <c r="G6152" s="21"/>
    </row>
    <row r="6153" spans="7:7" x14ac:dyDescent="0.25">
      <c r="G6153" s="21"/>
    </row>
    <row r="6154" spans="7:7" x14ac:dyDescent="0.25">
      <c r="G6154" s="21"/>
    </row>
    <row r="6155" spans="7:7" x14ac:dyDescent="0.25">
      <c r="G6155" s="21"/>
    </row>
    <row r="6156" spans="7:7" x14ac:dyDescent="0.25">
      <c r="G6156" s="21"/>
    </row>
    <row r="6157" spans="7:7" x14ac:dyDescent="0.25">
      <c r="G6157" s="21"/>
    </row>
    <row r="6158" spans="7:7" x14ac:dyDescent="0.25">
      <c r="G6158" s="21"/>
    </row>
    <row r="6159" spans="7:7" x14ac:dyDescent="0.25">
      <c r="G6159" s="21"/>
    </row>
    <row r="6160" spans="7:7" x14ac:dyDescent="0.25">
      <c r="G6160" s="21"/>
    </row>
    <row r="6161" spans="7:7" x14ac:dyDescent="0.25">
      <c r="G6161" s="21"/>
    </row>
    <row r="6162" spans="7:7" x14ac:dyDescent="0.25">
      <c r="G6162" s="21"/>
    </row>
    <row r="6163" spans="7:7" x14ac:dyDescent="0.25">
      <c r="G6163" s="21"/>
    </row>
    <row r="6164" spans="7:7" x14ac:dyDescent="0.25">
      <c r="G6164" s="21"/>
    </row>
    <row r="6165" spans="7:7" x14ac:dyDescent="0.25">
      <c r="G6165" s="21"/>
    </row>
    <row r="6166" spans="7:7" x14ac:dyDescent="0.25">
      <c r="G6166" s="21"/>
    </row>
    <row r="6167" spans="7:7" x14ac:dyDescent="0.25">
      <c r="G6167" s="21"/>
    </row>
    <row r="6168" spans="7:7" x14ac:dyDescent="0.25">
      <c r="G6168" s="21"/>
    </row>
    <row r="6169" spans="7:7" x14ac:dyDescent="0.25">
      <c r="G6169" s="21"/>
    </row>
    <row r="6170" spans="7:7" x14ac:dyDescent="0.25">
      <c r="G6170" s="21"/>
    </row>
    <row r="6171" spans="7:7" x14ac:dyDescent="0.25">
      <c r="G6171" s="21"/>
    </row>
    <row r="6172" spans="7:7" x14ac:dyDescent="0.25">
      <c r="G6172" s="21"/>
    </row>
    <row r="6173" spans="7:7" x14ac:dyDescent="0.25">
      <c r="G6173" s="21"/>
    </row>
    <row r="6174" spans="7:7" x14ac:dyDescent="0.25">
      <c r="G6174" s="21"/>
    </row>
    <row r="6175" spans="7:7" x14ac:dyDescent="0.25">
      <c r="G6175" s="21"/>
    </row>
    <row r="6176" spans="7:7" x14ac:dyDescent="0.25">
      <c r="G6176" s="21"/>
    </row>
    <row r="6177" spans="7:7" x14ac:dyDescent="0.25">
      <c r="G6177" s="21"/>
    </row>
    <row r="6178" spans="7:7" x14ac:dyDescent="0.25">
      <c r="G6178" s="21"/>
    </row>
    <row r="6179" spans="7:7" x14ac:dyDescent="0.25">
      <c r="G6179" s="21"/>
    </row>
    <row r="6180" spans="7:7" x14ac:dyDescent="0.25">
      <c r="G6180" s="21"/>
    </row>
    <row r="6181" spans="7:7" x14ac:dyDescent="0.25">
      <c r="G6181" s="21"/>
    </row>
    <row r="6182" spans="7:7" x14ac:dyDescent="0.25">
      <c r="G6182" s="21"/>
    </row>
    <row r="6183" spans="7:7" x14ac:dyDescent="0.25">
      <c r="G6183" s="21"/>
    </row>
    <row r="6184" spans="7:7" x14ac:dyDescent="0.25">
      <c r="G6184" s="21"/>
    </row>
    <row r="6185" spans="7:7" x14ac:dyDescent="0.25">
      <c r="G6185" s="21"/>
    </row>
    <row r="6186" spans="7:7" x14ac:dyDescent="0.25">
      <c r="G6186" s="21"/>
    </row>
    <row r="6187" spans="7:7" x14ac:dyDescent="0.25">
      <c r="G6187" s="21"/>
    </row>
    <row r="6188" spans="7:7" x14ac:dyDescent="0.25">
      <c r="G6188" s="21"/>
    </row>
    <row r="6189" spans="7:7" x14ac:dyDescent="0.25">
      <c r="G6189" s="21"/>
    </row>
    <row r="6190" spans="7:7" x14ac:dyDescent="0.25">
      <c r="G6190" s="21"/>
    </row>
    <row r="6191" spans="7:7" x14ac:dyDescent="0.25">
      <c r="G6191" s="21"/>
    </row>
    <row r="6192" spans="7:7" x14ac:dyDescent="0.25">
      <c r="G6192" s="21"/>
    </row>
    <row r="6193" spans="7:7" x14ac:dyDescent="0.25">
      <c r="G6193" s="21"/>
    </row>
    <row r="6194" spans="7:7" x14ac:dyDescent="0.25">
      <c r="G6194" s="21"/>
    </row>
    <row r="6195" spans="7:7" x14ac:dyDescent="0.25">
      <c r="G6195" s="21"/>
    </row>
    <row r="6196" spans="7:7" x14ac:dyDescent="0.25">
      <c r="G6196" s="21"/>
    </row>
    <row r="6197" spans="7:7" x14ac:dyDescent="0.25">
      <c r="G6197" s="21"/>
    </row>
    <row r="6198" spans="7:7" x14ac:dyDescent="0.25">
      <c r="G6198" s="21"/>
    </row>
    <row r="6199" spans="7:7" x14ac:dyDescent="0.25">
      <c r="G6199" s="21"/>
    </row>
    <row r="6200" spans="7:7" x14ac:dyDescent="0.25">
      <c r="G6200" s="21"/>
    </row>
    <row r="6201" spans="7:7" x14ac:dyDescent="0.25">
      <c r="G6201" s="21"/>
    </row>
    <row r="6202" spans="7:7" x14ac:dyDescent="0.25">
      <c r="G6202" s="21"/>
    </row>
    <row r="6203" spans="7:7" x14ac:dyDescent="0.25">
      <c r="G6203" s="21"/>
    </row>
    <row r="6204" spans="7:7" x14ac:dyDescent="0.25">
      <c r="G6204" s="21"/>
    </row>
    <row r="6205" spans="7:7" x14ac:dyDescent="0.25">
      <c r="G6205" s="21"/>
    </row>
    <row r="6206" spans="7:7" x14ac:dyDescent="0.25">
      <c r="G6206" s="21"/>
    </row>
    <row r="6207" spans="7:7" x14ac:dyDescent="0.25">
      <c r="G6207" s="21"/>
    </row>
    <row r="6208" spans="7:7" x14ac:dyDescent="0.25">
      <c r="G6208" s="21"/>
    </row>
    <row r="6209" spans="7:7" x14ac:dyDescent="0.25">
      <c r="G6209" s="21"/>
    </row>
    <row r="6210" spans="7:7" x14ac:dyDescent="0.25">
      <c r="G6210" s="21"/>
    </row>
    <row r="6211" spans="7:7" x14ac:dyDescent="0.25">
      <c r="G6211" s="21"/>
    </row>
    <row r="6212" spans="7:7" x14ac:dyDescent="0.25">
      <c r="G6212" s="21"/>
    </row>
    <row r="6213" spans="7:7" x14ac:dyDescent="0.25">
      <c r="G6213" s="21"/>
    </row>
    <row r="6214" spans="7:7" x14ac:dyDescent="0.25">
      <c r="G6214" s="21"/>
    </row>
    <row r="6215" spans="7:7" x14ac:dyDescent="0.25">
      <c r="G6215" s="21"/>
    </row>
    <row r="6216" spans="7:7" x14ac:dyDescent="0.25">
      <c r="G6216" s="21"/>
    </row>
    <row r="6217" spans="7:7" x14ac:dyDescent="0.25">
      <c r="G6217" s="21"/>
    </row>
    <row r="6218" spans="7:7" x14ac:dyDescent="0.25">
      <c r="G6218" s="21"/>
    </row>
    <row r="6219" spans="7:7" x14ac:dyDescent="0.25">
      <c r="G6219" s="21"/>
    </row>
    <row r="6220" spans="7:7" x14ac:dyDescent="0.25">
      <c r="G6220" s="21"/>
    </row>
    <row r="6221" spans="7:7" x14ac:dyDescent="0.25">
      <c r="G6221" s="21"/>
    </row>
    <row r="6222" spans="7:7" x14ac:dyDescent="0.25">
      <c r="G6222" s="21"/>
    </row>
    <row r="6223" spans="7:7" x14ac:dyDescent="0.25">
      <c r="G6223" s="21"/>
    </row>
    <row r="6224" spans="7:7" x14ac:dyDescent="0.25">
      <c r="G6224" s="21"/>
    </row>
    <row r="6225" spans="7:7" x14ac:dyDescent="0.25">
      <c r="G6225" s="21"/>
    </row>
    <row r="6226" spans="7:7" x14ac:dyDescent="0.25">
      <c r="G6226" s="21"/>
    </row>
    <row r="6227" spans="7:7" x14ac:dyDescent="0.25">
      <c r="G6227" s="21"/>
    </row>
    <row r="6228" spans="7:7" x14ac:dyDescent="0.25">
      <c r="G6228" s="21"/>
    </row>
    <row r="6229" spans="7:7" x14ac:dyDescent="0.25">
      <c r="G6229" s="21"/>
    </row>
    <row r="6230" spans="7:7" x14ac:dyDescent="0.25">
      <c r="G6230" s="21"/>
    </row>
    <row r="6231" spans="7:7" x14ac:dyDescent="0.25">
      <c r="G6231" s="21"/>
    </row>
    <row r="6232" spans="7:7" x14ac:dyDescent="0.25">
      <c r="G6232" s="21"/>
    </row>
    <row r="6233" spans="7:7" x14ac:dyDescent="0.25">
      <c r="G6233" s="21"/>
    </row>
    <row r="6234" spans="7:7" x14ac:dyDescent="0.25">
      <c r="G6234" s="21"/>
    </row>
    <row r="6235" spans="7:7" x14ac:dyDescent="0.25">
      <c r="G6235" s="21"/>
    </row>
    <row r="6236" spans="7:7" x14ac:dyDescent="0.25">
      <c r="G6236" s="21"/>
    </row>
    <row r="6237" spans="7:7" x14ac:dyDescent="0.25">
      <c r="G6237" s="21"/>
    </row>
    <row r="6238" spans="7:7" x14ac:dyDescent="0.25">
      <c r="G6238" s="21"/>
    </row>
    <row r="6239" spans="7:7" x14ac:dyDescent="0.25">
      <c r="G6239" s="21"/>
    </row>
    <row r="6240" spans="7:7" x14ac:dyDescent="0.25">
      <c r="G6240" s="21"/>
    </row>
    <row r="6241" spans="7:7" x14ac:dyDescent="0.25">
      <c r="G6241" s="21"/>
    </row>
    <row r="6242" spans="7:7" x14ac:dyDescent="0.25">
      <c r="G6242" s="21"/>
    </row>
    <row r="6243" spans="7:7" x14ac:dyDescent="0.25">
      <c r="G6243" s="21"/>
    </row>
    <row r="6244" spans="7:7" x14ac:dyDescent="0.25">
      <c r="G6244" s="21"/>
    </row>
    <row r="6245" spans="7:7" x14ac:dyDescent="0.25">
      <c r="G6245" s="21"/>
    </row>
    <row r="6246" spans="7:7" x14ac:dyDescent="0.25">
      <c r="G6246" s="21"/>
    </row>
    <row r="6247" spans="7:7" x14ac:dyDescent="0.25">
      <c r="G6247" s="21"/>
    </row>
    <row r="6248" spans="7:7" x14ac:dyDescent="0.25">
      <c r="G6248" s="21"/>
    </row>
    <row r="6249" spans="7:7" x14ac:dyDescent="0.25">
      <c r="G6249" s="21"/>
    </row>
    <row r="6250" spans="7:7" x14ac:dyDescent="0.25">
      <c r="G6250" s="21"/>
    </row>
    <row r="6251" spans="7:7" x14ac:dyDescent="0.25">
      <c r="G6251" s="21"/>
    </row>
    <row r="6252" spans="7:7" x14ac:dyDescent="0.25">
      <c r="G6252" s="21"/>
    </row>
    <row r="6253" spans="7:7" x14ac:dyDescent="0.25">
      <c r="G6253" s="21"/>
    </row>
    <row r="6254" spans="7:7" x14ac:dyDescent="0.25">
      <c r="G6254" s="21"/>
    </row>
    <row r="6255" spans="7:7" x14ac:dyDescent="0.25">
      <c r="G6255" s="21"/>
    </row>
    <row r="6256" spans="7:7" x14ac:dyDescent="0.25">
      <c r="G6256" s="21"/>
    </row>
    <row r="6257" spans="7:7" x14ac:dyDescent="0.25">
      <c r="G6257" s="21"/>
    </row>
    <row r="6258" spans="7:7" x14ac:dyDescent="0.25">
      <c r="G6258" s="21"/>
    </row>
    <row r="6259" spans="7:7" x14ac:dyDescent="0.25">
      <c r="G6259" s="21"/>
    </row>
    <row r="6260" spans="7:7" x14ac:dyDescent="0.25">
      <c r="G6260" s="21"/>
    </row>
    <row r="6261" spans="7:7" x14ac:dyDescent="0.25">
      <c r="G6261" s="21"/>
    </row>
    <row r="6262" spans="7:7" x14ac:dyDescent="0.25">
      <c r="G6262" s="21"/>
    </row>
    <row r="6263" spans="7:7" x14ac:dyDescent="0.25">
      <c r="G6263" s="21"/>
    </row>
    <row r="6264" spans="7:7" x14ac:dyDescent="0.25">
      <c r="G6264" s="21"/>
    </row>
    <row r="6265" spans="7:7" x14ac:dyDescent="0.25">
      <c r="G6265" s="21"/>
    </row>
    <row r="6266" spans="7:7" x14ac:dyDescent="0.25">
      <c r="G6266" s="21"/>
    </row>
    <row r="6267" spans="7:7" x14ac:dyDescent="0.25">
      <c r="G6267" s="21"/>
    </row>
    <row r="6268" spans="7:7" x14ac:dyDescent="0.25">
      <c r="G6268" s="21"/>
    </row>
    <row r="6269" spans="7:7" x14ac:dyDescent="0.25">
      <c r="G6269" s="21"/>
    </row>
    <row r="6270" spans="7:7" x14ac:dyDescent="0.25">
      <c r="G6270" s="21"/>
    </row>
    <row r="6271" spans="7:7" x14ac:dyDescent="0.25">
      <c r="G6271" s="21"/>
    </row>
    <row r="6272" spans="7:7" x14ac:dyDescent="0.25">
      <c r="G6272" s="21"/>
    </row>
    <row r="6273" spans="7:7" x14ac:dyDescent="0.25">
      <c r="G6273" s="21"/>
    </row>
    <row r="6274" spans="7:7" x14ac:dyDescent="0.25">
      <c r="G6274" s="21"/>
    </row>
    <row r="6275" spans="7:7" x14ac:dyDescent="0.25">
      <c r="G6275" s="21"/>
    </row>
    <row r="6276" spans="7:7" x14ac:dyDescent="0.25">
      <c r="G6276" s="21"/>
    </row>
    <row r="6277" spans="7:7" x14ac:dyDescent="0.25">
      <c r="G6277" s="21"/>
    </row>
    <row r="6278" spans="7:7" x14ac:dyDescent="0.25">
      <c r="G6278" s="21"/>
    </row>
    <row r="6279" spans="7:7" x14ac:dyDescent="0.25">
      <c r="G6279" s="21"/>
    </row>
    <row r="6280" spans="7:7" x14ac:dyDescent="0.25">
      <c r="G6280" s="21"/>
    </row>
    <row r="6281" spans="7:7" x14ac:dyDescent="0.25">
      <c r="G6281" s="21"/>
    </row>
    <row r="6282" spans="7:7" x14ac:dyDescent="0.25">
      <c r="G6282" s="21"/>
    </row>
    <row r="6283" spans="7:7" x14ac:dyDescent="0.25">
      <c r="G6283" s="21"/>
    </row>
    <row r="6284" spans="7:7" x14ac:dyDescent="0.25">
      <c r="G6284" s="21"/>
    </row>
    <row r="6285" spans="7:7" x14ac:dyDescent="0.25">
      <c r="G6285" s="21"/>
    </row>
    <row r="6286" spans="7:7" x14ac:dyDescent="0.25">
      <c r="G6286" s="21"/>
    </row>
    <row r="6287" spans="7:7" x14ac:dyDescent="0.25">
      <c r="G6287" s="21"/>
    </row>
    <row r="6288" spans="7:7" x14ac:dyDescent="0.25">
      <c r="G6288" s="21"/>
    </row>
    <row r="6289" spans="7:7" x14ac:dyDescent="0.25">
      <c r="G6289" s="21"/>
    </row>
    <row r="6290" spans="7:7" x14ac:dyDescent="0.25">
      <c r="G6290" s="21"/>
    </row>
    <row r="6291" spans="7:7" x14ac:dyDescent="0.25">
      <c r="G6291" s="21"/>
    </row>
    <row r="6292" spans="7:7" x14ac:dyDescent="0.25">
      <c r="G6292" s="21"/>
    </row>
    <row r="6293" spans="7:7" x14ac:dyDescent="0.25">
      <c r="G6293" s="21"/>
    </row>
    <row r="6294" spans="7:7" x14ac:dyDescent="0.25">
      <c r="G6294" s="21"/>
    </row>
    <row r="6295" spans="7:7" x14ac:dyDescent="0.25">
      <c r="G6295" s="21"/>
    </row>
    <row r="6296" spans="7:7" x14ac:dyDescent="0.25">
      <c r="G6296" s="21"/>
    </row>
    <row r="6297" spans="7:7" x14ac:dyDescent="0.25">
      <c r="G6297" s="21"/>
    </row>
    <row r="6298" spans="7:7" x14ac:dyDescent="0.25">
      <c r="G6298" s="21"/>
    </row>
    <row r="6299" spans="7:7" x14ac:dyDescent="0.25">
      <c r="G6299" s="21"/>
    </row>
    <row r="6300" spans="7:7" x14ac:dyDescent="0.25">
      <c r="G6300" s="21"/>
    </row>
    <row r="6301" spans="7:7" x14ac:dyDescent="0.25">
      <c r="G6301" s="21"/>
    </row>
    <row r="6302" spans="7:7" x14ac:dyDescent="0.25">
      <c r="G6302" s="21"/>
    </row>
    <row r="6303" spans="7:7" x14ac:dyDescent="0.25">
      <c r="G6303" s="21"/>
    </row>
    <row r="6304" spans="7:7" x14ac:dyDescent="0.25">
      <c r="G6304" s="21"/>
    </row>
    <row r="6305" spans="7:7" x14ac:dyDescent="0.25">
      <c r="G6305" s="21"/>
    </row>
    <row r="6306" spans="7:7" x14ac:dyDescent="0.25">
      <c r="G6306" s="21"/>
    </row>
    <row r="6307" spans="7:7" x14ac:dyDescent="0.25">
      <c r="G6307" s="21"/>
    </row>
    <row r="6308" spans="7:7" x14ac:dyDescent="0.25">
      <c r="G6308" s="21"/>
    </row>
    <row r="6309" spans="7:7" x14ac:dyDescent="0.25">
      <c r="G6309" s="21"/>
    </row>
    <row r="6310" spans="7:7" x14ac:dyDescent="0.25">
      <c r="G6310" s="21"/>
    </row>
    <row r="6311" spans="7:7" x14ac:dyDescent="0.25">
      <c r="G6311" s="21"/>
    </row>
    <row r="6312" spans="7:7" x14ac:dyDescent="0.25">
      <c r="G6312" s="21"/>
    </row>
    <row r="6313" spans="7:7" x14ac:dyDescent="0.25">
      <c r="G6313" s="21"/>
    </row>
    <row r="6314" spans="7:7" x14ac:dyDescent="0.25">
      <c r="G6314" s="21"/>
    </row>
    <row r="6315" spans="7:7" x14ac:dyDescent="0.25">
      <c r="G6315" s="21"/>
    </row>
    <row r="6316" spans="7:7" x14ac:dyDescent="0.25">
      <c r="G6316" s="21"/>
    </row>
    <row r="6317" spans="7:7" x14ac:dyDescent="0.25">
      <c r="G6317" s="21"/>
    </row>
    <row r="6318" spans="7:7" x14ac:dyDescent="0.25">
      <c r="G6318" s="21"/>
    </row>
    <row r="6319" spans="7:7" x14ac:dyDescent="0.25">
      <c r="G6319" s="21"/>
    </row>
    <row r="6320" spans="7:7" x14ac:dyDescent="0.25">
      <c r="G6320" s="21"/>
    </row>
    <row r="6321" spans="7:7" x14ac:dyDescent="0.25">
      <c r="G6321" s="21"/>
    </row>
    <row r="6322" spans="7:7" x14ac:dyDescent="0.25">
      <c r="G6322" s="21"/>
    </row>
    <row r="6323" spans="7:7" x14ac:dyDescent="0.25">
      <c r="G6323" s="21"/>
    </row>
    <row r="6324" spans="7:7" x14ac:dyDescent="0.25">
      <c r="G6324" s="21"/>
    </row>
    <row r="6325" spans="7:7" x14ac:dyDescent="0.25">
      <c r="G6325" s="21"/>
    </row>
    <row r="6326" spans="7:7" x14ac:dyDescent="0.25">
      <c r="G6326" s="21"/>
    </row>
    <row r="6327" spans="7:7" x14ac:dyDescent="0.25">
      <c r="G6327" s="21"/>
    </row>
    <row r="6328" spans="7:7" x14ac:dyDescent="0.25">
      <c r="G6328" s="21"/>
    </row>
    <row r="6329" spans="7:7" x14ac:dyDescent="0.25">
      <c r="G6329" s="21"/>
    </row>
    <row r="6330" spans="7:7" x14ac:dyDescent="0.25">
      <c r="G6330" s="21"/>
    </row>
    <row r="6331" spans="7:7" x14ac:dyDescent="0.25">
      <c r="G6331" s="21"/>
    </row>
    <row r="6332" spans="7:7" x14ac:dyDescent="0.25">
      <c r="G6332" s="21"/>
    </row>
    <row r="6333" spans="7:7" x14ac:dyDescent="0.25">
      <c r="G6333" s="21"/>
    </row>
    <row r="6334" spans="7:7" x14ac:dyDescent="0.25">
      <c r="G6334" s="21"/>
    </row>
    <row r="6335" spans="7:7" x14ac:dyDescent="0.25">
      <c r="G6335" s="21"/>
    </row>
    <row r="6336" spans="7:7" x14ac:dyDescent="0.25">
      <c r="G6336" s="21"/>
    </row>
    <row r="6337" spans="7:7" x14ac:dyDescent="0.25">
      <c r="G6337" s="21"/>
    </row>
    <row r="6338" spans="7:7" x14ac:dyDescent="0.25">
      <c r="G6338" s="21"/>
    </row>
    <row r="6339" spans="7:7" x14ac:dyDescent="0.25">
      <c r="G6339" s="21"/>
    </row>
    <row r="6340" spans="7:7" x14ac:dyDescent="0.25">
      <c r="G6340" s="21"/>
    </row>
    <row r="6341" spans="7:7" x14ac:dyDescent="0.25">
      <c r="G6341" s="21"/>
    </row>
    <row r="6342" spans="7:7" x14ac:dyDescent="0.25">
      <c r="G6342" s="21"/>
    </row>
    <row r="6343" spans="7:7" x14ac:dyDescent="0.25">
      <c r="G6343" s="21"/>
    </row>
    <row r="6344" spans="7:7" x14ac:dyDescent="0.25">
      <c r="G6344" s="21"/>
    </row>
    <row r="6345" spans="7:7" x14ac:dyDescent="0.25">
      <c r="G6345" s="21"/>
    </row>
    <row r="6346" spans="7:7" x14ac:dyDescent="0.25">
      <c r="G6346" s="21"/>
    </row>
    <row r="6347" spans="7:7" x14ac:dyDescent="0.25">
      <c r="G6347" s="21"/>
    </row>
    <row r="6348" spans="7:7" x14ac:dyDescent="0.25">
      <c r="G6348" s="21"/>
    </row>
    <row r="6349" spans="7:7" x14ac:dyDescent="0.25">
      <c r="G6349" s="21"/>
    </row>
    <row r="6350" spans="7:7" x14ac:dyDescent="0.25">
      <c r="G6350" s="21"/>
    </row>
    <row r="6351" spans="7:7" x14ac:dyDescent="0.25">
      <c r="G6351" s="21"/>
    </row>
    <row r="6352" spans="7:7" x14ac:dyDescent="0.25">
      <c r="G6352" s="21"/>
    </row>
    <row r="6353" spans="7:7" x14ac:dyDescent="0.25">
      <c r="G6353" s="21"/>
    </row>
    <row r="6354" spans="7:7" x14ac:dyDescent="0.25">
      <c r="G6354" s="21"/>
    </row>
    <row r="6355" spans="7:7" x14ac:dyDescent="0.25">
      <c r="G6355" s="21"/>
    </row>
    <row r="6356" spans="7:7" x14ac:dyDescent="0.25">
      <c r="G6356" s="21"/>
    </row>
    <row r="6357" spans="7:7" x14ac:dyDescent="0.25">
      <c r="G6357" s="21"/>
    </row>
    <row r="6358" spans="7:7" x14ac:dyDescent="0.25">
      <c r="G6358" s="21"/>
    </row>
    <row r="6359" spans="7:7" x14ac:dyDescent="0.25">
      <c r="G6359" s="21"/>
    </row>
    <row r="6360" spans="7:7" x14ac:dyDescent="0.25">
      <c r="G6360" s="21"/>
    </row>
    <row r="6361" spans="7:7" x14ac:dyDescent="0.25">
      <c r="G6361" s="21"/>
    </row>
    <row r="6362" spans="7:7" x14ac:dyDescent="0.25">
      <c r="G6362" s="21"/>
    </row>
    <row r="6363" spans="7:7" x14ac:dyDescent="0.25">
      <c r="G6363" s="21"/>
    </row>
    <row r="6364" spans="7:7" x14ac:dyDescent="0.25">
      <c r="G6364" s="21"/>
    </row>
    <row r="6365" spans="7:7" x14ac:dyDescent="0.25">
      <c r="G6365" s="21"/>
    </row>
    <row r="6366" spans="7:7" x14ac:dyDescent="0.25">
      <c r="G6366" s="21"/>
    </row>
    <row r="6367" spans="7:7" x14ac:dyDescent="0.25">
      <c r="G6367" s="21"/>
    </row>
    <row r="6368" spans="7:7" x14ac:dyDescent="0.25">
      <c r="G6368" s="21"/>
    </row>
    <row r="6369" spans="7:7" x14ac:dyDescent="0.25">
      <c r="G6369" s="21"/>
    </row>
    <row r="6370" spans="7:7" x14ac:dyDescent="0.25">
      <c r="G6370" s="21"/>
    </row>
    <row r="6371" spans="7:7" x14ac:dyDescent="0.25">
      <c r="G6371" s="21"/>
    </row>
    <row r="6372" spans="7:7" x14ac:dyDescent="0.25">
      <c r="G6372" s="21"/>
    </row>
    <row r="6373" spans="7:7" x14ac:dyDescent="0.25">
      <c r="G6373" s="21"/>
    </row>
    <row r="6374" spans="7:7" x14ac:dyDescent="0.25">
      <c r="G6374" s="21"/>
    </row>
    <row r="6375" spans="7:7" x14ac:dyDescent="0.25">
      <c r="G6375" s="21"/>
    </row>
    <row r="6376" spans="7:7" x14ac:dyDescent="0.25">
      <c r="G6376" s="21"/>
    </row>
    <row r="6377" spans="7:7" x14ac:dyDescent="0.25">
      <c r="G6377" s="21"/>
    </row>
    <row r="6378" spans="7:7" x14ac:dyDescent="0.25">
      <c r="G6378" s="21"/>
    </row>
    <row r="6379" spans="7:7" x14ac:dyDescent="0.25">
      <c r="G6379" s="21"/>
    </row>
    <row r="6380" spans="7:7" x14ac:dyDescent="0.25">
      <c r="G6380" s="21"/>
    </row>
    <row r="6381" spans="7:7" x14ac:dyDescent="0.25">
      <c r="G6381" s="21"/>
    </row>
    <row r="6382" spans="7:7" x14ac:dyDescent="0.25">
      <c r="G6382" s="21"/>
    </row>
    <row r="6383" spans="7:7" x14ac:dyDescent="0.25">
      <c r="G6383" s="21"/>
    </row>
    <row r="6384" spans="7:7" x14ac:dyDescent="0.25">
      <c r="G6384" s="21"/>
    </row>
    <row r="6385" spans="7:7" x14ac:dyDescent="0.25">
      <c r="G6385" s="21"/>
    </row>
    <row r="6386" spans="7:7" x14ac:dyDescent="0.25">
      <c r="G6386" s="21"/>
    </row>
    <row r="6387" spans="7:7" x14ac:dyDescent="0.25">
      <c r="G6387" s="21"/>
    </row>
    <row r="6388" spans="7:7" x14ac:dyDescent="0.25">
      <c r="G6388" s="21"/>
    </row>
    <row r="6389" spans="7:7" x14ac:dyDescent="0.25">
      <c r="G6389" s="21"/>
    </row>
    <row r="6390" spans="7:7" x14ac:dyDescent="0.25">
      <c r="G6390" s="21"/>
    </row>
    <row r="6391" spans="7:7" x14ac:dyDescent="0.25">
      <c r="G6391" s="21"/>
    </row>
    <row r="6392" spans="7:7" x14ac:dyDescent="0.25">
      <c r="G6392" s="21"/>
    </row>
    <row r="6393" spans="7:7" x14ac:dyDescent="0.25">
      <c r="G6393" s="21"/>
    </row>
    <row r="6394" spans="7:7" x14ac:dyDescent="0.25">
      <c r="G6394" s="21"/>
    </row>
    <row r="6395" spans="7:7" x14ac:dyDescent="0.25">
      <c r="G6395" s="21"/>
    </row>
    <row r="6396" spans="7:7" x14ac:dyDescent="0.25">
      <c r="G6396" s="21"/>
    </row>
    <row r="6397" spans="7:7" x14ac:dyDescent="0.25">
      <c r="G6397" s="21"/>
    </row>
    <row r="6398" spans="7:7" x14ac:dyDescent="0.25">
      <c r="G6398" s="21"/>
    </row>
    <row r="6399" spans="7:7" x14ac:dyDescent="0.25">
      <c r="G6399" s="21"/>
    </row>
    <row r="6400" spans="7:7" x14ac:dyDescent="0.25">
      <c r="G6400" s="21"/>
    </row>
    <row r="6401" spans="7:7" x14ac:dyDescent="0.25">
      <c r="G6401" s="21"/>
    </row>
    <row r="6402" spans="7:7" x14ac:dyDescent="0.25">
      <c r="G6402" s="21"/>
    </row>
    <row r="6403" spans="7:7" x14ac:dyDescent="0.25">
      <c r="G6403" s="21"/>
    </row>
    <row r="6404" spans="7:7" x14ac:dyDescent="0.25">
      <c r="G6404" s="21"/>
    </row>
    <row r="6405" spans="7:7" x14ac:dyDescent="0.25">
      <c r="G6405" s="21"/>
    </row>
    <row r="6406" spans="7:7" x14ac:dyDescent="0.25">
      <c r="G6406" s="21"/>
    </row>
    <row r="6407" spans="7:7" x14ac:dyDescent="0.25">
      <c r="G6407" s="21"/>
    </row>
    <row r="6408" spans="7:7" x14ac:dyDescent="0.25">
      <c r="G6408" s="21"/>
    </row>
    <row r="6409" spans="7:7" x14ac:dyDescent="0.25">
      <c r="G6409" s="21"/>
    </row>
    <row r="6410" spans="7:7" x14ac:dyDescent="0.25">
      <c r="G6410" s="21"/>
    </row>
    <row r="6411" spans="7:7" x14ac:dyDescent="0.25">
      <c r="G6411" s="21"/>
    </row>
    <row r="6412" spans="7:7" x14ac:dyDescent="0.25">
      <c r="G6412" s="21"/>
    </row>
    <row r="6413" spans="7:7" x14ac:dyDescent="0.25">
      <c r="G6413" s="21"/>
    </row>
    <row r="6414" spans="7:7" x14ac:dyDescent="0.25">
      <c r="G6414" s="21"/>
    </row>
    <row r="6415" spans="7:7" x14ac:dyDescent="0.25">
      <c r="G6415" s="21"/>
    </row>
    <row r="6416" spans="7:7" x14ac:dyDescent="0.25">
      <c r="G6416" s="21"/>
    </row>
    <row r="6417" spans="7:7" x14ac:dyDescent="0.25">
      <c r="G6417" s="21"/>
    </row>
    <row r="6418" spans="7:7" x14ac:dyDescent="0.25">
      <c r="G6418" s="21"/>
    </row>
    <row r="6419" spans="7:7" x14ac:dyDescent="0.25">
      <c r="G6419" s="21"/>
    </row>
    <row r="6420" spans="7:7" x14ac:dyDescent="0.25">
      <c r="G6420" s="21"/>
    </row>
    <row r="6421" spans="7:7" x14ac:dyDescent="0.25">
      <c r="G6421" s="21"/>
    </row>
    <row r="6422" spans="7:7" x14ac:dyDescent="0.25">
      <c r="G6422" s="21"/>
    </row>
    <row r="6423" spans="7:7" x14ac:dyDescent="0.25">
      <c r="G6423" s="21"/>
    </row>
    <row r="6424" spans="7:7" x14ac:dyDescent="0.25">
      <c r="G6424" s="21"/>
    </row>
    <row r="6425" spans="7:7" x14ac:dyDescent="0.25">
      <c r="G6425" s="21"/>
    </row>
    <row r="6426" spans="7:7" x14ac:dyDescent="0.25">
      <c r="G6426" s="21"/>
    </row>
    <row r="6427" spans="7:7" x14ac:dyDescent="0.25">
      <c r="G6427" s="21"/>
    </row>
    <row r="6428" spans="7:7" x14ac:dyDescent="0.25">
      <c r="G6428" s="21"/>
    </row>
    <row r="6429" spans="7:7" x14ac:dyDescent="0.25">
      <c r="G6429" s="21"/>
    </row>
    <row r="6430" spans="7:7" x14ac:dyDescent="0.25">
      <c r="G6430" s="21"/>
    </row>
    <row r="6431" spans="7:7" x14ac:dyDescent="0.25">
      <c r="G6431" s="21"/>
    </row>
    <row r="6432" spans="7:7" x14ac:dyDescent="0.25">
      <c r="G6432" s="21"/>
    </row>
    <row r="6433" spans="7:7" x14ac:dyDescent="0.25">
      <c r="G6433" s="21"/>
    </row>
    <row r="6434" spans="7:7" x14ac:dyDescent="0.25">
      <c r="G6434" s="21"/>
    </row>
    <row r="6435" spans="7:7" x14ac:dyDescent="0.25">
      <c r="G6435" s="21"/>
    </row>
    <row r="6436" spans="7:7" x14ac:dyDescent="0.25">
      <c r="G6436" s="21"/>
    </row>
    <row r="6437" spans="7:7" x14ac:dyDescent="0.25">
      <c r="G6437" s="21"/>
    </row>
    <row r="6438" spans="7:7" x14ac:dyDescent="0.25">
      <c r="G6438" s="21"/>
    </row>
    <row r="6439" spans="7:7" x14ac:dyDescent="0.25">
      <c r="G6439" s="21"/>
    </row>
    <row r="6440" spans="7:7" x14ac:dyDescent="0.25">
      <c r="G6440" s="21"/>
    </row>
    <row r="6441" spans="7:7" x14ac:dyDescent="0.25">
      <c r="G6441" s="21"/>
    </row>
    <row r="6442" spans="7:7" x14ac:dyDescent="0.25">
      <c r="G6442" s="21"/>
    </row>
    <row r="6443" spans="7:7" x14ac:dyDescent="0.25">
      <c r="G6443" s="21"/>
    </row>
    <row r="6444" spans="7:7" x14ac:dyDescent="0.25">
      <c r="G6444" s="21"/>
    </row>
    <row r="6445" spans="7:7" x14ac:dyDescent="0.25">
      <c r="G6445" s="21"/>
    </row>
    <row r="6446" spans="7:7" x14ac:dyDescent="0.25">
      <c r="G6446" s="21"/>
    </row>
    <row r="6447" spans="7:7" x14ac:dyDescent="0.25">
      <c r="G6447" s="21"/>
    </row>
    <row r="6448" spans="7:7" x14ac:dyDescent="0.25">
      <c r="G6448" s="21"/>
    </row>
    <row r="6449" spans="7:7" x14ac:dyDescent="0.25">
      <c r="G6449" s="21"/>
    </row>
    <row r="6450" spans="7:7" x14ac:dyDescent="0.25">
      <c r="G6450" s="21"/>
    </row>
    <row r="6451" spans="7:7" x14ac:dyDescent="0.25">
      <c r="G6451" s="21"/>
    </row>
    <row r="6452" spans="7:7" x14ac:dyDescent="0.25">
      <c r="G6452" s="21"/>
    </row>
    <row r="6453" spans="7:7" x14ac:dyDescent="0.25">
      <c r="G6453" s="21"/>
    </row>
    <row r="6454" spans="7:7" x14ac:dyDescent="0.25">
      <c r="G6454" s="21"/>
    </row>
    <row r="6455" spans="7:7" x14ac:dyDescent="0.25">
      <c r="G6455" s="21"/>
    </row>
    <row r="6456" spans="7:7" x14ac:dyDescent="0.25">
      <c r="G6456" s="21"/>
    </row>
    <row r="6457" spans="7:7" x14ac:dyDescent="0.25">
      <c r="G6457" s="21"/>
    </row>
    <row r="6458" spans="7:7" x14ac:dyDescent="0.25">
      <c r="G6458" s="21"/>
    </row>
    <row r="6459" spans="7:7" x14ac:dyDescent="0.25">
      <c r="G6459" s="21"/>
    </row>
    <row r="6460" spans="7:7" x14ac:dyDescent="0.25">
      <c r="G6460" s="21"/>
    </row>
    <row r="6461" spans="7:7" x14ac:dyDescent="0.25">
      <c r="G6461" s="21"/>
    </row>
    <row r="6462" spans="7:7" x14ac:dyDescent="0.25">
      <c r="G6462" s="21"/>
    </row>
    <row r="6463" spans="7:7" x14ac:dyDescent="0.25">
      <c r="G6463" s="21"/>
    </row>
    <row r="6464" spans="7:7" x14ac:dyDescent="0.25">
      <c r="G6464" s="21"/>
    </row>
    <row r="6465" spans="7:7" x14ac:dyDescent="0.25">
      <c r="G6465" s="21"/>
    </row>
    <row r="6466" spans="7:7" x14ac:dyDescent="0.25">
      <c r="G6466" s="21"/>
    </row>
    <row r="6467" spans="7:7" x14ac:dyDescent="0.25">
      <c r="G6467" s="21"/>
    </row>
    <row r="6468" spans="7:7" x14ac:dyDescent="0.25">
      <c r="G6468" s="21"/>
    </row>
    <row r="6469" spans="7:7" x14ac:dyDescent="0.25">
      <c r="G6469" s="21"/>
    </row>
    <row r="6470" spans="7:7" x14ac:dyDescent="0.25">
      <c r="G6470" s="21"/>
    </row>
    <row r="6471" spans="7:7" x14ac:dyDescent="0.25">
      <c r="G6471" s="21"/>
    </row>
    <row r="6472" spans="7:7" x14ac:dyDescent="0.25">
      <c r="G6472" s="21"/>
    </row>
    <row r="6473" spans="7:7" x14ac:dyDescent="0.25">
      <c r="G6473" s="21"/>
    </row>
    <row r="6474" spans="7:7" x14ac:dyDescent="0.25">
      <c r="G6474" s="21"/>
    </row>
    <row r="6475" spans="7:7" x14ac:dyDescent="0.25">
      <c r="G6475" s="21"/>
    </row>
    <row r="6476" spans="7:7" x14ac:dyDescent="0.25">
      <c r="G6476" s="21"/>
    </row>
    <row r="6477" spans="7:7" x14ac:dyDescent="0.25">
      <c r="G6477" s="21"/>
    </row>
    <row r="6478" spans="7:7" x14ac:dyDescent="0.25">
      <c r="G6478" s="21"/>
    </row>
    <row r="6479" spans="7:7" x14ac:dyDescent="0.25">
      <c r="G6479" s="21"/>
    </row>
    <row r="6480" spans="7:7" x14ac:dyDescent="0.25">
      <c r="G6480" s="21"/>
    </row>
    <row r="6481" spans="7:7" x14ac:dyDescent="0.25">
      <c r="G6481" s="21"/>
    </row>
    <row r="6482" spans="7:7" x14ac:dyDescent="0.25">
      <c r="G6482" s="21"/>
    </row>
    <row r="6483" spans="7:7" x14ac:dyDescent="0.25">
      <c r="G6483" s="21"/>
    </row>
    <row r="6484" spans="7:7" x14ac:dyDescent="0.25">
      <c r="G6484" s="21"/>
    </row>
    <row r="6485" spans="7:7" x14ac:dyDescent="0.25">
      <c r="G6485" s="21"/>
    </row>
    <row r="6486" spans="7:7" x14ac:dyDescent="0.25">
      <c r="G6486" s="21"/>
    </row>
    <row r="6487" spans="7:7" x14ac:dyDescent="0.25">
      <c r="G6487" s="21"/>
    </row>
    <row r="6488" spans="7:7" x14ac:dyDescent="0.25">
      <c r="G6488" s="21"/>
    </row>
    <row r="6489" spans="7:7" x14ac:dyDescent="0.25">
      <c r="G6489" s="21"/>
    </row>
    <row r="6490" spans="7:7" x14ac:dyDescent="0.25">
      <c r="G6490" s="21"/>
    </row>
    <row r="6491" spans="7:7" x14ac:dyDescent="0.25">
      <c r="G6491" s="21"/>
    </row>
    <row r="6492" spans="7:7" x14ac:dyDescent="0.25">
      <c r="G6492" s="21"/>
    </row>
    <row r="6493" spans="7:7" x14ac:dyDescent="0.25">
      <c r="G6493" s="21"/>
    </row>
    <row r="6494" spans="7:7" x14ac:dyDescent="0.25">
      <c r="G6494" s="21"/>
    </row>
    <row r="6495" spans="7:7" x14ac:dyDescent="0.25">
      <c r="G6495" s="21"/>
    </row>
    <row r="6496" spans="7:7" x14ac:dyDescent="0.25">
      <c r="G6496" s="21"/>
    </row>
    <row r="6497" spans="7:7" x14ac:dyDescent="0.25">
      <c r="G6497" s="21"/>
    </row>
    <row r="6498" spans="7:7" x14ac:dyDescent="0.25">
      <c r="G6498" s="21"/>
    </row>
    <row r="6499" spans="7:7" x14ac:dyDescent="0.25">
      <c r="G6499" s="21"/>
    </row>
    <row r="6500" spans="7:7" x14ac:dyDescent="0.25">
      <c r="G6500" s="21"/>
    </row>
    <row r="6501" spans="7:7" x14ac:dyDescent="0.25">
      <c r="G6501" s="21"/>
    </row>
    <row r="6502" spans="7:7" x14ac:dyDescent="0.25">
      <c r="G6502" s="21"/>
    </row>
    <row r="6503" spans="7:7" x14ac:dyDescent="0.25">
      <c r="G6503" s="21"/>
    </row>
    <row r="6504" spans="7:7" x14ac:dyDescent="0.25">
      <c r="G6504" s="21"/>
    </row>
    <row r="6505" spans="7:7" x14ac:dyDescent="0.25">
      <c r="G6505" s="21"/>
    </row>
    <row r="6506" spans="7:7" x14ac:dyDescent="0.25">
      <c r="G6506" s="21"/>
    </row>
    <row r="6507" spans="7:7" x14ac:dyDescent="0.25">
      <c r="G6507" s="21"/>
    </row>
    <row r="6508" spans="7:7" x14ac:dyDescent="0.25">
      <c r="G6508" s="21"/>
    </row>
    <row r="6509" spans="7:7" x14ac:dyDescent="0.25">
      <c r="G6509" s="21"/>
    </row>
    <row r="6510" spans="7:7" x14ac:dyDescent="0.25">
      <c r="G6510" s="21"/>
    </row>
    <row r="6511" spans="7:7" x14ac:dyDescent="0.25">
      <c r="G6511" s="21"/>
    </row>
    <row r="6512" spans="7:7" x14ac:dyDescent="0.25">
      <c r="G6512" s="21"/>
    </row>
    <row r="6513" spans="7:7" x14ac:dyDescent="0.25">
      <c r="G6513" s="21"/>
    </row>
    <row r="6514" spans="7:7" x14ac:dyDescent="0.25">
      <c r="G6514" s="21"/>
    </row>
    <row r="6515" spans="7:7" x14ac:dyDescent="0.25">
      <c r="G6515" s="21"/>
    </row>
    <row r="6516" spans="7:7" x14ac:dyDescent="0.25">
      <c r="G6516" s="21"/>
    </row>
    <row r="6517" spans="7:7" x14ac:dyDescent="0.25">
      <c r="G6517" s="21"/>
    </row>
    <row r="6518" spans="7:7" x14ac:dyDescent="0.25">
      <c r="G6518" s="21"/>
    </row>
    <row r="6519" spans="7:7" x14ac:dyDescent="0.25">
      <c r="G6519" s="21"/>
    </row>
    <row r="6520" spans="7:7" x14ac:dyDescent="0.25">
      <c r="G6520" s="21"/>
    </row>
    <row r="6521" spans="7:7" x14ac:dyDescent="0.25">
      <c r="G6521" s="21"/>
    </row>
    <row r="6522" spans="7:7" x14ac:dyDescent="0.25">
      <c r="G6522" s="21"/>
    </row>
    <row r="6523" spans="7:7" x14ac:dyDescent="0.25">
      <c r="G6523" s="21"/>
    </row>
    <row r="6524" spans="7:7" x14ac:dyDescent="0.25">
      <c r="G6524" s="21"/>
    </row>
    <row r="6525" spans="7:7" x14ac:dyDescent="0.25">
      <c r="G6525" s="21"/>
    </row>
    <row r="6526" spans="7:7" x14ac:dyDescent="0.25">
      <c r="G6526" s="21"/>
    </row>
    <row r="6527" spans="7:7" x14ac:dyDescent="0.25">
      <c r="G6527" s="21"/>
    </row>
    <row r="6528" spans="7:7" x14ac:dyDescent="0.25">
      <c r="G6528" s="21"/>
    </row>
    <row r="6529" spans="7:7" x14ac:dyDescent="0.25">
      <c r="G6529" s="21"/>
    </row>
    <row r="6530" spans="7:7" x14ac:dyDescent="0.25">
      <c r="G6530" s="21"/>
    </row>
    <row r="6531" spans="7:7" x14ac:dyDescent="0.25">
      <c r="G6531" s="21"/>
    </row>
    <row r="6532" spans="7:7" x14ac:dyDescent="0.25">
      <c r="G6532" s="21"/>
    </row>
    <row r="6533" spans="7:7" x14ac:dyDescent="0.25">
      <c r="G6533" s="21"/>
    </row>
    <row r="6534" spans="7:7" x14ac:dyDescent="0.25">
      <c r="G6534" s="21"/>
    </row>
    <row r="6535" spans="7:7" x14ac:dyDescent="0.25">
      <c r="G6535" s="21"/>
    </row>
    <row r="6536" spans="7:7" x14ac:dyDescent="0.25">
      <c r="G6536" s="21"/>
    </row>
    <row r="6537" spans="7:7" x14ac:dyDescent="0.25">
      <c r="G6537" s="21"/>
    </row>
    <row r="6538" spans="7:7" x14ac:dyDescent="0.25">
      <c r="G6538" s="21"/>
    </row>
    <row r="6539" spans="7:7" x14ac:dyDescent="0.25">
      <c r="G6539" s="21"/>
    </row>
    <row r="6540" spans="7:7" x14ac:dyDescent="0.25">
      <c r="G6540" s="21"/>
    </row>
    <row r="6541" spans="7:7" x14ac:dyDescent="0.25">
      <c r="G6541" s="21"/>
    </row>
    <row r="6542" spans="7:7" x14ac:dyDescent="0.25">
      <c r="G6542" s="21"/>
    </row>
    <row r="6543" spans="7:7" x14ac:dyDescent="0.25">
      <c r="G6543" s="21"/>
    </row>
    <row r="6544" spans="7:7" x14ac:dyDescent="0.25">
      <c r="G6544" s="21"/>
    </row>
    <row r="6545" spans="7:7" x14ac:dyDescent="0.25">
      <c r="G6545" s="21"/>
    </row>
    <row r="6546" spans="7:7" x14ac:dyDescent="0.25">
      <c r="G6546" s="21"/>
    </row>
    <row r="6547" spans="7:7" x14ac:dyDescent="0.25">
      <c r="G6547" s="21"/>
    </row>
    <row r="6548" spans="7:7" x14ac:dyDescent="0.25">
      <c r="G6548" s="21"/>
    </row>
    <row r="6549" spans="7:7" x14ac:dyDescent="0.25">
      <c r="G6549" s="21"/>
    </row>
    <row r="6550" spans="7:7" x14ac:dyDescent="0.25">
      <c r="G6550" s="21"/>
    </row>
    <row r="6551" spans="7:7" x14ac:dyDescent="0.25">
      <c r="G6551" s="21"/>
    </row>
    <row r="6552" spans="7:7" x14ac:dyDescent="0.25">
      <c r="G6552" s="21"/>
    </row>
    <row r="6553" spans="7:7" x14ac:dyDescent="0.25">
      <c r="G6553" s="21"/>
    </row>
    <row r="6554" spans="7:7" x14ac:dyDescent="0.25">
      <c r="G6554" s="21"/>
    </row>
    <row r="6555" spans="7:7" x14ac:dyDescent="0.25">
      <c r="G6555" s="21"/>
    </row>
    <row r="6556" spans="7:7" x14ac:dyDescent="0.25">
      <c r="G6556" s="21"/>
    </row>
    <row r="6557" spans="7:7" x14ac:dyDescent="0.25">
      <c r="G6557" s="21"/>
    </row>
    <row r="6558" spans="7:7" x14ac:dyDescent="0.25">
      <c r="G6558" s="21"/>
    </row>
    <row r="6559" spans="7:7" x14ac:dyDescent="0.25">
      <c r="G6559" s="21"/>
    </row>
    <row r="6560" spans="7:7" x14ac:dyDescent="0.25">
      <c r="G6560" s="21"/>
    </row>
    <row r="6561" spans="7:7" x14ac:dyDescent="0.25">
      <c r="G6561" s="21"/>
    </row>
    <row r="6562" spans="7:7" x14ac:dyDescent="0.25">
      <c r="G6562" s="21"/>
    </row>
    <row r="6563" spans="7:7" x14ac:dyDescent="0.25">
      <c r="G6563" s="21"/>
    </row>
    <row r="6564" spans="7:7" x14ac:dyDescent="0.25">
      <c r="G6564" s="21"/>
    </row>
    <row r="6565" spans="7:7" x14ac:dyDescent="0.25">
      <c r="G6565" s="21"/>
    </row>
    <row r="6566" spans="7:7" x14ac:dyDescent="0.25">
      <c r="G6566" s="21"/>
    </row>
    <row r="6567" spans="7:7" x14ac:dyDescent="0.25">
      <c r="G6567" s="21"/>
    </row>
    <row r="6568" spans="7:7" x14ac:dyDescent="0.25">
      <c r="G6568" s="21"/>
    </row>
    <row r="6569" spans="7:7" x14ac:dyDescent="0.25">
      <c r="G6569" s="21"/>
    </row>
    <row r="6570" spans="7:7" x14ac:dyDescent="0.25">
      <c r="G6570" s="21"/>
    </row>
    <row r="6571" spans="7:7" x14ac:dyDescent="0.25">
      <c r="G6571" s="21"/>
    </row>
    <row r="6572" spans="7:7" x14ac:dyDescent="0.25">
      <c r="G6572" s="21"/>
    </row>
    <row r="6573" spans="7:7" x14ac:dyDescent="0.25">
      <c r="G6573" s="21"/>
    </row>
    <row r="6574" spans="7:7" x14ac:dyDescent="0.25">
      <c r="G6574" s="21"/>
    </row>
    <row r="6575" spans="7:7" x14ac:dyDescent="0.25">
      <c r="G6575" s="21"/>
    </row>
    <row r="6576" spans="7:7" x14ac:dyDescent="0.25">
      <c r="G6576" s="21"/>
    </row>
    <row r="6577" spans="7:7" x14ac:dyDescent="0.25">
      <c r="G6577" s="21"/>
    </row>
    <row r="6578" spans="7:7" x14ac:dyDescent="0.25">
      <c r="G6578" s="21"/>
    </row>
    <row r="6579" spans="7:7" x14ac:dyDescent="0.25">
      <c r="G6579" s="21"/>
    </row>
    <row r="6580" spans="7:7" x14ac:dyDescent="0.25">
      <c r="G6580" s="21"/>
    </row>
    <row r="6581" spans="7:7" x14ac:dyDescent="0.25">
      <c r="G6581" s="21"/>
    </row>
    <row r="6582" spans="7:7" x14ac:dyDescent="0.25">
      <c r="G6582" s="21"/>
    </row>
    <row r="6583" spans="7:7" x14ac:dyDescent="0.25">
      <c r="G6583" s="21"/>
    </row>
    <row r="6584" spans="7:7" x14ac:dyDescent="0.25">
      <c r="G6584" s="21"/>
    </row>
    <row r="6585" spans="7:7" x14ac:dyDescent="0.25">
      <c r="G6585" s="21"/>
    </row>
    <row r="6586" spans="7:7" x14ac:dyDescent="0.25">
      <c r="G6586" s="21"/>
    </row>
    <row r="6587" spans="7:7" x14ac:dyDescent="0.25">
      <c r="G6587" s="21"/>
    </row>
    <row r="6588" spans="7:7" x14ac:dyDescent="0.25">
      <c r="G6588" s="21"/>
    </row>
    <row r="6589" spans="7:7" x14ac:dyDescent="0.25">
      <c r="G6589" s="21"/>
    </row>
    <row r="6590" spans="7:7" x14ac:dyDescent="0.25">
      <c r="G6590" s="21"/>
    </row>
    <row r="6591" spans="7:7" x14ac:dyDescent="0.25">
      <c r="G6591" s="21"/>
    </row>
    <row r="6592" spans="7:7" x14ac:dyDescent="0.25">
      <c r="G6592" s="21"/>
    </row>
    <row r="6593" spans="7:7" x14ac:dyDescent="0.25">
      <c r="G6593" s="21"/>
    </row>
    <row r="6594" spans="7:7" x14ac:dyDescent="0.25">
      <c r="G6594" s="21"/>
    </row>
    <row r="6595" spans="7:7" x14ac:dyDescent="0.25">
      <c r="G6595" s="21"/>
    </row>
    <row r="6596" spans="7:7" x14ac:dyDescent="0.25">
      <c r="G6596" s="21"/>
    </row>
    <row r="6597" spans="7:7" x14ac:dyDescent="0.25">
      <c r="G6597" s="21"/>
    </row>
    <row r="6598" spans="7:7" x14ac:dyDescent="0.25">
      <c r="G6598" s="21"/>
    </row>
    <row r="6599" spans="7:7" x14ac:dyDescent="0.25">
      <c r="G6599" s="21"/>
    </row>
    <row r="6600" spans="7:7" x14ac:dyDescent="0.25">
      <c r="G6600" s="21"/>
    </row>
    <row r="6601" spans="7:7" x14ac:dyDescent="0.25">
      <c r="G6601" s="21"/>
    </row>
    <row r="6602" spans="7:7" x14ac:dyDescent="0.25">
      <c r="G6602" s="21"/>
    </row>
    <row r="6603" spans="7:7" x14ac:dyDescent="0.25">
      <c r="G6603" s="21"/>
    </row>
    <row r="6604" spans="7:7" x14ac:dyDescent="0.25">
      <c r="G6604" s="21"/>
    </row>
    <row r="6605" spans="7:7" x14ac:dyDescent="0.25">
      <c r="G6605" s="21"/>
    </row>
    <row r="6606" spans="7:7" x14ac:dyDescent="0.25">
      <c r="G6606" s="21"/>
    </row>
    <row r="6607" spans="7:7" x14ac:dyDescent="0.25">
      <c r="G6607" s="21"/>
    </row>
    <row r="6608" spans="7:7" x14ac:dyDescent="0.25">
      <c r="G6608" s="21"/>
    </row>
    <row r="6609" spans="7:7" x14ac:dyDescent="0.25">
      <c r="G6609" s="21"/>
    </row>
    <row r="6610" spans="7:7" x14ac:dyDescent="0.25">
      <c r="G6610" s="21"/>
    </row>
    <row r="6611" spans="7:7" x14ac:dyDescent="0.25">
      <c r="G6611" s="21"/>
    </row>
    <row r="6612" spans="7:7" x14ac:dyDescent="0.25">
      <c r="G6612" s="21"/>
    </row>
    <row r="6613" spans="7:7" x14ac:dyDescent="0.25">
      <c r="G6613" s="21"/>
    </row>
    <row r="6614" spans="7:7" x14ac:dyDescent="0.25">
      <c r="G6614" s="21"/>
    </row>
    <row r="6615" spans="7:7" x14ac:dyDescent="0.25">
      <c r="G6615" s="21"/>
    </row>
    <row r="6616" spans="7:7" x14ac:dyDescent="0.25">
      <c r="G6616" s="21"/>
    </row>
    <row r="6617" spans="7:7" x14ac:dyDescent="0.25">
      <c r="G6617" s="21"/>
    </row>
    <row r="6618" spans="7:7" x14ac:dyDescent="0.25">
      <c r="G6618" s="21"/>
    </row>
    <row r="6619" spans="7:7" x14ac:dyDescent="0.25">
      <c r="G6619" s="21"/>
    </row>
    <row r="6620" spans="7:7" x14ac:dyDescent="0.25">
      <c r="G6620" s="21"/>
    </row>
    <row r="6621" spans="7:7" x14ac:dyDescent="0.25">
      <c r="G6621" s="21"/>
    </row>
    <row r="6622" spans="7:7" x14ac:dyDescent="0.25">
      <c r="G6622" s="21"/>
    </row>
    <row r="6623" spans="7:7" x14ac:dyDescent="0.25">
      <c r="G6623" s="21"/>
    </row>
    <row r="6624" spans="7:7" x14ac:dyDescent="0.25">
      <c r="G6624" s="21"/>
    </row>
    <row r="6625" spans="7:7" x14ac:dyDescent="0.25">
      <c r="G6625" s="21"/>
    </row>
    <row r="6626" spans="7:7" x14ac:dyDescent="0.25">
      <c r="G6626" s="21"/>
    </row>
    <row r="6627" spans="7:7" x14ac:dyDescent="0.25">
      <c r="G6627" s="21"/>
    </row>
    <row r="6628" spans="7:7" x14ac:dyDescent="0.25">
      <c r="G6628" s="21"/>
    </row>
    <row r="6629" spans="7:7" x14ac:dyDescent="0.25">
      <c r="G6629" s="21"/>
    </row>
    <row r="6630" spans="7:7" x14ac:dyDescent="0.25">
      <c r="G6630" s="21"/>
    </row>
    <row r="6631" spans="7:7" x14ac:dyDescent="0.25">
      <c r="G6631" s="21"/>
    </row>
    <row r="6632" spans="7:7" x14ac:dyDescent="0.25">
      <c r="G6632" s="21"/>
    </row>
    <row r="6633" spans="7:7" x14ac:dyDescent="0.25">
      <c r="G6633" s="21"/>
    </row>
    <row r="6634" spans="7:7" x14ac:dyDescent="0.25">
      <c r="G6634" s="21"/>
    </row>
    <row r="6635" spans="7:7" x14ac:dyDescent="0.25">
      <c r="G6635" s="21"/>
    </row>
    <row r="6636" spans="7:7" x14ac:dyDescent="0.25">
      <c r="G6636" s="21"/>
    </row>
    <row r="6637" spans="7:7" x14ac:dyDescent="0.25">
      <c r="G6637" s="21"/>
    </row>
    <row r="6638" spans="7:7" x14ac:dyDescent="0.25">
      <c r="G6638" s="21"/>
    </row>
    <row r="6639" spans="7:7" x14ac:dyDescent="0.25">
      <c r="G6639" s="21"/>
    </row>
    <row r="6640" spans="7:7" x14ac:dyDescent="0.25">
      <c r="G6640" s="21"/>
    </row>
    <row r="6641" spans="7:7" x14ac:dyDescent="0.25">
      <c r="G6641" s="21"/>
    </row>
    <row r="6642" spans="7:7" x14ac:dyDescent="0.25">
      <c r="G6642" s="21"/>
    </row>
    <row r="6643" spans="7:7" x14ac:dyDescent="0.25">
      <c r="G6643" s="21"/>
    </row>
    <row r="6644" spans="7:7" x14ac:dyDescent="0.25">
      <c r="G6644" s="21"/>
    </row>
    <row r="6645" spans="7:7" x14ac:dyDescent="0.25">
      <c r="G6645" s="21"/>
    </row>
    <row r="6646" spans="7:7" x14ac:dyDescent="0.25">
      <c r="G6646" s="21"/>
    </row>
    <row r="6647" spans="7:7" x14ac:dyDescent="0.25">
      <c r="G6647" s="21"/>
    </row>
    <row r="6648" spans="7:7" x14ac:dyDescent="0.25">
      <c r="G6648" s="21"/>
    </row>
    <row r="6649" spans="7:7" x14ac:dyDescent="0.25">
      <c r="G6649" s="21"/>
    </row>
    <row r="6650" spans="7:7" x14ac:dyDescent="0.25">
      <c r="G6650" s="21"/>
    </row>
    <row r="6651" spans="7:7" x14ac:dyDescent="0.25">
      <c r="G6651" s="21"/>
    </row>
    <row r="6652" spans="7:7" x14ac:dyDescent="0.25">
      <c r="G6652" s="21"/>
    </row>
    <row r="6653" spans="7:7" x14ac:dyDescent="0.25">
      <c r="G6653" s="21"/>
    </row>
    <row r="6654" spans="7:7" x14ac:dyDescent="0.25">
      <c r="G6654" s="21"/>
    </row>
    <row r="6655" spans="7:7" x14ac:dyDescent="0.25">
      <c r="G6655" s="21"/>
    </row>
    <row r="6656" spans="7:7" x14ac:dyDescent="0.25">
      <c r="G6656" s="21"/>
    </row>
    <row r="6657" spans="7:7" x14ac:dyDescent="0.25">
      <c r="G6657" s="21"/>
    </row>
    <row r="6658" spans="7:7" x14ac:dyDescent="0.25">
      <c r="G6658" s="21"/>
    </row>
    <row r="6659" spans="7:7" x14ac:dyDescent="0.25">
      <c r="G6659" s="21"/>
    </row>
    <row r="6660" spans="7:7" x14ac:dyDescent="0.25">
      <c r="G6660" s="21"/>
    </row>
    <row r="6661" spans="7:7" x14ac:dyDescent="0.25">
      <c r="G6661" s="21"/>
    </row>
    <row r="6662" spans="7:7" x14ac:dyDescent="0.25">
      <c r="G6662" s="21"/>
    </row>
    <row r="6663" spans="7:7" x14ac:dyDescent="0.25">
      <c r="G6663" s="21"/>
    </row>
    <row r="6664" spans="7:7" x14ac:dyDescent="0.25">
      <c r="G6664" s="21"/>
    </row>
    <row r="6665" spans="7:7" x14ac:dyDescent="0.25">
      <c r="G6665" s="21"/>
    </row>
    <row r="6666" spans="7:7" x14ac:dyDescent="0.25">
      <c r="G6666" s="21"/>
    </row>
    <row r="6667" spans="7:7" x14ac:dyDescent="0.25">
      <c r="G6667" s="21"/>
    </row>
    <row r="6668" spans="7:7" x14ac:dyDescent="0.25">
      <c r="G6668" s="21"/>
    </row>
    <row r="6669" spans="7:7" x14ac:dyDescent="0.25">
      <c r="G6669" s="21"/>
    </row>
    <row r="6670" spans="7:7" x14ac:dyDescent="0.25">
      <c r="G6670" s="21"/>
    </row>
    <row r="6671" spans="7:7" x14ac:dyDescent="0.25">
      <c r="G6671" s="21"/>
    </row>
    <row r="6672" spans="7:7" x14ac:dyDescent="0.25">
      <c r="G6672" s="21"/>
    </row>
    <row r="6673" spans="7:7" x14ac:dyDescent="0.25">
      <c r="G6673" s="21"/>
    </row>
    <row r="6674" spans="7:7" x14ac:dyDescent="0.25">
      <c r="G6674" s="21"/>
    </row>
    <row r="6675" spans="7:7" x14ac:dyDescent="0.25">
      <c r="G6675" s="21"/>
    </row>
    <row r="6676" spans="7:7" x14ac:dyDescent="0.25">
      <c r="G6676" s="21"/>
    </row>
    <row r="6677" spans="7:7" x14ac:dyDescent="0.25">
      <c r="G6677" s="21"/>
    </row>
    <row r="6678" spans="7:7" x14ac:dyDescent="0.25">
      <c r="G6678" s="21"/>
    </row>
    <row r="6679" spans="7:7" x14ac:dyDescent="0.25">
      <c r="G6679" s="21"/>
    </row>
    <row r="6680" spans="7:7" x14ac:dyDescent="0.25">
      <c r="G6680" s="21"/>
    </row>
    <row r="6681" spans="7:7" x14ac:dyDescent="0.25">
      <c r="G6681" s="21"/>
    </row>
    <row r="6682" spans="7:7" x14ac:dyDescent="0.25">
      <c r="G6682" s="21"/>
    </row>
    <row r="6683" spans="7:7" x14ac:dyDescent="0.25">
      <c r="G6683" s="21"/>
    </row>
    <row r="6684" spans="7:7" x14ac:dyDescent="0.25">
      <c r="G6684" s="21"/>
    </row>
    <row r="6685" spans="7:7" x14ac:dyDescent="0.25">
      <c r="G6685" s="21"/>
    </row>
    <row r="6686" spans="7:7" x14ac:dyDescent="0.25">
      <c r="G6686" s="21"/>
    </row>
    <row r="6687" spans="7:7" x14ac:dyDescent="0.25">
      <c r="G6687" s="21"/>
    </row>
    <row r="6688" spans="7:7" x14ac:dyDescent="0.25">
      <c r="G6688" s="21"/>
    </row>
    <row r="6689" spans="7:7" x14ac:dyDescent="0.25">
      <c r="G6689" s="21"/>
    </row>
    <row r="6690" spans="7:7" x14ac:dyDescent="0.25">
      <c r="G6690" s="21"/>
    </row>
    <row r="6691" spans="7:7" x14ac:dyDescent="0.25">
      <c r="G6691" s="21"/>
    </row>
    <row r="6692" spans="7:7" x14ac:dyDescent="0.25">
      <c r="G6692" s="21"/>
    </row>
    <row r="6693" spans="7:7" x14ac:dyDescent="0.25">
      <c r="G6693" s="21"/>
    </row>
    <row r="6694" spans="7:7" x14ac:dyDescent="0.25">
      <c r="G6694" s="21"/>
    </row>
    <row r="6695" spans="7:7" x14ac:dyDescent="0.25">
      <c r="G6695" s="21"/>
    </row>
    <row r="6696" spans="7:7" x14ac:dyDescent="0.25">
      <c r="G6696" s="21"/>
    </row>
    <row r="6697" spans="7:7" x14ac:dyDescent="0.25">
      <c r="G6697" s="21"/>
    </row>
    <row r="6698" spans="7:7" x14ac:dyDescent="0.25">
      <c r="G6698" s="21"/>
    </row>
    <row r="6699" spans="7:7" x14ac:dyDescent="0.25">
      <c r="G6699" s="21"/>
    </row>
    <row r="6700" spans="7:7" x14ac:dyDescent="0.25">
      <c r="G6700" s="21"/>
    </row>
    <row r="6701" spans="7:7" x14ac:dyDescent="0.25">
      <c r="G6701" s="21"/>
    </row>
    <row r="6702" spans="7:7" x14ac:dyDescent="0.25">
      <c r="G6702" s="21"/>
    </row>
    <row r="6703" spans="7:7" x14ac:dyDescent="0.25">
      <c r="G6703" s="21"/>
    </row>
    <row r="6704" spans="7:7" x14ac:dyDescent="0.25">
      <c r="G6704" s="21"/>
    </row>
    <row r="6705" spans="7:7" x14ac:dyDescent="0.25">
      <c r="G6705" s="21"/>
    </row>
    <row r="6706" spans="7:7" x14ac:dyDescent="0.25">
      <c r="G6706" s="21"/>
    </row>
    <row r="6707" spans="7:7" x14ac:dyDescent="0.25">
      <c r="G6707" s="21"/>
    </row>
    <row r="6708" spans="7:7" x14ac:dyDescent="0.25">
      <c r="G6708" s="21"/>
    </row>
    <row r="6709" spans="7:7" x14ac:dyDescent="0.25">
      <c r="G6709" s="21"/>
    </row>
    <row r="6710" spans="7:7" x14ac:dyDescent="0.25">
      <c r="G6710" s="21"/>
    </row>
    <row r="6711" spans="7:7" x14ac:dyDescent="0.25">
      <c r="G6711" s="21"/>
    </row>
    <row r="6712" spans="7:7" x14ac:dyDescent="0.25">
      <c r="G6712" s="21"/>
    </row>
    <row r="6713" spans="7:7" x14ac:dyDescent="0.25">
      <c r="G6713" s="21"/>
    </row>
    <row r="6714" spans="7:7" x14ac:dyDescent="0.25">
      <c r="G6714" s="21"/>
    </row>
    <row r="6715" spans="7:7" x14ac:dyDescent="0.25">
      <c r="G6715" s="21"/>
    </row>
    <row r="6716" spans="7:7" x14ac:dyDescent="0.25">
      <c r="G6716" s="21"/>
    </row>
    <row r="6717" spans="7:7" x14ac:dyDescent="0.25">
      <c r="G6717" s="21"/>
    </row>
    <row r="6718" spans="7:7" x14ac:dyDescent="0.25">
      <c r="G6718" s="21"/>
    </row>
    <row r="6719" spans="7:7" x14ac:dyDescent="0.25">
      <c r="G6719" s="21"/>
    </row>
    <row r="6720" spans="7:7" x14ac:dyDescent="0.25">
      <c r="G6720" s="21"/>
    </row>
    <row r="6721" spans="7:7" x14ac:dyDescent="0.25">
      <c r="G6721" s="21"/>
    </row>
    <row r="6722" spans="7:7" x14ac:dyDescent="0.25">
      <c r="G6722" s="21"/>
    </row>
    <row r="6723" spans="7:7" x14ac:dyDescent="0.25">
      <c r="G6723" s="21"/>
    </row>
    <row r="6724" spans="7:7" x14ac:dyDescent="0.25">
      <c r="G6724" s="21"/>
    </row>
    <row r="6725" spans="7:7" x14ac:dyDescent="0.25">
      <c r="G6725" s="21"/>
    </row>
    <row r="6726" spans="7:7" x14ac:dyDescent="0.25">
      <c r="G6726" s="21"/>
    </row>
    <row r="6727" spans="7:7" x14ac:dyDescent="0.25">
      <c r="G6727" s="21"/>
    </row>
    <row r="6728" spans="7:7" x14ac:dyDescent="0.25">
      <c r="G6728" s="21"/>
    </row>
    <row r="6729" spans="7:7" x14ac:dyDescent="0.25">
      <c r="G6729" s="21"/>
    </row>
    <row r="6730" spans="7:7" x14ac:dyDescent="0.25">
      <c r="G6730" s="21"/>
    </row>
    <row r="6731" spans="7:7" x14ac:dyDescent="0.25">
      <c r="G6731" s="21"/>
    </row>
    <row r="6732" spans="7:7" x14ac:dyDescent="0.25">
      <c r="G6732" s="21"/>
    </row>
    <row r="6733" spans="7:7" x14ac:dyDescent="0.25">
      <c r="G6733" s="21"/>
    </row>
    <row r="6734" spans="7:7" x14ac:dyDescent="0.25">
      <c r="G6734" s="21"/>
    </row>
    <row r="6735" spans="7:7" x14ac:dyDescent="0.25">
      <c r="G6735" s="21"/>
    </row>
    <row r="6736" spans="7:7" x14ac:dyDescent="0.25">
      <c r="G6736" s="21"/>
    </row>
    <row r="6737" spans="7:7" x14ac:dyDescent="0.25">
      <c r="G6737" s="21"/>
    </row>
    <row r="6738" spans="7:7" x14ac:dyDescent="0.25">
      <c r="G6738" s="21"/>
    </row>
    <row r="6739" spans="7:7" x14ac:dyDescent="0.25">
      <c r="G6739" s="21"/>
    </row>
    <row r="6740" spans="7:7" x14ac:dyDescent="0.25">
      <c r="G6740" s="21"/>
    </row>
    <row r="6741" spans="7:7" x14ac:dyDescent="0.25">
      <c r="G6741" s="21"/>
    </row>
    <row r="6742" spans="7:7" x14ac:dyDescent="0.25">
      <c r="G6742" s="21"/>
    </row>
    <row r="6743" spans="7:7" x14ac:dyDescent="0.25">
      <c r="G6743" s="21"/>
    </row>
    <row r="6744" spans="7:7" x14ac:dyDescent="0.25">
      <c r="G6744" s="21"/>
    </row>
    <row r="6745" spans="7:7" x14ac:dyDescent="0.25">
      <c r="G6745" s="21"/>
    </row>
    <row r="6746" spans="7:7" x14ac:dyDescent="0.25">
      <c r="G6746" s="21"/>
    </row>
    <row r="6747" spans="7:7" x14ac:dyDescent="0.25">
      <c r="G6747" s="21"/>
    </row>
    <row r="6748" spans="7:7" x14ac:dyDescent="0.25">
      <c r="G6748" s="21"/>
    </row>
    <row r="6749" spans="7:7" x14ac:dyDescent="0.25">
      <c r="G6749" s="21"/>
    </row>
    <row r="6750" spans="7:7" x14ac:dyDescent="0.25">
      <c r="G6750" s="21"/>
    </row>
    <row r="6751" spans="7:7" x14ac:dyDescent="0.25">
      <c r="G6751" s="21"/>
    </row>
    <row r="6752" spans="7:7" x14ac:dyDescent="0.25">
      <c r="G6752" s="21"/>
    </row>
    <row r="6753" spans="7:7" x14ac:dyDescent="0.25">
      <c r="G6753" s="21"/>
    </row>
    <row r="6754" spans="7:7" x14ac:dyDescent="0.25">
      <c r="G6754" s="21"/>
    </row>
    <row r="6755" spans="7:7" x14ac:dyDescent="0.25">
      <c r="G6755" s="21"/>
    </row>
    <row r="6756" spans="7:7" x14ac:dyDescent="0.25">
      <c r="G6756" s="21"/>
    </row>
    <row r="6757" spans="7:7" x14ac:dyDescent="0.25">
      <c r="G6757" s="21"/>
    </row>
    <row r="6758" spans="7:7" x14ac:dyDescent="0.25">
      <c r="G6758" s="21"/>
    </row>
    <row r="6759" spans="7:7" x14ac:dyDescent="0.25">
      <c r="G6759" s="21"/>
    </row>
    <row r="6760" spans="7:7" x14ac:dyDescent="0.25">
      <c r="G6760" s="21"/>
    </row>
    <row r="6761" spans="7:7" x14ac:dyDescent="0.25">
      <c r="G6761" s="21"/>
    </row>
    <row r="6762" spans="7:7" x14ac:dyDescent="0.25">
      <c r="G6762" s="21"/>
    </row>
    <row r="6763" spans="7:7" x14ac:dyDescent="0.25">
      <c r="G6763" s="21"/>
    </row>
    <row r="6764" spans="7:7" x14ac:dyDescent="0.25">
      <c r="G6764" s="21"/>
    </row>
    <row r="6765" spans="7:7" x14ac:dyDescent="0.25">
      <c r="G6765" s="21"/>
    </row>
    <row r="6766" spans="7:7" x14ac:dyDescent="0.25">
      <c r="G6766" s="21"/>
    </row>
    <row r="6767" spans="7:7" x14ac:dyDescent="0.25">
      <c r="G6767" s="21"/>
    </row>
    <row r="6768" spans="7:7" x14ac:dyDescent="0.25">
      <c r="G6768" s="21"/>
    </row>
    <row r="6769" spans="7:7" x14ac:dyDescent="0.25">
      <c r="G6769" s="21"/>
    </row>
    <row r="6770" spans="7:7" x14ac:dyDescent="0.25">
      <c r="G6770" s="21"/>
    </row>
    <row r="6771" spans="7:7" x14ac:dyDescent="0.25">
      <c r="G6771" s="21"/>
    </row>
    <row r="6772" spans="7:7" x14ac:dyDescent="0.25">
      <c r="G6772" s="21"/>
    </row>
    <row r="6773" spans="7:7" x14ac:dyDescent="0.25">
      <c r="G6773" s="21"/>
    </row>
    <row r="6774" spans="7:7" x14ac:dyDescent="0.25">
      <c r="G6774" s="21"/>
    </row>
    <row r="6775" spans="7:7" x14ac:dyDescent="0.25">
      <c r="G6775" s="21"/>
    </row>
    <row r="6776" spans="7:7" x14ac:dyDescent="0.25">
      <c r="G6776" s="21"/>
    </row>
    <row r="6777" spans="7:7" x14ac:dyDescent="0.25">
      <c r="G6777" s="21"/>
    </row>
    <row r="6778" spans="7:7" x14ac:dyDescent="0.25">
      <c r="G6778" s="21"/>
    </row>
    <row r="6779" spans="7:7" x14ac:dyDescent="0.25">
      <c r="G6779" s="21"/>
    </row>
    <row r="6780" spans="7:7" x14ac:dyDescent="0.25">
      <c r="G6780" s="21"/>
    </row>
    <row r="6781" spans="7:7" x14ac:dyDescent="0.25">
      <c r="G6781" s="21"/>
    </row>
    <row r="6782" spans="7:7" x14ac:dyDescent="0.25">
      <c r="G6782" s="21"/>
    </row>
    <row r="6783" spans="7:7" x14ac:dyDescent="0.25">
      <c r="G6783" s="21"/>
    </row>
    <row r="6784" spans="7:7" x14ac:dyDescent="0.25">
      <c r="G6784" s="21"/>
    </row>
    <row r="6785" spans="7:7" x14ac:dyDescent="0.25">
      <c r="G6785" s="21"/>
    </row>
    <row r="6786" spans="7:7" x14ac:dyDescent="0.25">
      <c r="G6786" s="21"/>
    </row>
    <row r="6787" spans="7:7" x14ac:dyDescent="0.25">
      <c r="G6787" s="21"/>
    </row>
    <row r="6788" spans="7:7" x14ac:dyDescent="0.25">
      <c r="G6788" s="21"/>
    </row>
    <row r="6789" spans="7:7" x14ac:dyDescent="0.25">
      <c r="G6789" s="21"/>
    </row>
    <row r="6790" spans="7:7" x14ac:dyDescent="0.25">
      <c r="G6790" s="21"/>
    </row>
    <row r="6791" spans="7:7" x14ac:dyDescent="0.25">
      <c r="G6791" s="21"/>
    </row>
    <row r="6792" spans="7:7" x14ac:dyDescent="0.25">
      <c r="G6792" s="21"/>
    </row>
    <row r="6793" spans="7:7" x14ac:dyDescent="0.25">
      <c r="G6793" s="21"/>
    </row>
    <row r="6794" spans="7:7" x14ac:dyDescent="0.25">
      <c r="G6794" s="21"/>
    </row>
    <row r="6795" spans="7:7" x14ac:dyDescent="0.25">
      <c r="G6795" s="21"/>
    </row>
    <row r="6796" spans="7:7" x14ac:dyDescent="0.25">
      <c r="G6796" s="21"/>
    </row>
    <row r="6797" spans="7:7" x14ac:dyDescent="0.25">
      <c r="G6797" s="21"/>
    </row>
    <row r="6798" spans="7:7" x14ac:dyDescent="0.25">
      <c r="G6798" s="21"/>
    </row>
    <row r="6799" spans="7:7" x14ac:dyDescent="0.25">
      <c r="G6799" s="21"/>
    </row>
    <row r="6800" spans="7:7" x14ac:dyDescent="0.25">
      <c r="G6800" s="21"/>
    </row>
    <row r="6801" spans="7:7" x14ac:dyDescent="0.25">
      <c r="G6801" s="21"/>
    </row>
    <row r="6802" spans="7:7" x14ac:dyDescent="0.25">
      <c r="G6802" s="21"/>
    </row>
    <row r="6803" spans="7:7" x14ac:dyDescent="0.25">
      <c r="G6803" s="21"/>
    </row>
    <row r="6804" spans="7:7" x14ac:dyDescent="0.25">
      <c r="G6804" s="21"/>
    </row>
    <row r="6805" spans="7:7" x14ac:dyDescent="0.25">
      <c r="G6805" s="21"/>
    </row>
    <row r="6806" spans="7:7" x14ac:dyDescent="0.25">
      <c r="G6806" s="21"/>
    </row>
    <row r="6807" spans="7:7" x14ac:dyDescent="0.25">
      <c r="G6807" s="21"/>
    </row>
    <row r="6808" spans="7:7" x14ac:dyDescent="0.25">
      <c r="G6808" s="21"/>
    </row>
    <row r="6809" spans="7:7" x14ac:dyDescent="0.25">
      <c r="G6809" s="21"/>
    </row>
    <row r="6810" spans="7:7" x14ac:dyDescent="0.25">
      <c r="G6810" s="21"/>
    </row>
    <row r="6811" spans="7:7" x14ac:dyDescent="0.25">
      <c r="G6811" s="21"/>
    </row>
    <row r="6812" spans="7:7" x14ac:dyDescent="0.25">
      <c r="G6812" s="21"/>
    </row>
    <row r="6813" spans="7:7" x14ac:dyDescent="0.25">
      <c r="G6813" s="21"/>
    </row>
    <row r="6814" spans="7:7" x14ac:dyDescent="0.25">
      <c r="G6814" s="21"/>
    </row>
    <row r="6815" spans="7:7" x14ac:dyDescent="0.25">
      <c r="G6815" s="21"/>
    </row>
    <row r="6816" spans="7:7" x14ac:dyDescent="0.25">
      <c r="G6816" s="21"/>
    </row>
    <row r="6817" spans="7:7" x14ac:dyDescent="0.25">
      <c r="G6817" s="21"/>
    </row>
    <row r="6818" spans="7:7" x14ac:dyDescent="0.25">
      <c r="G6818" s="21"/>
    </row>
    <row r="6819" spans="7:7" x14ac:dyDescent="0.25">
      <c r="G6819" s="21"/>
    </row>
    <row r="6820" spans="7:7" x14ac:dyDescent="0.25">
      <c r="G6820" s="21"/>
    </row>
    <row r="6821" spans="7:7" x14ac:dyDescent="0.25">
      <c r="G6821" s="21"/>
    </row>
    <row r="6822" spans="7:7" x14ac:dyDescent="0.25">
      <c r="G6822" s="21"/>
    </row>
    <row r="6823" spans="7:7" x14ac:dyDescent="0.25">
      <c r="G6823" s="21"/>
    </row>
    <row r="6824" spans="7:7" x14ac:dyDescent="0.25">
      <c r="G6824" s="21"/>
    </row>
    <row r="6825" spans="7:7" x14ac:dyDescent="0.25">
      <c r="G6825" s="21"/>
    </row>
    <row r="6826" spans="7:7" x14ac:dyDescent="0.25">
      <c r="G6826" s="21"/>
    </row>
    <row r="6827" spans="7:7" x14ac:dyDescent="0.25">
      <c r="G6827" s="21"/>
    </row>
    <row r="6828" spans="7:7" x14ac:dyDescent="0.25">
      <c r="G6828" s="21"/>
    </row>
    <row r="6829" spans="7:7" x14ac:dyDescent="0.25">
      <c r="G6829" s="21"/>
    </row>
    <row r="6830" spans="7:7" x14ac:dyDescent="0.25">
      <c r="G6830" s="21"/>
    </row>
    <row r="6831" spans="7:7" x14ac:dyDescent="0.25">
      <c r="G6831" s="21"/>
    </row>
    <row r="6832" spans="7:7" x14ac:dyDescent="0.25">
      <c r="G6832" s="21"/>
    </row>
    <row r="6833" spans="7:7" x14ac:dyDescent="0.25">
      <c r="G6833" s="21"/>
    </row>
    <row r="6834" spans="7:7" x14ac:dyDescent="0.25">
      <c r="G6834" s="21"/>
    </row>
    <row r="6835" spans="7:7" x14ac:dyDescent="0.25">
      <c r="G6835" s="21"/>
    </row>
    <row r="6836" spans="7:7" x14ac:dyDescent="0.25">
      <c r="G6836" s="21"/>
    </row>
    <row r="6837" spans="7:7" x14ac:dyDescent="0.25">
      <c r="G6837" s="21"/>
    </row>
    <row r="6838" spans="7:7" x14ac:dyDescent="0.25">
      <c r="G6838" s="21"/>
    </row>
    <row r="6839" spans="7:7" x14ac:dyDescent="0.25">
      <c r="G6839" s="21"/>
    </row>
    <row r="6840" spans="7:7" x14ac:dyDescent="0.25">
      <c r="G6840" s="21"/>
    </row>
    <row r="6841" spans="7:7" x14ac:dyDescent="0.25">
      <c r="G6841" s="21"/>
    </row>
    <row r="6842" spans="7:7" x14ac:dyDescent="0.25">
      <c r="G6842" s="21"/>
    </row>
    <row r="6843" spans="7:7" x14ac:dyDescent="0.25">
      <c r="G6843" s="21"/>
    </row>
    <row r="6844" spans="7:7" x14ac:dyDescent="0.25">
      <c r="G6844" s="21"/>
    </row>
    <row r="6845" spans="7:7" x14ac:dyDescent="0.25">
      <c r="G6845" s="21"/>
    </row>
    <row r="6846" spans="7:7" x14ac:dyDescent="0.25">
      <c r="G6846" s="21"/>
    </row>
    <row r="6847" spans="7:7" x14ac:dyDescent="0.25">
      <c r="G6847" s="21"/>
    </row>
    <row r="6848" spans="7:7" x14ac:dyDescent="0.25">
      <c r="G6848" s="21"/>
    </row>
    <row r="6849" spans="7:7" x14ac:dyDescent="0.25">
      <c r="G6849" s="21"/>
    </row>
    <row r="6850" spans="7:7" x14ac:dyDescent="0.25">
      <c r="G6850" s="21"/>
    </row>
    <row r="6851" spans="7:7" x14ac:dyDescent="0.25">
      <c r="G6851" s="21"/>
    </row>
    <row r="6852" spans="7:7" x14ac:dyDescent="0.25">
      <c r="G6852" s="21"/>
    </row>
    <row r="6853" spans="7:7" x14ac:dyDescent="0.25">
      <c r="G6853" s="21"/>
    </row>
    <row r="6854" spans="7:7" x14ac:dyDescent="0.25">
      <c r="G6854" s="21"/>
    </row>
    <row r="6855" spans="7:7" x14ac:dyDescent="0.25">
      <c r="G6855" s="21"/>
    </row>
    <row r="6856" spans="7:7" x14ac:dyDescent="0.25">
      <c r="G6856" s="21"/>
    </row>
    <row r="6857" spans="7:7" x14ac:dyDescent="0.25">
      <c r="G6857" s="21"/>
    </row>
    <row r="6858" spans="7:7" x14ac:dyDescent="0.25">
      <c r="G6858" s="21"/>
    </row>
    <row r="6859" spans="7:7" x14ac:dyDescent="0.25">
      <c r="G6859" s="21"/>
    </row>
    <row r="6860" spans="7:7" x14ac:dyDescent="0.25">
      <c r="G6860" s="21"/>
    </row>
    <row r="6861" spans="7:7" x14ac:dyDescent="0.25">
      <c r="G6861" s="21"/>
    </row>
    <row r="6862" spans="7:7" x14ac:dyDescent="0.25">
      <c r="G6862" s="21"/>
    </row>
    <row r="6863" spans="7:7" x14ac:dyDescent="0.25">
      <c r="G6863" s="21"/>
    </row>
    <row r="6864" spans="7:7" x14ac:dyDescent="0.25">
      <c r="G6864" s="21"/>
    </row>
    <row r="6865" spans="7:7" x14ac:dyDescent="0.25">
      <c r="G6865" s="21"/>
    </row>
    <row r="6866" spans="7:7" x14ac:dyDescent="0.25">
      <c r="G6866" s="21"/>
    </row>
    <row r="6867" spans="7:7" x14ac:dyDescent="0.25">
      <c r="G6867" s="21"/>
    </row>
    <row r="6868" spans="7:7" x14ac:dyDescent="0.25">
      <c r="G6868" s="21"/>
    </row>
    <row r="6869" spans="7:7" x14ac:dyDescent="0.25">
      <c r="G6869" s="21"/>
    </row>
    <row r="6870" spans="7:7" x14ac:dyDescent="0.25">
      <c r="G6870" s="21"/>
    </row>
    <row r="6871" spans="7:7" x14ac:dyDescent="0.25">
      <c r="G6871" s="21"/>
    </row>
    <row r="6872" spans="7:7" x14ac:dyDescent="0.25">
      <c r="G6872" s="21"/>
    </row>
    <row r="6873" spans="7:7" x14ac:dyDescent="0.25">
      <c r="G6873" s="21"/>
    </row>
    <row r="6874" spans="7:7" x14ac:dyDescent="0.25">
      <c r="G6874" s="21"/>
    </row>
    <row r="6875" spans="7:7" x14ac:dyDescent="0.25">
      <c r="G6875" s="21"/>
    </row>
    <row r="6876" spans="7:7" x14ac:dyDescent="0.25">
      <c r="G6876" s="21"/>
    </row>
    <row r="6877" spans="7:7" x14ac:dyDescent="0.25">
      <c r="G6877" s="21"/>
    </row>
    <row r="6878" spans="7:7" x14ac:dyDescent="0.25">
      <c r="G6878" s="21"/>
    </row>
    <row r="6879" spans="7:7" x14ac:dyDescent="0.25">
      <c r="G6879" s="21"/>
    </row>
    <row r="6880" spans="7:7" x14ac:dyDescent="0.25">
      <c r="G6880" s="21"/>
    </row>
    <row r="6881" spans="7:7" x14ac:dyDescent="0.25">
      <c r="G6881" s="21"/>
    </row>
    <row r="6882" spans="7:7" x14ac:dyDescent="0.25">
      <c r="G6882" s="21"/>
    </row>
    <row r="6883" spans="7:7" x14ac:dyDescent="0.25">
      <c r="G6883" s="21"/>
    </row>
    <row r="6884" spans="7:7" x14ac:dyDescent="0.25">
      <c r="G6884" s="21"/>
    </row>
    <row r="6885" spans="7:7" x14ac:dyDescent="0.25">
      <c r="G6885" s="21"/>
    </row>
    <row r="6886" spans="7:7" x14ac:dyDescent="0.25">
      <c r="G6886" s="21"/>
    </row>
    <row r="6887" spans="7:7" x14ac:dyDescent="0.25">
      <c r="G6887" s="21"/>
    </row>
    <row r="6888" spans="7:7" x14ac:dyDescent="0.25">
      <c r="G6888" s="21"/>
    </row>
    <row r="6889" spans="7:7" x14ac:dyDescent="0.25">
      <c r="G6889" s="21"/>
    </row>
    <row r="6890" spans="7:7" x14ac:dyDescent="0.25">
      <c r="G6890" s="21"/>
    </row>
    <row r="6891" spans="7:7" x14ac:dyDescent="0.25">
      <c r="G6891" s="21"/>
    </row>
    <row r="6892" spans="7:7" x14ac:dyDescent="0.25">
      <c r="G6892" s="21"/>
    </row>
    <row r="6893" spans="7:7" x14ac:dyDescent="0.25">
      <c r="G6893" s="21"/>
    </row>
    <row r="6894" spans="7:7" x14ac:dyDescent="0.25">
      <c r="G6894" s="21"/>
    </row>
    <row r="6895" spans="7:7" x14ac:dyDescent="0.25">
      <c r="G6895" s="21"/>
    </row>
    <row r="6896" spans="7:7" x14ac:dyDescent="0.25">
      <c r="G6896" s="21"/>
    </row>
    <row r="6897" spans="7:7" x14ac:dyDescent="0.25">
      <c r="G6897" s="21"/>
    </row>
    <row r="6898" spans="7:7" x14ac:dyDescent="0.25">
      <c r="G6898" s="21"/>
    </row>
    <row r="6899" spans="7:7" x14ac:dyDescent="0.25">
      <c r="G6899" s="21"/>
    </row>
    <row r="6900" spans="7:7" x14ac:dyDescent="0.25">
      <c r="G6900" s="21"/>
    </row>
    <row r="6901" spans="7:7" x14ac:dyDescent="0.25">
      <c r="G6901" s="21"/>
    </row>
    <row r="6902" spans="7:7" x14ac:dyDescent="0.25">
      <c r="G6902" s="21"/>
    </row>
    <row r="6903" spans="7:7" x14ac:dyDescent="0.25">
      <c r="G6903" s="21"/>
    </row>
    <row r="6904" spans="7:7" x14ac:dyDescent="0.25">
      <c r="G6904" s="21"/>
    </row>
    <row r="6905" spans="7:7" x14ac:dyDescent="0.25">
      <c r="G6905" s="21"/>
    </row>
    <row r="6906" spans="7:7" x14ac:dyDescent="0.25">
      <c r="G6906" s="21"/>
    </row>
    <row r="6907" spans="7:7" x14ac:dyDescent="0.25">
      <c r="G6907" s="21"/>
    </row>
    <row r="6908" spans="7:7" x14ac:dyDescent="0.25">
      <c r="G6908" s="21"/>
    </row>
    <row r="6909" spans="7:7" x14ac:dyDescent="0.25">
      <c r="G6909" s="21"/>
    </row>
    <row r="6910" spans="7:7" x14ac:dyDescent="0.25">
      <c r="G6910" s="21"/>
    </row>
    <row r="6911" spans="7:7" x14ac:dyDescent="0.25">
      <c r="G6911" s="21"/>
    </row>
    <row r="6912" spans="7:7" x14ac:dyDescent="0.25">
      <c r="G6912" s="21"/>
    </row>
    <row r="6913" spans="7:7" x14ac:dyDescent="0.25">
      <c r="G6913" s="21"/>
    </row>
    <row r="6914" spans="7:7" x14ac:dyDescent="0.25">
      <c r="G6914" s="21"/>
    </row>
    <row r="6915" spans="7:7" x14ac:dyDescent="0.25">
      <c r="G6915" s="21"/>
    </row>
    <row r="6916" spans="7:7" x14ac:dyDescent="0.25">
      <c r="G6916" s="21"/>
    </row>
    <row r="6917" spans="7:7" x14ac:dyDescent="0.25">
      <c r="G6917" s="21"/>
    </row>
    <row r="6918" spans="7:7" x14ac:dyDescent="0.25">
      <c r="G6918" s="21"/>
    </row>
    <row r="6919" spans="7:7" x14ac:dyDescent="0.25">
      <c r="G6919" s="21"/>
    </row>
    <row r="6920" spans="7:7" x14ac:dyDescent="0.25">
      <c r="G6920" s="21"/>
    </row>
    <row r="6921" spans="7:7" x14ac:dyDescent="0.25">
      <c r="G6921" s="21"/>
    </row>
    <row r="6922" spans="7:7" x14ac:dyDescent="0.25">
      <c r="G6922" s="21"/>
    </row>
    <row r="6923" spans="7:7" x14ac:dyDescent="0.25">
      <c r="G6923" s="21"/>
    </row>
    <row r="6924" spans="7:7" x14ac:dyDescent="0.25">
      <c r="G6924" s="21"/>
    </row>
    <row r="6925" spans="7:7" x14ac:dyDescent="0.25">
      <c r="G6925" s="21"/>
    </row>
    <row r="6926" spans="7:7" x14ac:dyDescent="0.25">
      <c r="G6926" s="21"/>
    </row>
    <row r="6927" spans="7:7" x14ac:dyDescent="0.25">
      <c r="G6927" s="21"/>
    </row>
    <row r="6928" spans="7:7" x14ac:dyDescent="0.25">
      <c r="G6928" s="21"/>
    </row>
    <row r="6929" spans="7:7" x14ac:dyDescent="0.25">
      <c r="G6929" s="21"/>
    </row>
    <row r="6930" spans="7:7" x14ac:dyDescent="0.25">
      <c r="G6930" s="21"/>
    </row>
    <row r="6931" spans="7:7" x14ac:dyDescent="0.25">
      <c r="G6931" s="21"/>
    </row>
    <row r="6932" spans="7:7" x14ac:dyDescent="0.25">
      <c r="G6932" s="21"/>
    </row>
    <row r="6933" spans="7:7" x14ac:dyDescent="0.25">
      <c r="G6933" s="21"/>
    </row>
    <row r="6934" spans="7:7" x14ac:dyDescent="0.25">
      <c r="G6934" s="21"/>
    </row>
    <row r="6935" spans="7:7" x14ac:dyDescent="0.25">
      <c r="G6935" s="21"/>
    </row>
    <row r="6936" spans="7:7" x14ac:dyDescent="0.25">
      <c r="G6936" s="21"/>
    </row>
    <row r="6937" spans="7:7" x14ac:dyDescent="0.25">
      <c r="G6937" s="21"/>
    </row>
    <row r="6938" spans="7:7" x14ac:dyDescent="0.25">
      <c r="G6938" s="21"/>
    </row>
    <row r="6939" spans="7:7" x14ac:dyDescent="0.25">
      <c r="G6939" s="21"/>
    </row>
    <row r="6940" spans="7:7" x14ac:dyDescent="0.25">
      <c r="G6940" s="21"/>
    </row>
    <row r="6941" spans="7:7" x14ac:dyDescent="0.25">
      <c r="G6941" s="21"/>
    </row>
    <row r="6942" spans="7:7" x14ac:dyDescent="0.25">
      <c r="G6942" s="21"/>
    </row>
    <row r="6943" spans="7:7" x14ac:dyDescent="0.25">
      <c r="G6943" s="21"/>
    </row>
    <row r="6944" spans="7:7" x14ac:dyDescent="0.25">
      <c r="G6944" s="21"/>
    </row>
    <row r="6945" spans="7:7" x14ac:dyDescent="0.25">
      <c r="G6945" s="21"/>
    </row>
    <row r="6946" spans="7:7" x14ac:dyDescent="0.25">
      <c r="G6946" s="21"/>
    </row>
    <row r="6947" spans="7:7" x14ac:dyDescent="0.25">
      <c r="G6947" s="21"/>
    </row>
    <row r="6948" spans="7:7" x14ac:dyDescent="0.25">
      <c r="G6948" s="21"/>
    </row>
    <row r="6949" spans="7:7" x14ac:dyDescent="0.25">
      <c r="G6949" s="21"/>
    </row>
    <row r="6950" spans="7:7" x14ac:dyDescent="0.25">
      <c r="G6950" s="21"/>
    </row>
    <row r="6951" spans="7:7" x14ac:dyDescent="0.25">
      <c r="G6951" s="21"/>
    </row>
    <row r="6952" spans="7:7" x14ac:dyDescent="0.25">
      <c r="G6952" s="21"/>
    </row>
    <row r="6953" spans="7:7" x14ac:dyDescent="0.25">
      <c r="G6953" s="21"/>
    </row>
    <row r="6954" spans="7:7" x14ac:dyDescent="0.25">
      <c r="G6954" s="21"/>
    </row>
    <row r="6955" spans="7:7" x14ac:dyDescent="0.25">
      <c r="G6955" s="21"/>
    </row>
    <row r="6956" spans="7:7" x14ac:dyDescent="0.25">
      <c r="G6956" s="21"/>
    </row>
    <row r="6957" spans="7:7" x14ac:dyDescent="0.25">
      <c r="G6957" s="21"/>
    </row>
    <row r="6958" spans="7:7" x14ac:dyDescent="0.25">
      <c r="G6958" s="21"/>
    </row>
    <row r="6959" spans="7:7" x14ac:dyDescent="0.25">
      <c r="G6959" s="21"/>
    </row>
    <row r="6960" spans="7:7" x14ac:dyDescent="0.25">
      <c r="G6960" s="21"/>
    </row>
    <row r="6961" spans="7:7" x14ac:dyDescent="0.25">
      <c r="G6961" s="21"/>
    </row>
    <row r="6962" spans="7:7" x14ac:dyDescent="0.25">
      <c r="G6962" s="21"/>
    </row>
    <row r="6963" spans="7:7" x14ac:dyDescent="0.25">
      <c r="G6963" s="21"/>
    </row>
    <row r="6964" spans="7:7" x14ac:dyDescent="0.25">
      <c r="G6964" s="21"/>
    </row>
    <row r="6965" spans="7:7" x14ac:dyDescent="0.25">
      <c r="G6965" s="21"/>
    </row>
    <row r="6966" spans="7:7" x14ac:dyDescent="0.25">
      <c r="G6966" s="21"/>
    </row>
    <row r="6967" spans="7:7" x14ac:dyDescent="0.25">
      <c r="G6967" s="21"/>
    </row>
    <row r="6968" spans="7:7" x14ac:dyDescent="0.25">
      <c r="G6968" s="21"/>
    </row>
    <row r="6969" spans="7:7" x14ac:dyDescent="0.25">
      <c r="G6969" s="21"/>
    </row>
    <row r="6970" spans="7:7" x14ac:dyDescent="0.25">
      <c r="G6970" s="21"/>
    </row>
    <row r="6971" spans="7:7" x14ac:dyDescent="0.25">
      <c r="G6971" s="21"/>
    </row>
    <row r="6972" spans="7:7" x14ac:dyDescent="0.25">
      <c r="G6972" s="21"/>
    </row>
    <row r="6973" spans="7:7" x14ac:dyDescent="0.25">
      <c r="G6973" s="21"/>
    </row>
    <row r="6974" spans="7:7" x14ac:dyDescent="0.25">
      <c r="G6974" s="21"/>
    </row>
    <row r="6975" spans="7:7" x14ac:dyDescent="0.25">
      <c r="G6975" s="21"/>
    </row>
    <row r="6976" spans="7:7" x14ac:dyDescent="0.25">
      <c r="G6976" s="21"/>
    </row>
    <row r="6977" spans="7:7" x14ac:dyDescent="0.25">
      <c r="G6977" s="21"/>
    </row>
    <row r="6978" spans="7:7" x14ac:dyDescent="0.25">
      <c r="G6978" s="21"/>
    </row>
    <row r="6979" spans="7:7" x14ac:dyDescent="0.25">
      <c r="G6979" s="21"/>
    </row>
    <row r="6980" spans="7:7" x14ac:dyDescent="0.25">
      <c r="G6980" s="21"/>
    </row>
    <row r="6981" spans="7:7" x14ac:dyDescent="0.25">
      <c r="G6981" s="21"/>
    </row>
    <row r="6982" spans="7:7" x14ac:dyDescent="0.25">
      <c r="G6982" s="21"/>
    </row>
    <row r="6983" spans="7:7" x14ac:dyDescent="0.25">
      <c r="G6983" s="21"/>
    </row>
    <row r="6984" spans="7:7" x14ac:dyDescent="0.25">
      <c r="G6984" s="21"/>
    </row>
    <row r="6985" spans="7:7" x14ac:dyDescent="0.25">
      <c r="G6985" s="21"/>
    </row>
    <row r="6986" spans="7:7" x14ac:dyDescent="0.25">
      <c r="G6986" s="21"/>
    </row>
    <row r="6987" spans="7:7" x14ac:dyDescent="0.25">
      <c r="G6987" s="21"/>
    </row>
    <row r="6988" spans="7:7" x14ac:dyDescent="0.25">
      <c r="G6988" s="21"/>
    </row>
    <row r="6989" spans="7:7" x14ac:dyDescent="0.25">
      <c r="G6989" s="21"/>
    </row>
    <row r="6990" spans="7:7" x14ac:dyDescent="0.25">
      <c r="G6990" s="21"/>
    </row>
    <row r="6991" spans="7:7" x14ac:dyDescent="0.25">
      <c r="G6991" s="21"/>
    </row>
    <row r="6992" spans="7:7" x14ac:dyDescent="0.25">
      <c r="G6992" s="21"/>
    </row>
    <row r="6993" spans="7:7" x14ac:dyDescent="0.25">
      <c r="G6993" s="21"/>
    </row>
    <row r="6994" spans="7:7" x14ac:dyDescent="0.25">
      <c r="G6994" s="21"/>
    </row>
    <row r="6995" spans="7:7" x14ac:dyDescent="0.25">
      <c r="G6995" s="21"/>
    </row>
    <row r="6996" spans="7:7" x14ac:dyDescent="0.25">
      <c r="G6996" s="21"/>
    </row>
    <row r="6997" spans="7:7" x14ac:dyDescent="0.25">
      <c r="G6997" s="21"/>
    </row>
    <row r="6998" spans="7:7" x14ac:dyDescent="0.25">
      <c r="G6998" s="21"/>
    </row>
    <row r="6999" spans="7:7" x14ac:dyDescent="0.25">
      <c r="G6999" s="21"/>
    </row>
    <row r="7000" spans="7:7" x14ac:dyDescent="0.25">
      <c r="G7000" s="21"/>
    </row>
    <row r="7001" spans="7:7" x14ac:dyDescent="0.25">
      <c r="G7001" s="21"/>
    </row>
    <row r="7002" spans="7:7" x14ac:dyDescent="0.25">
      <c r="G7002" s="21"/>
    </row>
    <row r="7003" spans="7:7" x14ac:dyDescent="0.25">
      <c r="G7003" s="21"/>
    </row>
    <row r="7004" spans="7:7" x14ac:dyDescent="0.25">
      <c r="G7004" s="21"/>
    </row>
    <row r="7005" spans="7:7" x14ac:dyDescent="0.25">
      <c r="G7005" s="21"/>
    </row>
    <row r="7006" spans="7:7" x14ac:dyDescent="0.25">
      <c r="G7006" s="21"/>
    </row>
    <row r="7007" spans="7:7" x14ac:dyDescent="0.25">
      <c r="G7007" s="21"/>
    </row>
    <row r="7008" spans="7:7" x14ac:dyDescent="0.25">
      <c r="G7008" s="21"/>
    </row>
    <row r="7009" spans="7:7" x14ac:dyDescent="0.25">
      <c r="G7009" s="21"/>
    </row>
    <row r="7010" spans="7:7" x14ac:dyDescent="0.25">
      <c r="G7010" s="21"/>
    </row>
    <row r="7011" spans="7:7" x14ac:dyDescent="0.25">
      <c r="G7011" s="21"/>
    </row>
    <row r="7012" spans="7:7" x14ac:dyDescent="0.25">
      <c r="G7012" s="21"/>
    </row>
    <row r="7013" spans="7:7" x14ac:dyDescent="0.25">
      <c r="G7013" s="21"/>
    </row>
    <row r="7014" spans="7:7" x14ac:dyDescent="0.25">
      <c r="G7014" s="21"/>
    </row>
    <row r="7015" spans="7:7" x14ac:dyDescent="0.25">
      <c r="G7015" s="21"/>
    </row>
    <row r="7016" spans="7:7" x14ac:dyDescent="0.25">
      <c r="G7016" s="21"/>
    </row>
    <row r="7017" spans="7:7" x14ac:dyDescent="0.25">
      <c r="G7017" s="21"/>
    </row>
    <row r="7018" spans="7:7" x14ac:dyDescent="0.25">
      <c r="G7018" s="21"/>
    </row>
    <row r="7019" spans="7:7" x14ac:dyDescent="0.25">
      <c r="G7019" s="21"/>
    </row>
    <row r="7020" spans="7:7" x14ac:dyDescent="0.25">
      <c r="G7020" s="21"/>
    </row>
    <row r="7021" spans="7:7" x14ac:dyDescent="0.25">
      <c r="G7021" s="21"/>
    </row>
    <row r="7022" spans="7:7" x14ac:dyDescent="0.25">
      <c r="G7022" s="21"/>
    </row>
    <row r="7023" spans="7:7" x14ac:dyDescent="0.25">
      <c r="G7023" s="21"/>
    </row>
    <row r="7024" spans="7:7" x14ac:dyDescent="0.25">
      <c r="G7024" s="21"/>
    </row>
    <row r="7025" spans="7:7" x14ac:dyDescent="0.25">
      <c r="G7025" s="21"/>
    </row>
    <row r="7026" spans="7:7" x14ac:dyDescent="0.25">
      <c r="G7026" s="21"/>
    </row>
    <row r="7027" spans="7:7" x14ac:dyDescent="0.25">
      <c r="G7027" s="21"/>
    </row>
    <row r="7028" spans="7:7" x14ac:dyDescent="0.25">
      <c r="G7028" s="21"/>
    </row>
    <row r="7029" spans="7:7" x14ac:dyDescent="0.25">
      <c r="G7029" s="21"/>
    </row>
    <row r="7030" spans="7:7" x14ac:dyDescent="0.25">
      <c r="G7030" s="21"/>
    </row>
    <row r="7031" spans="7:7" x14ac:dyDescent="0.25">
      <c r="G7031" s="21"/>
    </row>
    <row r="7032" spans="7:7" x14ac:dyDescent="0.25">
      <c r="G7032" s="21"/>
    </row>
    <row r="7033" spans="7:7" x14ac:dyDescent="0.25">
      <c r="G7033" s="21"/>
    </row>
    <row r="7034" spans="7:7" x14ac:dyDescent="0.25">
      <c r="G7034" s="21"/>
    </row>
    <row r="7035" spans="7:7" x14ac:dyDescent="0.25">
      <c r="G7035" s="21"/>
    </row>
    <row r="7036" spans="7:7" x14ac:dyDescent="0.25">
      <c r="G7036" s="21"/>
    </row>
    <row r="7037" spans="7:7" x14ac:dyDescent="0.25">
      <c r="G7037" s="21"/>
    </row>
    <row r="7038" spans="7:7" x14ac:dyDescent="0.25">
      <c r="G7038" s="21"/>
    </row>
    <row r="7039" spans="7:7" x14ac:dyDescent="0.25">
      <c r="G7039" s="21"/>
    </row>
    <row r="7040" spans="7:7" x14ac:dyDescent="0.25">
      <c r="G7040" s="21"/>
    </row>
    <row r="7041" spans="7:7" x14ac:dyDescent="0.25">
      <c r="G7041" s="21"/>
    </row>
    <row r="7042" spans="7:7" x14ac:dyDescent="0.25">
      <c r="G7042" s="21"/>
    </row>
    <row r="7043" spans="7:7" x14ac:dyDescent="0.25">
      <c r="G7043" s="21"/>
    </row>
    <row r="7044" spans="7:7" x14ac:dyDescent="0.25">
      <c r="G7044" s="21"/>
    </row>
    <row r="7045" spans="7:7" x14ac:dyDescent="0.25">
      <c r="G7045" s="21"/>
    </row>
    <row r="7046" spans="7:7" x14ac:dyDescent="0.25">
      <c r="G7046" s="21"/>
    </row>
    <row r="7047" spans="7:7" x14ac:dyDescent="0.25">
      <c r="G7047" s="21"/>
    </row>
    <row r="7048" spans="7:7" x14ac:dyDescent="0.25">
      <c r="G7048" s="21"/>
    </row>
    <row r="7049" spans="7:7" x14ac:dyDescent="0.25">
      <c r="G7049" s="21"/>
    </row>
    <row r="7050" spans="7:7" x14ac:dyDescent="0.25">
      <c r="G7050" s="21"/>
    </row>
    <row r="7051" spans="7:7" x14ac:dyDescent="0.25">
      <c r="G7051" s="21"/>
    </row>
    <row r="7052" spans="7:7" x14ac:dyDescent="0.25">
      <c r="G7052" s="21"/>
    </row>
    <row r="7053" spans="7:7" x14ac:dyDescent="0.25">
      <c r="G7053" s="21"/>
    </row>
    <row r="7054" spans="7:7" x14ac:dyDescent="0.25">
      <c r="G7054" s="21"/>
    </row>
    <row r="7055" spans="7:7" x14ac:dyDescent="0.25">
      <c r="G7055" s="21"/>
    </row>
    <row r="7056" spans="7:7" x14ac:dyDescent="0.25">
      <c r="G7056" s="21"/>
    </row>
    <row r="7057" spans="7:7" x14ac:dyDescent="0.25">
      <c r="G7057" s="21"/>
    </row>
    <row r="7058" spans="7:7" x14ac:dyDescent="0.25">
      <c r="G7058" s="21"/>
    </row>
    <row r="7059" spans="7:7" x14ac:dyDescent="0.25">
      <c r="G7059" s="21"/>
    </row>
    <row r="7060" spans="7:7" x14ac:dyDescent="0.25">
      <c r="G7060" s="21"/>
    </row>
    <row r="7061" spans="7:7" x14ac:dyDescent="0.25">
      <c r="G7061" s="21"/>
    </row>
    <row r="7062" spans="7:7" x14ac:dyDescent="0.25">
      <c r="G7062" s="21"/>
    </row>
    <row r="7063" spans="7:7" x14ac:dyDescent="0.25">
      <c r="G7063" s="21"/>
    </row>
    <row r="7064" spans="7:7" x14ac:dyDescent="0.25">
      <c r="G7064" s="21"/>
    </row>
    <row r="7065" spans="7:7" x14ac:dyDescent="0.25">
      <c r="G7065" s="21"/>
    </row>
    <row r="7066" spans="7:7" x14ac:dyDescent="0.25">
      <c r="G7066" s="21"/>
    </row>
    <row r="7067" spans="7:7" x14ac:dyDescent="0.25">
      <c r="G7067" s="21"/>
    </row>
    <row r="7068" spans="7:7" x14ac:dyDescent="0.25">
      <c r="G7068" s="21"/>
    </row>
    <row r="7069" spans="7:7" x14ac:dyDescent="0.25">
      <c r="G7069" s="21"/>
    </row>
    <row r="7070" spans="7:7" x14ac:dyDescent="0.25">
      <c r="G7070" s="21"/>
    </row>
    <row r="7071" spans="7:7" x14ac:dyDescent="0.25">
      <c r="G7071" s="21"/>
    </row>
    <row r="7072" spans="7:7" x14ac:dyDescent="0.25">
      <c r="G7072" s="21"/>
    </row>
    <row r="7073" spans="7:7" x14ac:dyDescent="0.25">
      <c r="G7073" s="21"/>
    </row>
    <row r="7074" spans="7:7" x14ac:dyDescent="0.25">
      <c r="G7074" s="21"/>
    </row>
    <row r="7075" spans="7:7" x14ac:dyDescent="0.25">
      <c r="G7075" s="21"/>
    </row>
    <row r="7076" spans="7:7" x14ac:dyDescent="0.25">
      <c r="G7076" s="21"/>
    </row>
    <row r="7077" spans="7:7" x14ac:dyDescent="0.25">
      <c r="G7077" s="21"/>
    </row>
    <row r="7078" spans="7:7" x14ac:dyDescent="0.25">
      <c r="G7078" s="21"/>
    </row>
    <row r="7079" spans="7:7" x14ac:dyDescent="0.25">
      <c r="G7079" s="21"/>
    </row>
    <row r="7080" spans="7:7" x14ac:dyDescent="0.25">
      <c r="G7080" s="21"/>
    </row>
    <row r="7081" spans="7:7" x14ac:dyDescent="0.25">
      <c r="G7081" s="21"/>
    </row>
    <row r="7082" spans="7:7" x14ac:dyDescent="0.25">
      <c r="G7082" s="21"/>
    </row>
    <row r="7083" spans="7:7" x14ac:dyDescent="0.25">
      <c r="G7083" s="21"/>
    </row>
    <row r="7084" spans="7:7" x14ac:dyDescent="0.25">
      <c r="G7084" s="21"/>
    </row>
    <row r="7085" spans="7:7" x14ac:dyDescent="0.25">
      <c r="G7085" s="21"/>
    </row>
    <row r="7086" spans="7:7" x14ac:dyDescent="0.25">
      <c r="G7086" s="21"/>
    </row>
    <row r="7087" spans="7:7" x14ac:dyDescent="0.25">
      <c r="G7087" s="21"/>
    </row>
    <row r="7088" spans="7:7" x14ac:dyDescent="0.25">
      <c r="G7088" s="21"/>
    </row>
    <row r="7089" spans="7:7" x14ac:dyDescent="0.25">
      <c r="G7089" s="21"/>
    </row>
    <row r="7090" spans="7:7" x14ac:dyDescent="0.25">
      <c r="G7090" s="21"/>
    </row>
    <row r="7091" spans="7:7" x14ac:dyDescent="0.25">
      <c r="G7091" s="21"/>
    </row>
    <row r="7092" spans="7:7" x14ac:dyDescent="0.25">
      <c r="G7092" s="21"/>
    </row>
    <row r="7093" spans="7:7" x14ac:dyDescent="0.25">
      <c r="G7093" s="21"/>
    </row>
    <row r="7094" spans="7:7" x14ac:dyDescent="0.25">
      <c r="G7094" s="21"/>
    </row>
    <row r="7095" spans="7:7" x14ac:dyDescent="0.25">
      <c r="G7095" s="21"/>
    </row>
    <row r="7096" spans="7:7" x14ac:dyDescent="0.25">
      <c r="G7096" s="21"/>
    </row>
    <row r="7097" spans="7:7" x14ac:dyDescent="0.25">
      <c r="G7097" s="21"/>
    </row>
    <row r="7098" spans="7:7" x14ac:dyDescent="0.25">
      <c r="G7098" s="21"/>
    </row>
    <row r="7099" spans="7:7" x14ac:dyDescent="0.25">
      <c r="G7099" s="21"/>
    </row>
    <row r="7100" spans="7:7" x14ac:dyDescent="0.25">
      <c r="G7100" s="21"/>
    </row>
    <row r="7101" spans="7:7" x14ac:dyDescent="0.25">
      <c r="G7101" s="21"/>
    </row>
    <row r="7102" spans="7:7" x14ac:dyDescent="0.25">
      <c r="G7102" s="21"/>
    </row>
    <row r="7103" spans="7:7" x14ac:dyDescent="0.25">
      <c r="G7103" s="21"/>
    </row>
    <row r="7104" spans="7:7" x14ac:dyDescent="0.25">
      <c r="G7104" s="21"/>
    </row>
    <row r="7105" spans="7:7" x14ac:dyDescent="0.25">
      <c r="G7105" s="21"/>
    </row>
    <row r="7106" spans="7:7" x14ac:dyDescent="0.25">
      <c r="G7106" s="21"/>
    </row>
    <row r="7107" spans="7:7" x14ac:dyDescent="0.25">
      <c r="G7107" s="21"/>
    </row>
    <row r="7108" spans="7:7" x14ac:dyDescent="0.25">
      <c r="G7108" s="21"/>
    </row>
    <row r="7109" spans="7:7" x14ac:dyDescent="0.25">
      <c r="G7109" s="21"/>
    </row>
    <row r="7110" spans="7:7" x14ac:dyDescent="0.25">
      <c r="G7110" s="21"/>
    </row>
    <row r="7111" spans="7:7" x14ac:dyDescent="0.25">
      <c r="G7111" s="21"/>
    </row>
    <row r="7112" spans="7:7" x14ac:dyDescent="0.25">
      <c r="G7112" s="21"/>
    </row>
    <row r="7113" spans="7:7" x14ac:dyDescent="0.25">
      <c r="G7113" s="21"/>
    </row>
    <row r="7114" spans="7:7" x14ac:dyDescent="0.25">
      <c r="G7114" s="21"/>
    </row>
    <row r="7115" spans="7:7" x14ac:dyDescent="0.25">
      <c r="G7115" s="21"/>
    </row>
    <row r="7116" spans="7:7" x14ac:dyDescent="0.25">
      <c r="G7116" s="21"/>
    </row>
    <row r="7117" spans="7:7" x14ac:dyDescent="0.25">
      <c r="G7117" s="21"/>
    </row>
    <row r="7118" spans="7:7" x14ac:dyDescent="0.25">
      <c r="G7118" s="21"/>
    </row>
    <row r="7119" spans="7:7" x14ac:dyDescent="0.25">
      <c r="G7119" s="21"/>
    </row>
    <row r="7120" spans="7:7" x14ac:dyDescent="0.25">
      <c r="G7120" s="21"/>
    </row>
    <row r="7121" spans="7:7" x14ac:dyDescent="0.25">
      <c r="G7121" s="21"/>
    </row>
    <row r="7122" spans="7:7" x14ac:dyDescent="0.25">
      <c r="G7122" s="21"/>
    </row>
    <row r="7123" spans="7:7" x14ac:dyDescent="0.25">
      <c r="G7123" s="21"/>
    </row>
    <row r="7124" spans="7:7" x14ac:dyDescent="0.25">
      <c r="G7124" s="21"/>
    </row>
    <row r="7125" spans="7:7" x14ac:dyDescent="0.25">
      <c r="G7125" s="21"/>
    </row>
    <row r="7126" spans="7:7" x14ac:dyDescent="0.25">
      <c r="G7126" s="21"/>
    </row>
    <row r="7127" spans="7:7" x14ac:dyDescent="0.25">
      <c r="G7127" s="21"/>
    </row>
    <row r="7128" spans="7:7" x14ac:dyDescent="0.25">
      <c r="G7128" s="21"/>
    </row>
    <row r="7129" spans="7:7" x14ac:dyDescent="0.25">
      <c r="G7129" s="21"/>
    </row>
    <row r="7130" spans="7:7" x14ac:dyDescent="0.25">
      <c r="G7130" s="21"/>
    </row>
    <row r="7131" spans="7:7" x14ac:dyDescent="0.25">
      <c r="G7131" s="21"/>
    </row>
    <row r="7132" spans="7:7" x14ac:dyDescent="0.25">
      <c r="G7132" s="21"/>
    </row>
    <row r="7133" spans="7:7" x14ac:dyDescent="0.25">
      <c r="G7133" s="21"/>
    </row>
    <row r="7134" spans="7:7" x14ac:dyDescent="0.25">
      <c r="G7134" s="21"/>
    </row>
    <row r="7135" spans="7:7" x14ac:dyDescent="0.25">
      <c r="G7135" s="21"/>
    </row>
    <row r="7136" spans="7:7" x14ac:dyDescent="0.25">
      <c r="G7136" s="21"/>
    </row>
    <row r="7137" spans="7:7" x14ac:dyDescent="0.25">
      <c r="G7137" s="21"/>
    </row>
    <row r="7138" spans="7:7" x14ac:dyDescent="0.25">
      <c r="G7138" s="21"/>
    </row>
    <row r="7139" spans="7:7" x14ac:dyDescent="0.25">
      <c r="G7139" s="21"/>
    </row>
    <row r="7140" spans="7:7" x14ac:dyDescent="0.25">
      <c r="G7140" s="21"/>
    </row>
    <row r="7141" spans="7:7" x14ac:dyDescent="0.25">
      <c r="G7141" s="21"/>
    </row>
    <row r="7142" spans="7:7" x14ac:dyDescent="0.25">
      <c r="G7142" s="21"/>
    </row>
    <row r="7143" spans="7:7" x14ac:dyDescent="0.25">
      <c r="G7143" s="21"/>
    </row>
    <row r="7144" spans="7:7" x14ac:dyDescent="0.25">
      <c r="G7144" s="21"/>
    </row>
    <row r="7145" spans="7:7" x14ac:dyDescent="0.25">
      <c r="G7145" s="21"/>
    </row>
    <row r="7146" spans="7:7" x14ac:dyDescent="0.25">
      <c r="G7146" s="21"/>
    </row>
    <row r="7147" spans="7:7" x14ac:dyDescent="0.25">
      <c r="G7147" s="21"/>
    </row>
    <row r="7148" spans="7:7" x14ac:dyDescent="0.25">
      <c r="G7148" s="21"/>
    </row>
    <row r="7149" spans="7:7" x14ac:dyDescent="0.25">
      <c r="G7149" s="21"/>
    </row>
    <row r="7150" spans="7:7" x14ac:dyDescent="0.25">
      <c r="G7150" s="21"/>
    </row>
    <row r="7151" spans="7:7" x14ac:dyDescent="0.25">
      <c r="G7151" s="21"/>
    </row>
    <row r="7152" spans="7:7" x14ac:dyDescent="0.25">
      <c r="G7152" s="21"/>
    </row>
    <row r="7153" spans="7:7" x14ac:dyDescent="0.25">
      <c r="G7153" s="21"/>
    </row>
    <row r="7154" spans="7:7" x14ac:dyDescent="0.25">
      <c r="G7154" s="21"/>
    </row>
    <row r="7155" spans="7:7" x14ac:dyDescent="0.25">
      <c r="G7155" s="21"/>
    </row>
    <row r="7156" spans="7:7" x14ac:dyDescent="0.25">
      <c r="G7156" s="21"/>
    </row>
    <row r="7157" spans="7:7" x14ac:dyDescent="0.25">
      <c r="G7157" s="21"/>
    </row>
    <row r="7158" spans="7:7" x14ac:dyDescent="0.25">
      <c r="G7158" s="21"/>
    </row>
    <row r="7159" spans="7:7" x14ac:dyDescent="0.25">
      <c r="G7159" s="21"/>
    </row>
    <row r="7160" spans="7:7" x14ac:dyDescent="0.25">
      <c r="G7160" s="21"/>
    </row>
    <row r="7161" spans="7:7" x14ac:dyDescent="0.25">
      <c r="G7161" s="21"/>
    </row>
    <row r="7162" spans="7:7" x14ac:dyDescent="0.25">
      <c r="G7162" s="21"/>
    </row>
    <row r="7163" spans="7:7" x14ac:dyDescent="0.25">
      <c r="G7163" s="21"/>
    </row>
    <row r="7164" spans="7:7" x14ac:dyDescent="0.25">
      <c r="G7164" s="21"/>
    </row>
    <row r="7165" spans="7:7" x14ac:dyDescent="0.25">
      <c r="G7165" s="21"/>
    </row>
    <row r="7166" spans="7:7" x14ac:dyDescent="0.25">
      <c r="G7166" s="21"/>
    </row>
    <row r="7167" spans="7:7" x14ac:dyDescent="0.25">
      <c r="G7167" s="21"/>
    </row>
    <row r="7168" spans="7:7" x14ac:dyDescent="0.25">
      <c r="G7168" s="21"/>
    </row>
    <row r="7169" spans="7:7" x14ac:dyDescent="0.25">
      <c r="G7169" s="21"/>
    </row>
    <row r="7170" spans="7:7" x14ac:dyDescent="0.25">
      <c r="G7170" s="21"/>
    </row>
    <row r="7171" spans="7:7" x14ac:dyDescent="0.25">
      <c r="G7171" s="21"/>
    </row>
    <row r="7172" spans="7:7" x14ac:dyDescent="0.25">
      <c r="G7172" s="21"/>
    </row>
    <row r="7173" spans="7:7" x14ac:dyDescent="0.25">
      <c r="G7173" s="21"/>
    </row>
    <row r="7174" spans="7:7" x14ac:dyDescent="0.25">
      <c r="G7174" s="21"/>
    </row>
    <row r="7175" spans="7:7" x14ac:dyDescent="0.25">
      <c r="G7175" s="21"/>
    </row>
    <row r="7176" spans="7:7" x14ac:dyDescent="0.25">
      <c r="G7176" s="21"/>
    </row>
    <row r="7177" spans="7:7" x14ac:dyDescent="0.25">
      <c r="G7177" s="21"/>
    </row>
    <row r="7178" spans="7:7" x14ac:dyDescent="0.25">
      <c r="G7178" s="21"/>
    </row>
    <row r="7179" spans="7:7" x14ac:dyDescent="0.25">
      <c r="G7179" s="21"/>
    </row>
    <row r="7180" spans="7:7" x14ac:dyDescent="0.25">
      <c r="G7180" s="21"/>
    </row>
    <row r="7181" spans="7:7" x14ac:dyDescent="0.25">
      <c r="G7181" s="21"/>
    </row>
    <row r="7182" spans="7:7" x14ac:dyDescent="0.25">
      <c r="G7182" s="21"/>
    </row>
    <row r="7183" spans="7:7" x14ac:dyDescent="0.25">
      <c r="G7183" s="21"/>
    </row>
    <row r="7184" spans="7:7" x14ac:dyDescent="0.25">
      <c r="G7184" s="21"/>
    </row>
    <row r="7185" spans="7:7" x14ac:dyDescent="0.25">
      <c r="G7185" s="21"/>
    </row>
    <row r="7186" spans="7:7" x14ac:dyDescent="0.25">
      <c r="G7186" s="21"/>
    </row>
    <row r="7187" spans="7:7" x14ac:dyDescent="0.25">
      <c r="G7187" s="21"/>
    </row>
    <row r="7188" spans="7:7" x14ac:dyDescent="0.25">
      <c r="G7188" s="21"/>
    </row>
    <row r="7189" spans="7:7" x14ac:dyDescent="0.25">
      <c r="G7189" s="21"/>
    </row>
    <row r="7190" spans="7:7" x14ac:dyDescent="0.25">
      <c r="G7190" s="21"/>
    </row>
    <row r="7191" spans="7:7" x14ac:dyDescent="0.25">
      <c r="G7191" s="21"/>
    </row>
    <row r="7192" spans="7:7" x14ac:dyDescent="0.25">
      <c r="G7192" s="21"/>
    </row>
    <row r="7193" spans="7:7" x14ac:dyDescent="0.25">
      <c r="G7193" s="21"/>
    </row>
    <row r="7194" spans="7:7" x14ac:dyDescent="0.25">
      <c r="G7194" s="21"/>
    </row>
    <row r="7195" spans="7:7" x14ac:dyDescent="0.25">
      <c r="G7195" s="21"/>
    </row>
    <row r="7196" spans="7:7" x14ac:dyDescent="0.25">
      <c r="G7196" s="21"/>
    </row>
    <row r="7197" spans="7:7" x14ac:dyDescent="0.25">
      <c r="G7197" s="21"/>
    </row>
    <row r="7198" spans="7:7" x14ac:dyDescent="0.25">
      <c r="G7198" s="21"/>
    </row>
    <row r="7199" spans="7:7" x14ac:dyDescent="0.25">
      <c r="G7199" s="21"/>
    </row>
    <row r="7200" spans="7:7" x14ac:dyDescent="0.25">
      <c r="G7200" s="21"/>
    </row>
    <row r="7201" spans="7:7" x14ac:dyDescent="0.25">
      <c r="G7201" s="21"/>
    </row>
    <row r="7202" spans="7:7" x14ac:dyDescent="0.25">
      <c r="G7202" s="21"/>
    </row>
    <row r="7203" spans="7:7" x14ac:dyDescent="0.25">
      <c r="G7203" s="21"/>
    </row>
    <row r="7204" spans="7:7" x14ac:dyDescent="0.25">
      <c r="G7204" s="21"/>
    </row>
    <row r="7205" spans="7:7" x14ac:dyDescent="0.25">
      <c r="G7205" s="21"/>
    </row>
    <row r="7206" spans="7:7" x14ac:dyDescent="0.25">
      <c r="G7206" s="21"/>
    </row>
    <row r="7207" spans="7:7" x14ac:dyDescent="0.25">
      <c r="G7207" s="21"/>
    </row>
    <row r="7208" spans="7:7" x14ac:dyDescent="0.25">
      <c r="G7208" s="21"/>
    </row>
    <row r="7209" spans="7:7" x14ac:dyDescent="0.25">
      <c r="G7209" s="21"/>
    </row>
    <row r="7210" spans="7:7" x14ac:dyDescent="0.25">
      <c r="G7210" s="21"/>
    </row>
    <row r="7211" spans="7:7" x14ac:dyDescent="0.25">
      <c r="G7211" s="21"/>
    </row>
    <row r="7212" spans="7:7" x14ac:dyDescent="0.25">
      <c r="G7212" s="21"/>
    </row>
    <row r="7213" spans="7:7" x14ac:dyDescent="0.25">
      <c r="G7213" s="21"/>
    </row>
    <row r="7214" spans="7:7" x14ac:dyDescent="0.25">
      <c r="G7214" s="21"/>
    </row>
    <row r="7215" spans="7:7" x14ac:dyDescent="0.25">
      <c r="G7215" s="21"/>
    </row>
    <row r="7216" spans="7:7" x14ac:dyDescent="0.25">
      <c r="G7216" s="21"/>
    </row>
    <row r="7217" spans="7:7" x14ac:dyDescent="0.25">
      <c r="G7217" s="21"/>
    </row>
    <row r="7218" spans="7:7" x14ac:dyDescent="0.25">
      <c r="G7218" s="21"/>
    </row>
    <row r="7219" spans="7:7" x14ac:dyDescent="0.25">
      <c r="G7219" s="21"/>
    </row>
    <row r="7220" spans="7:7" x14ac:dyDescent="0.25">
      <c r="G7220" s="21"/>
    </row>
    <row r="7221" spans="7:7" x14ac:dyDescent="0.25">
      <c r="G7221" s="21"/>
    </row>
    <row r="7222" spans="7:7" x14ac:dyDescent="0.25">
      <c r="G7222" s="21"/>
    </row>
    <row r="7223" spans="7:7" x14ac:dyDescent="0.25">
      <c r="G7223" s="21"/>
    </row>
    <row r="7224" spans="7:7" x14ac:dyDescent="0.25">
      <c r="G7224" s="21"/>
    </row>
    <row r="7225" spans="7:7" x14ac:dyDescent="0.25">
      <c r="G7225" s="21"/>
    </row>
    <row r="7226" spans="7:7" x14ac:dyDescent="0.25">
      <c r="G7226" s="21"/>
    </row>
    <row r="7227" spans="7:7" x14ac:dyDescent="0.25">
      <c r="G7227" s="21"/>
    </row>
    <row r="7228" spans="7:7" x14ac:dyDescent="0.25">
      <c r="G7228" s="21"/>
    </row>
    <row r="7229" spans="7:7" x14ac:dyDescent="0.25">
      <c r="G7229" s="21"/>
    </row>
    <row r="7230" spans="7:7" x14ac:dyDescent="0.25">
      <c r="G7230" s="21"/>
    </row>
    <row r="7231" spans="7:7" x14ac:dyDescent="0.25">
      <c r="G7231" s="21"/>
    </row>
    <row r="7232" spans="7:7" x14ac:dyDescent="0.25">
      <c r="G7232" s="21"/>
    </row>
    <row r="7233" spans="7:7" x14ac:dyDescent="0.25">
      <c r="G7233" s="21"/>
    </row>
    <row r="7234" spans="7:7" x14ac:dyDescent="0.25">
      <c r="G7234" s="21"/>
    </row>
    <row r="7235" spans="7:7" x14ac:dyDescent="0.25">
      <c r="G7235" s="21"/>
    </row>
    <row r="7236" spans="7:7" x14ac:dyDescent="0.25">
      <c r="G7236" s="21"/>
    </row>
    <row r="7237" spans="7:7" x14ac:dyDescent="0.25">
      <c r="G7237" s="21"/>
    </row>
    <row r="7238" spans="7:7" x14ac:dyDescent="0.25">
      <c r="G7238" s="21"/>
    </row>
    <row r="7239" spans="7:7" x14ac:dyDescent="0.25">
      <c r="G7239" s="21"/>
    </row>
    <row r="7240" spans="7:7" x14ac:dyDescent="0.25">
      <c r="G7240" s="21"/>
    </row>
    <row r="7241" spans="7:7" x14ac:dyDescent="0.25">
      <c r="G7241" s="21"/>
    </row>
    <row r="7242" spans="7:7" x14ac:dyDescent="0.25">
      <c r="G7242" s="21"/>
    </row>
    <row r="7243" spans="7:7" x14ac:dyDescent="0.25">
      <c r="G7243" s="21"/>
    </row>
    <row r="7244" spans="7:7" x14ac:dyDescent="0.25">
      <c r="G7244" s="21"/>
    </row>
    <row r="7245" spans="7:7" x14ac:dyDescent="0.25">
      <c r="G7245" s="21"/>
    </row>
    <row r="7246" spans="7:7" x14ac:dyDescent="0.25">
      <c r="G7246" s="21"/>
    </row>
    <row r="7247" spans="7:7" x14ac:dyDescent="0.25">
      <c r="G7247" s="21"/>
    </row>
    <row r="7248" spans="7:7" x14ac:dyDescent="0.25">
      <c r="G7248" s="21"/>
    </row>
    <row r="7249" spans="7:7" x14ac:dyDescent="0.25">
      <c r="G7249" s="21"/>
    </row>
    <row r="7250" spans="7:7" x14ac:dyDescent="0.25">
      <c r="G7250" s="21"/>
    </row>
    <row r="7251" spans="7:7" x14ac:dyDescent="0.25">
      <c r="G7251" s="21"/>
    </row>
    <row r="7252" spans="7:7" x14ac:dyDescent="0.25">
      <c r="G7252" s="21"/>
    </row>
    <row r="7253" spans="7:7" x14ac:dyDescent="0.25">
      <c r="G7253" s="21"/>
    </row>
    <row r="7254" spans="7:7" x14ac:dyDescent="0.25">
      <c r="G7254" s="21"/>
    </row>
    <row r="7255" spans="7:7" x14ac:dyDescent="0.25">
      <c r="G7255" s="21"/>
    </row>
    <row r="7256" spans="7:7" x14ac:dyDescent="0.25">
      <c r="G7256" s="21"/>
    </row>
    <row r="7257" spans="7:7" x14ac:dyDescent="0.25">
      <c r="G7257" s="21"/>
    </row>
    <row r="7258" spans="7:7" x14ac:dyDescent="0.25">
      <c r="G7258" s="21"/>
    </row>
    <row r="7259" spans="7:7" x14ac:dyDescent="0.25">
      <c r="G7259" s="21"/>
    </row>
    <row r="7260" spans="7:7" x14ac:dyDescent="0.25">
      <c r="G7260" s="21"/>
    </row>
    <row r="7261" spans="7:7" x14ac:dyDescent="0.25">
      <c r="G7261" s="21"/>
    </row>
    <row r="7262" spans="7:7" x14ac:dyDescent="0.25">
      <c r="G7262" s="21"/>
    </row>
    <row r="7263" spans="7:7" x14ac:dyDescent="0.25">
      <c r="G7263" s="21"/>
    </row>
    <row r="7264" spans="7:7" x14ac:dyDescent="0.25">
      <c r="G7264" s="21"/>
    </row>
    <row r="7265" spans="7:7" x14ac:dyDescent="0.25">
      <c r="G7265" s="21"/>
    </row>
    <row r="7266" spans="7:7" x14ac:dyDescent="0.25">
      <c r="G7266" s="21"/>
    </row>
    <row r="7267" spans="7:7" x14ac:dyDescent="0.25">
      <c r="G7267" s="21"/>
    </row>
    <row r="7268" spans="7:7" x14ac:dyDescent="0.25">
      <c r="G7268" s="21"/>
    </row>
    <row r="7269" spans="7:7" x14ac:dyDescent="0.25">
      <c r="G7269" s="21"/>
    </row>
    <row r="7270" spans="7:7" x14ac:dyDescent="0.25">
      <c r="G7270" s="21"/>
    </row>
    <row r="7271" spans="7:7" x14ac:dyDescent="0.25">
      <c r="G7271" s="21"/>
    </row>
    <row r="7272" spans="7:7" x14ac:dyDescent="0.25">
      <c r="G7272" s="21"/>
    </row>
    <row r="7273" spans="7:7" x14ac:dyDescent="0.25">
      <c r="G7273" s="21"/>
    </row>
    <row r="7274" spans="7:7" x14ac:dyDescent="0.25">
      <c r="G7274" s="21"/>
    </row>
    <row r="7275" spans="7:7" x14ac:dyDescent="0.25">
      <c r="G7275" s="21"/>
    </row>
    <row r="7276" spans="7:7" x14ac:dyDescent="0.25">
      <c r="G7276" s="21"/>
    </row>
    <row r="7277" spans="7:7" x14ac:dyDescent="0.25">
      <c r="G7277" s="21"/>
    </row>
    <row r="7278" spans="7:7" x14ac:dyDescent="0.25">
      <c r="G7278" s="21"/>
    </row>
    <row r="7279" spans="7:7" x14ac:dyDescent="0.25">
      <c r="G7279" s="21"/>
    </row>
    <row r="7280" spans="7:7" x14ac:dyDescent="0.25">
      <c r="G7280" s="21"/>
    </row>
    <row r="7281" spans="7:7" x14ac:dyDescent="0.25">
      <c r="G7281" s="21"/>
    </row>
    <row r="7282" spans="7:7" x14ac:dyDescent="0.25">
      <c r="G7282" s="21"/>
    </row>
    <row r="7283" spans="7:7" x14ac:dyDescent="0.25">
      <c r="G7283" s="21"/>
    </row>
    <row r="7284" spans="7:7" x14ac:dyDescent="0.25">
      <c r="G7284" s="21"/>
    </row>
    <row r="7285" spans="7:7" x14ac:dyDescent="0.25">
      <c r="G7285" s="21"/>
    </row>
    <row r="7286" spans="7:7" x14ac:dyDescent="0.25">
      <c r="G7286" s="21"/>
    </row>
    <row r="7287" spans="7:7" x14ac:dyDescent="0.25">
      <c r="G7287" s="21"/>
    </row>
    <row r="7288" spans="7:7" x14ac:dyDescent="0.25">
      <c r="G7288" s="21"/>
    </row>
    <row r="7289" spans="7:7" x14ac:dyDescent="0.25">
      <c r="G7289" s="21"/>
    </row>
    <row r="7290" spans="7:7" x14ac:dyDescent="0.25">
      <c r="G7290" s="21"/>
    </row>
    <row r="7291" spans="7:7" x14ac:dyDescent="0.25">
      <c r="G7291" s="21"/>
    </row>
    <row r="7292" spans="7:7" x14ac:dyDescent="0.25">
      <c r="G7292" s="21"/>
    </row>
    <row r="7293" spans="7:7" x14ac:dyDescent="0.25">
      <c r="G7293" s="21"/>
    </row>
    <row r="7294" spans="7:7" x14ac:dyDescent="0.25">
      <c r="G7294" s="21"/>
    </row>
    <row r="7295" spans="7:7" x14ac:dyDescent="0.25">
      <c r="G7295" s="21"/>
    </row>
    <row r="7296" spans="7:7" x14ac:dyDescent="0.25">
      <c r="G7296" s="21"/>
    </row>
    <row r="7297" spans="7:7" x14ac:dyDescent="0.25">
      <c r="G7297" s="21"/>
    </row>
    <row r="7298" spans="7:7" x14ac:dyDescent="0.25">
      <c r="G7298" s="21"/>
    </row>
    <row r="7299" spans="7:7" x14ac:dyDescent="0.25">
      <c r="G7299" s="21"/>
    </row>
    <row r="7300" spans="7:7" x14ac:dyDescent="0.25">
      <c r="G7300" s="21"/>
    </row>
    <row r="7301" spans="7:7" x14ac:dyDescent="0.25">
      <c r="G7301" s="21"/>
    </row>
    <row r="7302" spans="7:7" x14ac:dyDescent="0.25">
      <c r="G7302" s="21"/>
    </row>
    <row r="7303" spans="7:7" x14ac:dyDescent="0.25">
      <c r="G7303" s="21"/>
    </row>
    <row r="7304" spans="7:7" x14ac:dyDescent="0.25">
      <c r="G7304" s="21"/>
    </row>
    <row r="7305" spans="7:7" x14ac:dyDescent="0.25">
      <c r="G7305" s="21"/>
    </row>
    <row r="7306" spans="7:7" x14ac:dyDescent="0.25">
      <c r="G7306" s="21"/>
    </row>
    <row r="7307" spans="7:7" x14ac:dyDescent="0.25">
      <c r="G7307" s="21"/>
    </row>
    <row r="7308" spans="7:7" x14ac:dyDescent="0.25">
      <c r="G7308" s="21"/>
    </row>
    <row r="7309" spans="7:7" x14ac:dyDescent="0.25">
      <c r="G7309" s="21"/>
    </row>
    <row r="7310" spans="7:7" x14ac:dyDescent="0.25">
      <c r="G7310" s="21"/>
    </row>
    <row r="7311" spans="7:7" x14ac:dyDescent="0.25">
      <c r="G7311" s="21"/>
    </row>
    <row r="7312" spans="7:7" x14ac:dyDescent="0.25">
      <c r="G7312" s="21"/>
    </row>
    <row r="7313" spans="7:7" x14ac:dyDescent="0.25">
      <c r="G7313" s="21"/>
    </row>
    <row r="7314" spans="7:7" x14ac:dyDescent="0.25">
      <c r="G7314" s="21"/>
    </row>
    <row r="7315" spans="7:7" x14ac:dyDescent="0.25">
      <c r="G7315" s="21"/>
    </row>
    <row r="7316" spans="7:7" x14ac:dyDescent="0.25">
      <c r="G7316" s="21"/>
    </row>
    <row r="7317" spans="7:7" x14ac:dyDescent="0.25">
      <c r="G7317" s="21"/>
    </row>
    <row r="7318" spans="7:7" x14ac:dyDescent="0.25">
      <c r="G7318" s="21"/>
    </row>
    <row r="7319" spans="7:7" x14ac:dyDescent="0.25">
      <c r="G7319" s="21"/>
    </row>
    <row r="7320" spans="7:7" x14ac:dyDescent="0.25">
      <c r="G7320" s="21"/>
    </row>
    <row r="7321" spans="7:7" x14ac:dyDescent="0.25">
      <c r="G7321" s="21"/>
    </row>
    <row r="7322" spans="7:7" x14ac:dyDescent="0.25">
      <c r="G7322" s="21"/>
    </row>
    <row r="7323" spans="7:7" x14ac:dyDescent="0.25">
      <c r="G7323" s="21"/>
    </row>
    <row r="7324" spans="7:7" x14ac:dyDescent="0.25">
      <c r="G7324" s="21"/>
    </row>
    <row r="7325" spans="7:7" x14ac:dyDescent="0.25">
      <c r="G7325" s="21"/>
    </row>
    <row r="7326" spans="7:7" x14ac:dyDescent="0.25">
      <c r="G7326" s="21"/>
    </row>
    <row r="7327" spans="7:7" x14ac:dyDescent="0.25">
      <c r="G7327" s="21"/>
    </row>
    <row r="7328" spans="7:7" x14ac:dyDescent="0.25">
      <c r="G7328" s="21"/>
    </row>
    <row r="7329" spans="7:7" x14ac:dyDescent="0.25">
      <c r="G7329" s="21"/>
    </row>
    <row r="7330" spans="7:7" x14ac:dyDescent="0.25">
      <c r="G7330" s="21"/>
    </row>
    <row r="7331" spans="7:7" x14ac:dyDescent="0.25">
      <c r="G7331" s="21"/>
    </row>
    <row r="7332" spans="7:7" x14ac:dyDescent="0.25">
      <c r="G7332" s="21"/>
    </row>
    <row r="7333" spans="7:7" x14ac:dyDescent="0.25">
      <c r="G7333" s="21"/>
    </row>
    <row r="7334" spans="7:7" x14ac:dyDescent="0.25">
      <c r="G7334" s="21"/>
    </row>
    <row r="7335" spans="7:7" x14ac:dyDescent="0.25">
      <c r="G7335" s="21"/>
    </row>
    <row r="7336" spans="7:7" x14ac:dyDescent="0.25">
      <c r="G7336" s="21"/>
    </row>
    <row r="7337" spans="7:7" x14ac:dyDescent="0.25">
      <c r="G7337" s="21"/>
    </row>
    <row r="7338" spans="7:7" x14ac:dyDescent="0.25">
      <c r="G7338" s="21"/>
    </row>
    <row r="7339" spans="7:7" x14ac:dyDescent="0.25">
      <c r="G7339" s="21"/>
    </row>
    <row r="7340" spans="7:7" x14ac:dyDescent="0.25">
      <c r="G7340" s="21"/>
    </row>
    <row r="7341" spans="7:7" x14ac:dyDescent="0.25">
      <c r="G7341" s="21"/>
    </row>
    <row r="7342" spans="7:7" x14ac:dyDescent="0.25">
      <c r="G7342" s="21"/>
    </row>
    <row r="7343" spans="7:7" x14ac:dyDescent="0.25">
      <c r="G7343" s="21"/>
    </row>
    <row r="7344" spans="7:7" x14ac:dyDescent="0.25">
      <c r="G7344" s="21"/>
    </row>
    <row r="7345" spans="7:7" x14ac:dyDescent="0.25">
      <c r="G7345" s="21"/>
    </row>
    <row r="7346" spans="7:7" x14ac:dyDescent="0.25">
      <c r="G7346" s="21"/>
    </row>
    <row r="7347" spans="7:7" x14ac:dyDescent="0.25">
      <c r="G7347" s="21"/>
    </row>
    <row r="7348" spans="7:7" x14ac:dyDescent="0.25">
      <c r="G7348" s="21"/>
    </row>
    <row r="7349" spans="7:7" x14ac:dyDescent="0.25">
      <c r="G7349" s="21"/>
    </row>
    <row r="7350" spans="7:7" x14ac:dyDescent="0.25">
      <c r="G7350" s="21"/>
    </row>
    <row r="7351" spans="7:7" x14ac:dyDescent="0.25">
      <c r="G7351" s="21"/>
    </row>
    <row r="7352" spans="7:7" x14ac:dyDescent="0.25">
      <c r="G7352" s="21"/>
    </row>
    <row r="7353" spans="7:7" x14ac:dyDescent="0.25">
      <c r="G7353" s="21"/>
    </row>
    <row r="7354" spans="7:7" x14ac:dyDescent="0.25">
      <c r="G7354" s="21"/>
    </row>
    <row r="7355" spans="7:7" x14ac:dyDescent="0.25">
      <c r="G7355" s="21"/>
    </row>
    <row r="7356" spans="7:7" x14ac:dyDescent="0.25">
      <c r="G7356" s="21"/>
    </row>
    <row r="7357" spans="7:7" x14ac:dyDescent="0.25">
      <c r="G7357" s="21"/>
    </row>
    <row r="7358" spans="7:7" x14ac:dyDescent="0.25">
      <c r="G7358" s="21"/>
    </row>
    <row r="7359" spans="7:7" x14ac:dyDescent="0.25">
      <c r="G7359" s="21"/>
    </row>
    <row r="7360" spans="7:7" x14ac:dyDescent="0.25">
      <c r="G7360" s="21"/>
    </row>
    <row r="7361" spans="7:7" x14ac:dyDescent="0.25">
      <c r="G7361" s="21"/>
    </row>
    <row r="7362" spans="7:7" x14ac:dyDescent="0.25">
      <c r="G7362" s="21"/>
    </row>
    <row r="7363" spans="7:7" x14ac:dyDescent="0.25">
      <c r="G7363" s="21"/>
    </row>
    <row r="7364" spans="7:7" x14ac:dyDescent="0.25">
      <c r="G7364" s="21"/>
    </row>
    <row r="7365" spans="7:7" x14ac:dyDescent="0.25">
      <c r="G7365" s="21"/>
    </row>
    <row r="7366" spans="7:7" x14ac:dyDescent="0.25">
      <c r="G7366" s="21"/>
    </row>
    <row r="7367" spans="7:7" x14ac:dyDescent="0.25">
      <c r="G7367" s="21"/>
    </row>
    <row r="7368" spans="7:7" x14ac:dyDescent="0.25">
      <c r="G7368" s="21"/>
    </row>
    <row r="7369" spans="7:7" x14ac:dyDescent="0.25">
      <c r="G7369" s="21"/>
    </row>
    <row r="7370" spans="7:7" x14ac:dyDescent="0.25">
      <c r="G7370" s="21"/>
    </row>
    <row r="7371" spans="7:7" x14ac:dyDescent="0.25">
      <c r="G7371" s="21"/>
    </row>
    <row r="7372" spans="7:7" x14ac:dyDescent="0.25">
      <c r="G7372" s="21"/>
    </row>
    <row r="7373" spans="7:7" x14ac:dyDescent="0.25">
      <c r="G7373" s="21"/>
    </row>
    <row r="7374" spans="7:7" x14ac:dyDescent="0.25">
      <c r="G7374" s="21"/>
    </row>
    <row r="7375" spans="7:7" x14ac:dyDescent="0.25">
      <c r="G7375" s="21"/>
    </row>
    <row r="7376" spans="7:7" x14ac:dyDescent="0.25">
      <c r="G7376" s="21"/>
    </row>
    <row r="7377" spans="7:7" x14ac:dyDescent="0.25">
      <c r="G7377" s="21"/>
    </row>
    <row r="7378" spans="7:7" x14ac:dyDescent="0.25">
      <c r="G7378" s="21"/>
    </row>
    <row r="7379" spans="7:7" x14ac:dyDescent="0.25">
      <c r="G7379" s="21"/>
    </row>
    <row r="7380" spans="7:7" x14ac:dyDescent="0.25">
      <c r="G7380" s="21"/>
    </row>
    <row r="7381" spans="7:7" x14ac:dyDescent="0.25">
      <c r="G7381" s="21"/>
    </row>
    <row r="7382" spans="7:7" x14ac:dyDescent="0.25">
      <c r="G7382" s="21"/>
    </row>
    <row r="7383" spans="7:7" x14ac:dyDescent="0.25">
      <c r="G7383" s="21"/>
    </row>
    <row r="7384" spans="7:7" x14ac:dyDescent="0.25">
      <c r="G7384" s="21"/>
    </row>
    <row r="7385" spans="7:7" x14ac:dyDescent="0.25">
      <c r="G7385" s="21"/>
    </row>
    <row r="7386" spans="7:7" x14ac:dyDescent="0.25">
      <c r="G7386" s="21"/>
    </row>
    <row r="7387" spans="7:7" x14ac:dyDescent="0.25">
      <c r="G7387" s="21"/>
    </row>
    <row r="7388" spans="7:7" x14ac:dyDescent="0.25">
      <c r="G7388" s="21"/>
    </row>
    <row r="7389" spans="7:7" x14ac:dyDescent="0.25">
      <c r="G7389" s="21"/>
    </row>
    <row r="7390" spans="7:7" x14ac:dyDescent="0.25">
      <c r="G7390" s="21"/>
    </row>
    <row r="7391" spans="7:7" x14ac:dyDescent="0.25">
      <c r="G7391" s="21"/>
    </row>
    <row r="7392" spans="7:7" x14ac:dyDescent="0.25">
      <c r="G7392" s="21"/>
    </row>
    <row r="7393" spans="7:7" x14ac:dyDescent="0.25">
      <c r="G7393" s="21"/>
    </row>
    <row r="7394" spans="7:7" x14ac:dyDescent="0.25">
      <c r="G7394" s="21"/>
    </row>
    <row r="7395" spans="7:7" x14ac:dyDescent="0.25">
      <c r="G7395" s="21"/>
    </row>
    <row r="7396" spans="7:7" x14ac:dyDescent="0.25">
      <c r="G7396" s="21"/>
    </row>
    <row r="7397" spans="7:7" x14ac:dyDescent="0.25">
      <c r="G7397" s="21"/>
    </row>
    <row r="7398" spans="7:7" x14ac:dyDescent="0.25">
      <c r="G7398" s="21"/>
    </row>
    <row r="7399" spans="7:7" x14ac:dyDescent="0.25">
      <c r="G7399" s="21"/>
    </row>
    <row r="7400" spans="7:7" x14ac:dyDescent="0.25">
      <c r="G7400" s="21"/>
    </row>
    <row r="7401" spans="7:7" x14ac:dyDescent="0.25">
      <c r="G7401" s="21"/>
    </row>
    <row r="7402" spans="7:7" x14ac:dyDescent="0.25">
      <c r="G7402" s="21"/>
    </row>
    <row r="7403" spans="7:7" x14ac:dyDescent="0.25">
      <c r="G7403" s="21"/>
    </row>
    <row r="7404" spans="7:7" x14ac:dyDescent="0.25">
      <c r="G7404" s="21"/>
    </row>
    <row r="7405" spans="7:7" x14ac:dyDescent="0.25">
      <c r="G7405" s="21"/>
    </row>
    <row r="7406" spans="7:7" x14ac:dyDescent="0.25">
      <c r="G7406" s="21"/>
    </row>
    <row r="7407" spans="7:7" x14ac:dyDescent="0.25">
      <c r="G7407" s="21"/>
    </row>
    <row r="7408" spans="7:7" x14ac:dyDescent="0.25">
      <c r="G7408" s="21"/>
    </row>
    <row r="7409" spans="7:7" x14ac:dyDescent="0.25">
      <c r="G7409" s="21"/>
    </row>
    <row r="7410" spans="7:7" x14ac:dyDescent="0.25">
      <c r="G7410" s="21"/>
    </row>
    <row r="7411" spans="7:7" x14ac:dyDescent="0.25">
      <c r="G7411" s="21"/>
    </row>
    <row r="7412" spans="7:7" x14ac:dyDescent="0.25">
      <c r="G7412" s="21"/>
    </row>
    <row r="7413" spans="7:7" x14ac:dyDescent="0.25">
      <c r="G7413" s="21"/>
    </row>
    <row r="7414" spans="7:7" x14ac:dyDescent="0.25">
      <c r="G7414" s="21"/>
    </row>
    <row r="7415" spans="7:7" x14ac:dyDescent="0.25">
      <c r="G7415" s="21"/>
    </row>
    <row r="7416" spans="7:7" x14ac:dyDescent="0.25">
      <c r="G7416" s="21"/>
    </row>
    <row r="7417" spans="7:7" x14ac:dyDescent="0.25">
      <c r="G7417" s="21"/>
    </row>
    <row r="7418" spans="7:7" x14ac:dyDescent="0.25">
      <c r="G7418" s="21"/>
    </row>
    <row r="7419" spans="7:7" x14ac:dyDescent="0.25">
      <c r="G7419" s="21"/>
    </row>
    <row r="7420" spans="7:7" x14ac:dyDescent="0.25">
      <c r="G7420" s="21"/>
    </row>
    <row r="7421" spans="7:7" x14ac:dyDescent="0.25">
      <c r="G7421" s="21"/>
    </row>
    <row r="7422" spans="7:7" x14ac:dyDescent="0.25">
      <c r="G7422" s="21"/>
    </row>
    <row r="7423" spans="7:7" x14ac:dyDescent="0.25">
      <c r="G7423" s="21"/>
    </row>
    <row r="7424" spans="7:7" x14ac:dyDescent="0.25">
      <c r="G7424" s="21"/>
    </row>
    <row r="7425" spans="7:7" x14ac:dyDescent="0.25">
      <c r="G7425" s="21"/>
    </row>
    <row r="7426" spans="7:7" x14ac:dyDescent="0.25">
      <c r="G7426" s="21"/>
    </row>
    <row r="7427" spans="7:7" x14ac:dyDescent="0.25">
      <c r="G7427" s="21"/>
    </row>
    <row r="7428" spans="7:7" x14ac:dyDescent="0.25">
      <c r="G7428" s="21"/>
    </row>
    <row r="7429" spans="7:7" x14ac:dyDescent="0.25">
      <c r="G7429" s="21"/>
    </row>
    <row r="7430" spans="7:7" x14ac:dyDescent="0.25">
      <c r="G7430" s="21"/>
    </row>
    <row r="7431" spans="7:7" x14ac:dyDescent="0.25">
      <c r="G7431" s="21"/>
    </row>
    <row r="7432" spans="7:7" x14ac:dyDescent="0.25">
      <c r="G7432" s="21"/>
    </row>
    <row r="7433" spans="7:7" x14ac:dyDescent="0.25">
      <c r="G7433" s="21"/>
    </row>
    <row r="7434" spans="7:7" x14ac:dyDescent="0.25">
      <c r="G7434" s="21"/>
    </row>
    <row r="7435" spans="7:7" x14ac:dyDescent="0.25">
      <c r="G7435" s="21"/>
    </row>
    <row r="7436" spans="7:7" x14ac:dyDescent="0.25">
      <c r="G7436" s="21"/>
    </row>
    <row r="7437" spans="7:7" x14ac:dyDescent="0.25">
      <c r="G7437" s="21"/>
    </row>
    <row r="7438" spans="7:7" x14ac:dyDescent="0.25">
      <c r="G7438" s="21"/>
    </row>
    <row r="7439" spans="7:7" x14ac:dyDescent="0.25">
      <c r="G7439" s="21"/>
    </row>
    <row r="7440" spans="7:7" x14ac:dyDescent="0.25">
      <c r="G7440" s="21"/>
    </row>
    <row r="7441" spans="7:7" x14ac:dyDescent="0.25">
      <c r="G7441" s="21"/>
    </row>
    <row r="7442" spans="7:7" x14ac:dyDescent="0.25">
      <c r="G7442" s="21"/>
    </row>
    <row r="7443" spans="7:7" x14ac:dyDescent="0.25">
      <c r="G7443" s="21"/>
    </row>
    <row r="7444" spans="7:7" x14ac:dyDescent="0.25">
      <c r="G7444" s="21"/>
    </row>
    <row r="7445" spans="7:7" x14ac:dyDescent="0.25">
      <c r="G7445" s="21"/>
    </row>
    <row r="7446" spans="7:7" x14ac:dyDescent="0.25">
      <c r="G7446" s="21"/>
    </row>
    <row r="7447" spans="7:7" x14ac:dyDescent="0.25">
      <c r="G7447" s="21"/>
    </row>
    <row r="7448" spans="7:7" x14ac:dyDescent="0.25">
      <c r="G7448" s="21"/>
    </row>
    <row r="7449" spans="7:7" x14ac:dyDescent="0.25">
      <c r="G7449" s="21"/>
    </row>
    <row r="7450" spans="7:7" x14ac:dyDescent="0.25">
      <c r="G7450" s="21"/>
    </row>
    <row r="7451" spans="7:7" x14ac:dyDescent="0.25">
      <c r="G7451" s="21"/>
    </row>
    <row r="7452" spans="7:7" x14ac:dyDescent="0.25">
      <c r="G7452" s="21"/>
    </row>
    <row r="7453" spans="7:7" x14ac:dyDescent="0.25">
      <c r="G7453" s="21"/>
    </row>
    <row r="7454" spans="7:7" x14ac:dyDescent="0.25">
      <c r="G7454" s="21"/>
    </row>
    <row r="7455" spans="7:7" x14ac:dyDescent="0.25">
      <c r="G7455" s="21"/>
    </row>
    <row r="7456" spans="7:7" x14ac:dyDescent="0.25">
      <c r="G7456" s="21"/>
    </row>
    <row r="7457" spans="7:7" x14ac:dyDescent="0.25">
      <c r="G7457" s="21"/>
    </row>
    <row r="7458" spans="7:7" x14ac:dyDescent="0.25">
      <c r="G7458" s="21"/>
    </row>
    <row r="7459" spans="7:7" x14ac:dyDescent="0.25">
      <c r="G7459" s="21"/>
    </row>
    <row r="7460" spans="7:7" x14ac:dyDescent="0.25">
      <c r="G7460" s="21"/>
    </row>
    <row r="7461" spans="7:7" x14ac:dyDescent="0.25">
      <c r="G7461" s="21"/>
    </row>
    <row r="7462" spans="7:7" x14ac:dyDescent="0.25">
      <c r="G7462" s="21"/>
    </row>
    <row r="7463" spans="7:7" x14ac:dyDescent="0.25">
      <c r="G7463" s="21"/>
    </row>
    <row r="7464" spans="7:7" x14ac:dyDescent="0.25">
      <c r="G7464" s="21"/>
    </row>
    <row r="7465" spans="7:7" x14ac:dyDescent="0.25">
      <c r="G7465" s="21"/>
    </row>
    <row r="7466" spans="7:7" x14ac:dyDescent="0.25">
      <c r="G7466" s="21"/>
    </row>
    <row r="7467" spans="7:7" x14ac:dyDescent="0.25">
      <c r="G7467" s="21"/>
    </row>
    <row r="7468" spans="7:7" x14ac:dyDescent="0.25">
      <c r="G7468" s="21"/>
    </row>
    <row r="7469" spans="7:7" x14ac:dyDescent="0.25">
      <c r="G7469" s="21"/>
    </row>
    <row r="7470" spans="7:7" x14ac:dyDescent="0.25">
      <c r="G7470" s="21"/>
    </row>
    <row r="7471" spans="7:7" x14ac:dyDescent="0.25">
      <c r="G7471" s="21"/>
    </row>
    <row r="7472" spans="7:7" x14ac:dyDescent="0.25">
      <c r="G7472" s="21"/>
    </row>
    <row r="7473" spans="7:7" x14ac:dyDescent="0.25">
      <c r="G7473" s="21"/>
    </row>
    <row r="7474" spans="7:7" x14ac:dyDescent="0.25">
      <c r="G7474" s="21"/>
    </row>
    <row r="7475" spans="7:7" x14ac:dyDescent="0.25">
      <c r="G7475" s="21"/>
    </row>
    <row r="7476" spans="7:7" x14ac:dyDescent="0.25">
      <c r="G7476" s="21"/>
    </row>
    <row r="7477" spans="7:7" x14ac:dyDescent="0.25">
      <c r="G7477" s="21"/>
    </row>
    <row r="7478" spans="7:7" x14ac:dyDescent="0.25">
      <c r="G7478" s="21"/>
    </row>
    <row r="7479" spans="7:7" x14ac:dyDescent="0.25">
      <c r="G7479" s="21"/>
    </row>
    <row r="7480" spans="7:7" x14ac:dyDescent="0.25">
      <c r="G7480" s="21"/>
    </row>
    <row r="7481" spans="7:7" x14ac:dyDescent="0.25">
      <c r="G7481" s="21"/>
    </row>
    <row r="7482" spans="7:7" x14ac:dyDescent="0.25">
      <c r="G7482" s="21"/>
    </row>
    <row r="7483" spans="7:7" x14ac:dyDescent="0.25">
      <c r="G7483" s="21"/>
    </row>
    <row r="7484" spans="7:7" x14ac:dyDescent="0.25">
      <c r="G7484" s="21"/>
    </row>
    <row r="7485" spans="7:7" x14ac:dyDescent="0.25">
      <c r="G7485" s="21"/>
    </row>
    <row r="7486" spans="7:7" x14ac:dyDescent="0.25">
      <c r="G7486" s="21"/>
    </row>
    <row r="7487" spans="7:7" x14ac:dyDescent="0.25">
      <c r="G7487" s="21"/>
    </row>
    <row r="7488" spans="7:7" x14ac:dyDescent="0.25">
      <c r="G7488" s="21"/>
    </row>
    <row r="7489" spans="7:7" x14ac:dyDescent="0.25">
      <c r="G7489" s="21"/>
    </row>
    <row r="7490" spans="7:7" x14ac:dyDescent="0.25">
      <c r="G7490" s="21"/>
    </row>
    <row r="7491" spans="7:7" x14ac:dyDescent="0.25">
      <c r="G7491" s="21"/>
    </row>
    <row r="7492" spans="7:7" x14ac:dyDescent="0.25">
      <c r="G7492" s="21"/>
    </row>
    <row r="7493" spans="7:7" x14ac:dyDescent="0.25">
      <c r="G7493" s="21"/>
    </row>
    <row r="7494" spans="7:7" x14ac:dyDescent="0.25">
      <c r="G7494" s="21"/>
    </row>
    <row r="7495" spans="7:7" x14ac:dyDescent="0.25">
      <c r="G7495" s="21"/>
    </row>
    <row r="7496" spans="7:7" x14ac:dyDescent="0.25">
      <c r="G7496" s="21"/>
    </row>
    <row r="7497" spans="7:7" x14ac:dyDescent="0.25">
      <c r="G7497" s="21"/>
    </row>
    <row r="7498" spans="7:7" x14ac:dyDescent="0.25">
      <c r="G7498" s="21"/>
    </row>
    <row r="7499" spans="7:7" x14ac:dyDescent="0.25">
      <c r="G7499" s="21"/>
    </row>
    <row r="7500" spans="7:7" x14ac:dyDescent="0.25">
      <c r="G7500" s="21"/>
    </row>
    <row r="7501" spans="7:7" x14ac:dyDescent="0.25">
      <c r="G7501" s="21"/>
    </row>
    <row r="7502" spans="7:7" x14ac:dyDescent="0.25">
      <c r="G7502" s="21"/>
    </row>
    <row r="7503" spans="7:7" x14ac:dyDescent="0.25">
      <c r="G7503" s="21"/>
    </row>
    <row r="7504" spans="7:7" x14ac:dyDescent="0.25">
      <c r="G7504" s="21"/>
    </row>
    <row r="7505" spans="7:7" x14ac:dyDescent="0.25">
      <c r="G7505" s="21"/>
    </row>
    <row r="7506" spans="7:7" x14ac:dyDescent="0.25">
      <c r="G7506" s="21"/>
    </row>
    <row r="7507" spans="7:7" x14ac:dyDescent="0.25">
      <c r="G7507" s="21"/>
    </row>
    <row r="7508" spans="7:7" x14ac:dyDescent="0.25">
      <c r="G7508" s="21"/>
    </row>
    <row r="7509" spans="7:7" x14ac:dyDescent="0.25">
      <c r="G7509" s="21"/>
    </row>
    <row r="7510" spans="7:7" x14ac:dyDescent="0.25">
      <c r="G7510" s="21"/>
    </row>
    <row r="7511" spans="7:7" x14ac:dyDescent="0.25">
      <c r="G7511" s="21"/>
    </row>
    <row r="7512" spans="7:7" x14ac:dyDescent="0.25">
      <c r="G7512" s="21"/>
    </row>
    <row r="7513" spans="7:7" x14ac:dyDescent="0.25">
      <c r="G7513" s="21"/>
    </row>
    <row r="7514" spans="7:7" x14ac:dyDescent="0.25">
      <c r="G7514" s="21"/>
    </row>
    <row r="7515" spans="7:7" x14ac:dyDescent="0.25">
      <c r="G7515" s="21"/>
    </row>
    <row r="7516" spans="7:7" x14ac:dyDescent="0.25">
      <c r="G7516" s="21"/>
    </row>
    <row r="7517" spans="7:7" x14ac:dyDescent="0.25">
      <c r="G7517" s="21"/>
    </row>
    <row r="7518" spans="7:7" x14ac:dyDescent="0.25">
      <c r="G7518" s="21"/>
    </row>
    <row r="7519" spans="7:7" x14ac:dyDescent="0.25">
      <c r="G7519" s="21"/>
    </row>
    <row r="7520" spans="7:7" x14ac:dyDescent="0.25">
      <c r="G7520" s="21"/>
    </row>
    <row r="7521" spans="7:7" x14ac:dyDescent="0.25">
      <c r="G7521" s="21"/>
    </row>
    <row r="7522" spans="7:7" x14ac:dyDescent="0.25">
      <c r="G7522" s="21"/>
    </row>
    <row r="7523" spans="7:7" x14ac:dyDescent="0.25">
      <c r="G7523" s="21"/>
    </row>
    <row r="7524" spans="7:7" x14ac:dyDescent="0.25">
      <c r="G7524" s="21"/>
    </row>
    <row r="7525" spans="7:7" x14ac:dyDescent="0.25">
      <c r="G7525" s="21"/>
    </row>
    <row r="7526" spans="7:7" x14ac:dyDescent="0.25">
      <c r="G7526" s="21"/>
    </row>
    <row r="7527" spans="7:7" x14ac:dyDescent="0.25">
      <c r="G7527" s="21"/>
    </row>
    <row r="7528" spans="7:7" x14ac:dyDescent="0.25">
      <c r="G7528" s="21"/>
    </row>
    <row r="7529" spans="7:7" x14ac:dyDescent="0.25">
      <c r="G7529" s="21"/>
    </row>
    <row r="7530" spans="7:7" x14ac:dyDescent="0.25">
      <c r="G7530" s="21"/>
    </row>
    <row r="7531" spans="7:7" x14ac:dyDescent="0.25">
      <c r="G7531" s="21"/>
    </row>
    <row r="7532" spans="7:7" x14ac:dyDescent="0.25">
      <c r="G7532" s="21"/>
    </row>
    <row r="7533" spans="7:7" x14ac:dyDescent="0.25">
      <c r="G7533" s="21"/>
    </row>
    <row r="7534" spans="7:7" x14ac:dyDescent="0.25">
      <c r="G7534" s="21"/>
    </row>
    <row r="7535" spans="7:7" x14ac:dyDescent="0.25">
      <c r="G7535" s="21"/>
    </row>
    <row r="7536" spans="7:7" x14ac:dyDescent="0.25">
      <c r="G7536" s="21"/>
    </row>
    <row r="7537" spans="7:7" x14ac:dyDescent="0.25">
      <c r="G7537" s="21"/>
    </row>
    <row r="7538" spans="7:7" x14ac:dyDescent="0.25">
      <c r="G7538" s="21"/>
    </row>
    <row r="7539" spans="7:7" x14ac:dyDescent="0.25">
      <c r="G7539" s="21"/>
    </row>
    <row r="7540" spans="7:7" x14ac:dyDescent="0.25">
      <c r="G7540" s="21"/>
    </row>
    <row r="7541" spans="7:7" x14ac:dyDescent="0.25">
      <c r="G7541" s="21"/>
    </row>
    <row r="7542" spans="7:7" x14ac:dyDescent="0.25">
      <c r="G7542" s="21"/>
    </row>
    <row r="7543" spans="7:7" x14ac:dyDescent="0.25">
      <c r="G7543" s="21"/>
    </row>
    <row r="7544" spans="7:7" x14ac:dyDescent="0.25">
      <c r="G7544" s="21"/>
    </row>
    <row r="7545" spans="7:7" x14ac:dyDescent="0.25">
      <c r="G7545" s="21"/>
    </row>
    <row r="7546" spans="7:7" x14ac:dyDescent="0.25">
      <c r="G7546" s="21"/>
    </row>
    <row r="7547" spans="7:7" x14ac:dyDescent="0.25">
      <c r="G7547" s="21"/>
    </row>
    <row r="7548" spans="7:7" x14ac:dyDescent="0.25">
      <c r="G7548" s="21"/>
    </row>
    <row r="7549" spans="7:7" x14ac:dyDescent="0.25">
      <c r="G7549" s="21"/>
    </row>
    <row r="7550" spans="7:7" x14ac:dyDescent="0.25">
      <c r="G7550" s="21"/>
    </row>
    <row r="7551" spans="7:7" x14ac:dyDescent="0.25">
      <c r="G7551" s="21"/>
    </row>
    <row r="7552" spans="7:7" x14ac:dyDescent="0.25">
      <c r="G7552" s="21"/>
    </row>
    <row r="7553" spans="7:7" x14ac:dyDescent="0.25">
      <c r="G7553" s="21"/>
    </row>
    <row r="7554" spans="7:7" x14ac:dyDescent="0.25">
      <c r="G7554" s="21"/>
    </row>
    <row r="7555" spans="7:7" x14ac:dyDescent="0.25">
      <c r="G7555" s="21"/>
    </row>
    <row r="7556" spans="7:7" x14ac:dyDescent="0.25">
      <c r="G7556" s="21"/>
    </row>
    <row r="7557" spans="7:7" x14ac:dyDescent="0.25">
      <c r="G7557" s="21"/>
    </row>
    <row r="7558" spans="7:7" x14ac:dyDescent="0.25">
      <c r="G7558" s="21"/>
    </row>
    <row r="7559" spans="7:7" x14ac:dyDescent="0.25">
      <c r="G7559" s="21"/>
    </row>
    <row r="7560" spans="7:7" x14ac:dyDescent="0.25">
      <c r="G7560" s="21"/>
    </row>
    <row r="7561" spans="7:7" x14ac:dyDescent="0.25">
      <c r="G7561" s="21"/>
    </row>
    <row r="7562" spans="7:7" x14ac:dyDescent="0.25">
      <c r="G7562" s="21"/>
    </row>
    <row r="7563" spans="7:7" x14ac:dyDescent="0.25">
      <c r="G7563" s="21"/>
    </row>
    <row r="7564" spans="7:7" x14ac:dyDescent="0.25">
      <c r="G7564" s="21"/>
    </row>
    <row r="7565" spans="7:7" x14ac:dyDescent="0.25">
      <c r="G7565" s="21"/>
    </row>
    <row r="7566" spans="7:7" x14ac:dyDescent="0.25">
      <c r="G7566" s="21"/>
    </row>
    <row r="7567" spans="7:7" x14ac:dyDescent="0.25">
      <c r="G7567" s="21"/>
    </row>
    <row r="7568" spans="7:7" x14ac:dyDescent="0.25">
      <c r="G7568" s="21"/>
    </row>
    <row r="7569" spans="7:7" x14ac:dyDescent="0.25">
      <c r="G7569" s="21"/>
    </row>
    <row r="7570" spans="7:7" x14ac:dyDescent="0.25">
      <c r="G7570" s="21"/>
    </row>
    <row r="7571" spans="7:7" x14ac:dyDescent="0.25">
      <c r="G7571" s="21"/>
    </row>
    <row r="7572" spans="7:7" x14ac:dyDescent="0.25">
      <c r="G7572" s="21"/>
    </row>
    <row r="7573" spans="7:7" x14ac:dyDescent="0.25">
      <c r="G7573" s="21"/>
    </row>
    <row r="7574" spans="7:7" x14ac:dyDescent="0.25">
      <c r="G7574" s="21"/>
    </row>
    <row r="7575" spans="7:7" x14ac:dyDescent="0.25">
      <c r="G7575" s="21"/>
    </row>
    <row r="7576" spans="7:7" x14ac:dyDescent="0.25">
      <c r="G7576" s="21"/>
    </row>
    <row r="7577" spans="7:7" x14ac:dyDescent="0.25">
      <c r="G7577" s="21"/>
    </row>
    <row r="7578" spans="7:7" x14ac:dyDescent="0.25">
      <c r="G7578" s="21"/>
    </row>
    <row r="7579" spans="7:7" x14ac:dyDescent="0.25">
      <c r="G7579" s="21"/>
    </row>
    <row r="7580" spans="7:7" x14ac:dyDescent="0.25">
      <c r="G7580" s="21"/>
    </row>
    <row r="7581" spans="7:7" x14ac:dyDescent="0.25">
      <c r="G7581" s="21"/>
    </row>
    <row r="7582" spans="7:7" x14ac:dyDescent="0.25">
      <c r="G7582" s="21"/>
    </row>
    <row r="7583" spans="7:7" x14ac:dyDescent="0.25">
      <c r="G7583" s="21"/>
    </row>
    <row r="7584" spans="7:7" x14ac:dyDescent="0.25">
      <c r="G7584" s="21"/>
    </row>
    <row r="7585" spans="7:7" x14ac:dyDescent="0.25">
      <c r="G7585" s="21"/>
    </row>
    <row r="7586" spans="7:7" x14ac:dyDescent="0.25">
      <c r="G7586" s="21"/>
    </row>
    <row r="7587" spans="7:7" x14ac:dyDescent="0.25">
      <c r="G7587" s="21"/>
    </row>
    <row r="7588" spans="7:7" x14ac:dyDescent="0.25">
      <c r="G7588" s="21"/>
    </row>
    <row r="7589" spans="7:7" x14ac:dyDescent="0.25">
      <c r="G7589" s="21"/>
    </row>
    <row r="7590" spans="7:7" x14ac:dyDescent="0.25">
      <c r="G7590" s="21"/>
    </row>
    <row r="7591" spans="7:7" x14ac:dyDescent="0.25">
      <c r="G7591" s="21"/>
    </row>
    <row r="7592" spans="7:7" x14ac:dyDescent="0.25">
      <c r="G7592" s="21"/>
    </row>
    <row r="7593" spans="7:7" x14ac:dyDescent="0.25">
      <c r="G7593" s="21"/>
    </row>
    <row r="7594" spans="7:7" x14ac:dyDescent="0.25">
      <c r="G7594" s="21"/>
    </row>
    <row r="7595" spans="7:7" x14ac:dyDescent="0.25">
      <c r="G7595" s="21"/>
    </row>
    <row r="7596" spans="7:7" x14ac:dyDescent="0.25">
      <c r="G7596" s="21"/>
    </row>
    <row r="7597" spans="7:7" x14ac:dyDescent="0.25">
      <c r="G7597" s="21"/>
    </row>
    <row r="7598" spans="7:7" x14ac:dyDescent="0.25">
      <c r="G7598" s="21"/>
    </row>
    <row r="7599" spans="7:7" x14ac:dyDescent="0.25">
      <c r="G7599" s="21"/>
    </row>
    <row r="7600" spans="7:7" x14ac:dyDescent="0.25">
      <c r="G7600" s="21"/>
    </row>
    <row r="7601" spans="7:7" x14ac:dyDescent="0.25">
      <c r="G7601" s="21"/>
    </row>
    <row r="7602" spans="7:7" x14ac:dyDescent="0.25">
      <c r="G7602" s="21"/>
    </row>
    <row r="7603" spans="7:7" x14ac:dyDescent="0.25">
      <c r="G7603" s="21"/>
    </row>
    <row r="7604" spans="7:7" x14ac:dyDescent="0.25">
      <c r="G7604" s="21"/>
    </row>
    <row r="7605" spans="7:7" x14ac:dyDescent="0.25">
      <c r="G7605" s="21"/>
    </row>
    <row r="7606" spans="7:7" x14ac:dyDescent="0.25">
      <c r="G7606" s="21"/>
    </row>
    <row r="7607" spans="7:7" x14ac:dyDescent="0.25">
      <c r="G7607" s="21"/>
    </row>
    <row r="7608" spans="7:7" x14ac:dyDescent="0.25">
      <c r="G7608" s="21"/>
    </row>
    <row r="7609" spans="7:7" x14ac:dyDescent="0.25">
      <c r="G7609" s="21"/>
    </row>
    <row r="7610" spans="7:7" x14ac:dyDescent="0.25">
      <c r="G7610" s="21"/>
    </row>
    <row r="7611" spans="7:7" x14ac:dyDescent="0.25">
      <c r="G7611" s="21"/>
    </row>
    <row r="7612" spans="7:7" x14ac:dyDescent="0.25">
      <c r="G7612" s="21"/>
    </row>
    <row r="7613" spans="7:7" x14ac:dyDescent="0.25">
      <c r="G7613" s="21"/>
    </row>
    <row r="7614" spans="7:7" x14ac:dyDescent="0.25">
      <c r="G7614" s="21"/>
    </row>
    <row r="7615" spans="7:7" x14ac:dyDescent="0.25">
      <c r="G7615" s="21"/>
    </row>
    <row r="7616" spans="7:7" x14ac:dyDescent="0.25">
      <c r="G7616" s="21"/>
    </row>
    <row r="7617" spans="7:7" x14ac:dyDescent="0.25">
      <c r="G7617" s="21"/>
    </row>
    <row r="7618" spans="7:7" x14ac:dyDescent="0.25">
      <c r="G7618" s="21"/>
    </row>
    <row r="7619" spans="7:7" x14ac:dyDescent="0.25">
      <c r="G7619" s="21"/>
    </row>
    <row r="7620" spans="7:7" x14ac:dyDescent="0.25">
      <c r="G7620" s="21"/>
    </row>
    <row r="7621" spans="7:7" x14ac:dyDescent="0.25">
      <c r="G7621" s="21"/>
    </row>
    <row r="7622" spans="7:7" x14ac:dyDescent="0.25">
      <c r="G7622" s="21"/>
    </row>
    <row r="7623" spans="7:7" x14ac:dyDescent="0.25">
      <c r="G7623" s="21"/>
    </row>
    <row r="7624" spans="7:7" x14ac:dyDescent="0.25">
      <c r="G7624" s="21"/>
    </row>
    <row r="7625" spans="7:7" x14ac:dyDescent="0.25">
      <c r="G7625" s="21"/>
    </row>
    <row r="7626" spans="7:7" x14ac:dyDescent="0.25">
      <c r="G7626" s="21"/>
    </row>
    <row r="7627" spans="7:7" x14ac:dyDescent="0.25">
      <c r="G7627" s="21"/>
    </row>
    <row r="7628" spans="7:7" x14ac:dyDescent="0.25">
      <c r="G7628" s="21"/>
    </row>
    <row r="7629" spans="7:7" x14ac:dyDescent="0.25">
      <c r="G7629" s="21"/>
    </row>
    <row r="7630" spans="7:7" x14ac:dyDescent="0.25">
      <c r="G7630" s="21"/>
    </row>
    <row r="7631" spans="7:7" x14ac:dyDescent="0.25">
      <c r="G7631" s="21"/>
    </row>
    <row r="7632" spans="7:7" x14ac:dyDescent="0.25">
      <c r="G7632" s="21"/>
    </row>
    <row r="7633" spans="7:7" x14ac:dyDescent="0.25">
      <c r="G7633" s="21"/>
    </row>
    <row r="7634" spans="7:7" x14ac:dyDescent="0.25">
      <c r="G7634" s="21"/>
    </row>
    <row r="7635" spans="7:7" x14ac:dyDescent="0.25">
      <c r="G7635" s="21"/>
    </row>
    <row r="7636" spans="7:7" x14ac:dyDescent="0.25">
      <c r="G7636" s="21"/>
    </row>
    <row r="7637" spans="7:7" x14ac:dyDescent="0.25">
      <c r="G7637" s="21"/>
    </row>
    <row r="7638" spans="7:7" x14ac:dyDescent="0.25">
      <c r="G7638" s="21"/>
    </row>
    <row r="7639" spans="7:7" x14ac:dyDescent="0.25">
      <c r="G7639" s="21"/>
    </row>
    <row r="7640" spans="7:7" x14ac:dyDescent="0.25">
      <c r="G7640" s="21"/>
    </row>
    <row r="7641" spans="7:7" x14ac:dyDescent="0.25">
      <c r="G7641" s="21"/>
    </row>
    <row r="7642" spans="7:7" x14ac:dyDescent="0.25">
      <c r="G7642" s="21"/>
    </row>
    <row r="7643" spans="7:7" x14ac:dyDescent="0.25">
      <c r="G7643" s="21"/>
    </row>
    <row r="7644" spans="7:7" x14ac:dyDescent="0.25">
      <c r="G7644" s="21"/>
    </row>
    <row r="7645" spans="7:7" x14ac:dyDescent="0.25">
      <c r="G7645" s="21"/>
    </row>
    <row r="7646" spans="7:7" x14ac:dyDescent="0.25">
      <c r="G7646" s="21"/>
    </row>
    <row r="7647" spans="7:7" x14ac:dyDescent="0.25">
      <c r="G7647" s="21"/>
    </row>
    <row r="7648" spans="7:7" x14ac:dyDescent="0.25">
      <c r="G7648" s="21"/>
    </row>
    <row r="7649" spans="7:7" x14ac:dyDescent="0.25">
      <c r="G7649" s="21"/>
    </row>
    <row r="7650" spans="7:7" x14ac:dyDescent="0.25">
      <c r="G7650" s="21"/>
    </row>
    <row r="7651" spans="7:7" x14ac:dyDescent="0.25">
      <c r="G7651" s="21"/>
    </row>
    <row r="7652" spans="7:7" x14ac:dyDescent="0.25">
      <c r="G7652" s="21"/>
    </row>
    <row r="7653" spans="7:7" x14ac:dyDescent="0.25">
      <c r="G7653" s="21"/>
    </row>
    <row r="7654" spans="7:7" x14ac:dyDescent="0.25">
      <c r="G7654" s="21"/>
    </row>
    <row r="7655" spans="7:7" x14ac:dyDescent="0.25">
      <c r="G7655" s="21"/>
    </row>
    <row r="7656" spans="7:7" x14ac:dyDescent="0.25">
      <c r="G7656" s="21"/>
    </row>
    <row r="7657" spans="7:7" x14ac:dyDescent="0.25">
      <c r="G7657" s="21"/>
    </row>
    <row r="7658" spans="7:7" x14ac:dyDescent="0.25">
      <c r="G7658" s="21"/>
    </row>
    <row r="7659" spans="7:7" x14ac:dyDescent="0.25">
      <c r="G7659" s="21"/>
    </row>
    <row r="7660" spans="7:7" x14ac:dyDescent="0.25">
      <c r="G7660" s="21"/>
    </row>
    <row r="7661" spans="7:7" x14ac:dyDescent="0.25">
      <c r="G7661" s="21"/>
    </row>
    <row r="7662" spans="7:7" x14ac:dyDescent="0.25">
      <c r="G7662" s="21"/>
    </row>
    <row r="7663" spans="7:7" x14ac:dyDescent="0.25">
      <c r="G7663" s="21"/>
    </row>
    <row r="7664" spans="7:7" x14ac:dyDescent="0.25">
      <c r="G7664" s="21"/>
    </row>
    <row r="7665" spans="7:7" x14ac:dyDescent="0.25">
      <c r="G7665" s="21"/>
    </row>
    <row r="7666" spans="7:7" x14ac:dyDescent="0.25">
      <c r="G7666" s="21"/>
    </row>
    <row r="7667" spans="7:7" x14ac:dyDescent="0.25">
      <c r="G7667" s="21"/>
    </row>
    <row r="7668" spans="7:7" x14ac:dyDescent="0.25">
      <c r="G7668" s="21"/>
    </row>
    <row r="7669" spans="7:7" x14ac:dyDescent="0.25">
      <c r="G7669" s="21"/>
    </row>
    <row r="7670" spans="7:7" x14ac:dyDescent="0.25">
      <c r="G7670" s="21"/>
    </row>
    <row r="7671" spans="7:7" x14ac:dyDescent="0.25">
      <c r="G7671" s="21"/>
    </row>
    <row r="7672" spans="7:7" x14ac:dyDescent="0.25">
      <c r="G7672" s="21"/>
    </row>
    <row r="7673" spans="7:7" x14ac:dyDescent="0.25">
      <c r="G7673" s="21"/>
    </row>
    <row r="7674" spans="7:7" x14ac:dyDescent="0.25">
      <c r="G7674" s="21"/>
    </row>
    <row r="7675" spans="7:7" x14ac:dyDescent="0.25">
      <c r="G7675" s="21"/>
    </row>
    <row r="7676" spans="7:7" x14ac:dyDescent="0.25">
      <c r="G7676" s="21"/>
    </row>
    <row r="7677" spans="7:7" x14ac:dyDescent="0.25">
      <c r="G7677" s="21"/>
    </row>
    <row r="7678" spans="7:7" x14ac:dyDescent="0.25">
      <c r="G7678" s="21"/>
    </row>
    <row r="7679" spans="7:7" x14ac:dyDescent="0.25">
      <c r="G7679" s="21"/>
    </row>
    <row r="7680" spans="7:7" x14ac:dyDescent="0.25">
      <c r="G7680" s="21"/>
    </row>
    <row r="7681" spans="7:7" x14ac:dyDescent="0.25">
      <c r="G7681" s="21"/>
    </row>
    <row r="7682" spans="7:7" x14ac:dyDescent="0.25">
      <c r="G7682" s="21"/>
    </row>
    <row r="7683" spans="7:7" x14ac:dyDescent="0.25">
      <c r="G7683" s="21"/>
    </row>
    <row r="7684" spans="7:7" x14ac:dyDescent="0.25">
      <c r="G7684" s="21"/>
    </row>
    <row r="7685" spans="7:7" x14ac:dyDescent="0.25">
      <c r="G7685" s="21"/>
    </row>
    <row r="7686" spans="7:7" x14ac:dyDescent="0.25">
      <c r="G7686" s="21"/>
    </row>
    <row r="7687" spans="7:7" x14ac:dyDescent="0.25">
      <c r="G7687" s="21"/>
    </row>
    <row r="7688" spans="7:7" x14ac:dyDescent="0.25">
      <c r="G7688" s="21"/>
    </row>
    <row r="7689" spans="7:7" x14ac:dyDescent="0.25">
      <c r="G7689" s="21"/>
    </row>
    <row r="7690" spans="7:7" x14ac:dyDescent="0.25">
      <c r="G7690" s="21"/>
    </row>
    <row r="7691" spans="7:7" x14ac:dyDescent="0.25">
      <c r="G7691" s="21"/>
    </row>
    <row r="7692" spans="7:7" x14ac:dyDescent="0.25">
      <c r="G7692" s="21"/>
    </row>
    <row r="7693" spans="7:7" x14ac:dyDescent="0.25">
      <c r="G7693" s="21"/>
    </row>
    <row r="7694" spans="7:7" x14ac:dyDescent="0.25">
      <c r="G7694" s="21"/>
    </row>
    <row r="7695" spans="7:7" x14ac:dyDescent="0.25">
      <c r="G7695" s="21"/>
    </row>
    <row r="7696" spans="7:7" x14ac:dyDescent="0.25">
      <c r="G7696" s="21"/>
    </row>
    <row r="7697" spans="7:7" x14ac:dyDescent="0.25">
      <c r="G7697" s="21"/>
    </row>
    <row r="7698" spans="7:7" x14ac:dyDescent="0.25">
      <c r="G7698" s="21"/>
    </row>
    <row r="7699" spans="7:7" x14ac:dyDescent="0.25">
      <c r="G7699" s="21"/>
    </row>
    <row r="7700" spans="7:7" x14ac:dyDescent="0.25">
      <c r="G7700" s="21"/>
    </row>
    <row r="7701" spans="7:7" x14ac:dyDescent="0.25">
      <c r="G7701" s="21"/>
    </row>
    <row r="7702" spans="7:7" x14ac:dyDescent="0.25">
      <c r="G7702" s="21"/>
    </row>
    <row r="7703" spans="7:7" x14ac:dyDescent="0.25">
      <c r="G7703" s="21"/>
    </row>
    <row r="7704" spans="7:7" x14ac:dyDescent="0.25">
      <c r="G7704" s="21"/>
    </row>
    <row r="7705" spans="7:7" x14ac:dyDescent="0.25">
      <c r="G7705" s="21"/>
    </row>
    <row r="7706" spans="7:7" x14ac:dyDescent="0.25">
      <c r="G7706" s="21"/>
    </row>
    <row r="7707" spans="7:7" x14ac:dyDescent="0.25">
      <c r="G7707" s="21"/>
    </row>
    <row r="7708" spans="7:7" x14ac:dyDescent="0.25">
      <c r="G7708" s="21"/>
    </row>
    <row r="7709" spans="7:7" x14ac:dyDescent="0.25">
      <c r="G7709" s="21"/>
    </row>
    <row r="7710" spans="7:7" x14ac:dyDescent="0.25">
      <c r="G7710" s="21"/>
    </row>
    <row r="7711" spans="7:7" x14ac:dyDescent="0.25">
      <c r="G7711" s="21"/>
    </row>
    <row r="7712" spans="7:7" x14ac:dyDescent="0.25">
      <c r="G7712" s="21"/>
    </row>
    <row r="7713" spans="7:7" x14ac:dyDescent="0.25">
      <c r="G7713" s="21"/>
    </row>
    <row r="7714" spans="7:7" x14ac:dyDescent="0.25">
      <c r="G7714" s="21"/>
    </row>
    <row r="7715" spans="7:7" x14ac:dyDescent="0.25">
      <c r="G7715" s="21"/>
    </row>
    <row r="7716" spans="7:7" x14ac:dyDescent="0.25">
      <c r="G7716" s="21"/>
    </row>
    <row r="7717" spans="7:7" x14ac:dyDescent="0.25">
      <c r="G7717" s="21"/>
    </row>
    <row r="7718" spans="7:7" x14ac:dyDescent="0.25">
      <c r="G7718" s="21"/>
    </row>
    <row r="7719" spans="7:7" x14ac:dyDescent="0.25">
      <c r="G7719" s="21"/>
    </row>
    <row r="7720" spans="7:7" x14ac:dyDescent="0.25">
      <c r="G7720" s="21"/>
    </row>
    <row r="7721" spans="7:7" x14ac:dyDescent="0.25">
      <c r="G7721" s="21"/>
    </row>
    <row r="7722" spans="7:7" x14ac:dyDescent="0.25">
      <c r="G7722" s="21"/>
    </row>
    <row r="7723" spans="7:7" x14ac:dyDescent="0.25">
      <c r="G7723" s="21"/>
    </row>
    <row r="7724" spans="7:7" x14ac:dyDescent="0.25">
      <c r="G7724" s="21"/>
    </row>
    <row r="7725" spans="7:7" x14ac:dyDescent="0.25">
      <c r="G7725" s="21"/>
    </row>
    <row r="7726" spans="7:7" x14ac:dyDescent="0.25">
      <c r="G7726" s="21"/>
    </row>
    <row r="7727" spans="7:7" x14ac:dyDescent="0.25">
      <c r="G7727" s="21"/>
    </row>
    <row r="7728" spans="7:7" x14ac:dyDescent="0.25">
      <c r="G7728" s="21"/>
    </row>
    <row r="7729" spans="7:7" x14ac:dyDescent="0.25">
      <c r="G7729" s="21"/>
    </row>
    <row r="7730" spans="7:7" x14ac:dyDescent="0.25">
      <c r="G7730" s="21"/>
    </row>
    <row r="7731" spans="7:7" x14ac:dyDescent="0.25">
      <c r="G7731" s="21"/>
    </row>
    <row r="7732" spans="7:7" x14ac:dyDescent="0.25">
      <c r="G7732" s="21"/>
    </row>
    <row r="7733" spans="7:7" x14ac:dyDescent="0.25">
      <c r="G7733" s="21"/>
    </row>
    <row r="7734" spans="7:7" x14ac:dyDescent="0.25">
      <c r="G7734" s="21"/>
    </row>
    <row r="7735" spans="7:7" x14ac:dyDescent="0.25">
      <c r="G7735" s="21"/>
    </row>
    <row r="7736" spans="7:7" x14ac:dyDescent="0.25">
      <c r="G7736" s="21"/>
    </row>
    <row r="7737" spans="7:7" x14ac:dyDescent="0.25">
      <c r="G7737" s="21"/>
    </row>
    <row r="7738" spans="7:7" x14ac:dyDescent="0.25">
      <c r="G7738" s="21"/>
    </row>
    <row r="7739" spans="7:7" x14ac:dyDescent="0.25">
      <c r="G7739" s="21"/>
    </row>
    <row r="7740" spans="7:7" x14ac:dyDescent="0.25">
      <c r="G7740" s="21"/>
    </row>
    <row r="7741" spans="7:7" x14ac:dyDescent="0.25">
      <c r="G7741" s="21"/>
    </row>
    <row r="7742" spans="7:7" x14ac:dyDescent="0.25">
      <c r="G7742" s="21"/>
    </row>
    <row r="7743" spans="7:7" x14ac:dyDescent="0.25">
      <c r="G7743" s="21"/>
    </row>
    <row r="7744" spans="7:7" x14ac:dyDescent="0.25">
      <c r="G7744" s="21"/>
    </row>
    <row r="7745" spans="7:7" x14ac:dyDescent="0.25">
      <c r="G7745" s="21"/>
    </row>
    <row r="7746" spans="7:7" x14ac:dyDescent="0.25">
      <c r="G7746" s="21"/>
    </row>
    <row r="7747" spans="7:7" x14ac:dyDescent="0.25">
      <c r="G7747" s="21"/>
    </row>
    <row r="7748" spans="7:7" x14ac:dyDescent="0.25">
      <c r="G7748" s="21"/>
    </row>
    <row r="7749" spans="7:7" x14ac:dyDescent="0.25">
      <c r="G7749" s="21"/>
    </row>
    <row r="7750" spans="7:7" x14ac:dyDescent="0.25">
      <c r="G7750" s="21"/>
    </row>
    <row r="7751" spans="7:7" x14ac:dyDescent="0.25">
      <c r="G7751" s="21"/>
    </row>
    <row r="7752" spans="7:7" x14ac:dyDescent="0.25">
      <c r="G7752" s="21"/>
    </row>
    <row r="7753" spans="7:7" x14ac:dyDescent="0.25">
      <c r="G7753" s="21"/>
    </row>
    <row r="7754" spans="7:7" x14ac:dyDescent="0.25">
      <c r="G7754" s="21"/>
    </row>
    <row r="7755" spans="7:7" x14ac:dyDescent="0.25">
      <c r="G7755" s="21"/>
    </row>
    <row r="7756" spans="7:7" x14ac:dyDescent="0.25">
      <c r="G7756" s="21"/>
    </row>
    <row r="7757" spans="7:7" x14ac:dyDescent="0.25">
      <c r="G7757" s="21"/>
    </row>
    <row r="7758" spans="7:7" x14ac:dyDescent="0.25">
      <c r="G7758" s="21"/>
    </row>
    <row r="7759" spans="7:7" x14ac:dyDescent="0.25">
      <c r="G7759" s="21"/>
    </row>
    <row r="7760" spans="7:7" x14ac:dyDescent="0.25">
      <c r="G7760" s="21"/>
    </row>
    <row r="7761" spans="7:7" x14ac:dyDescent="0.25">
      <c r="G7761" s="21"/>
    </row>
    <row r="7762" spans="7:7" x14ac:dyDescent="0.25">
      <c r="G7762" s="21"/>
    </row>
    <row r="7763" spans="7:7" x14ac:dyDescent="0.25">
      <c r="G7763" s="21"/>
    </row>
    <row r="7764" spans="7:7" x14ac:dyDescent="0.25">
      <c r="G7764" s="21"/>
    </row>
    <row r="7765" spans="7:7" x14ac:dyDescent="0.25">
      <c r="G7765" s="21"/>
    </row>
    <row r="7766" spans="7:7" x14ac:dyDescent="0.25">
      <c r="G7766" s="21"/>
    </row>
    <row r="7767" spans="7:7" x14ac:dyDescent="0.25">
      <c r="G7767" s="21"/>
    </row>
    <row r="7768" spans="7:7" x14ac:dyDescent="0.25">
      <c r="G7768" s="21"/>
    </row>
    <row r="7769" spans="7:7" x14ac:dyDescent="0.25">
      <c r="G7769" s="21"/>
    </row>
    <row r="7770" spans="7:7" x14ac:dyDescent="0.25">
      <c r="G7770" s="21"/>
    </row>
    <row r="7771" spans="7:7" x14ac:dyDescent="0.25">
      <c r="G7771" s="21"/>
    </row>
    <row r="7772" spans="7:7" x14ac:dyDescent="0.25">
      <c r="G7772" s="21"/>
    </row>
    <row r="7773" spans="7:7" x14ac:dyDescent="0.25">
      <c r="G7773" s="21"/>
    </row>
    <row r="7774" spans="7:7" x14ac:dyDescent="0.25">
      <c r="G7774" s="21"/>
    </row>
    <row r="7775" spans="7:7" x14ac:dyDescent="0.25">
      <c r="G7775" s="21"/>
    </row>
    <row r="7776" spans="7:7" x14ac:dyDescent="0.25">
      <c r="G7776" s="21"/>
    </row>
    <row r="7777" spans="7:7" x14ac:dyDescent="0.25">
      <c r="G7777" s="21"/>
    </row>
    <row r="7778" spans="7:7" x14ac:dyDescent="0.25">
      <c r="G7778" s="21"/>
    </row>
    <row r="7779" spans="7:7" x14ac:dyDescent="0.25">
      <c r="G7779" s="21"/>
    </row>
    <row r="7780" spans="7:7" x14ac:dyDescent="0.25">
      <c r="G7780" s="21"/>
    </row>
    <row r="7781" spans="7:7" x14ac:dyDescent="0.25">
      <c r="G7781" s="21"/>
    </row>
    <row r="7782" spans="7:7" x14ac:dyDescent="0.25">
      <c r="G7782" s="21"/>
    </row>
    <row r="7783" spans="7:7" x14ac:dyDescent="0.25">
      <c r="G7783" s="21"/>
    </row>
    <row r="7784" spans="7:7" x14ac:dyDescent="0.25">
      <c r="G7784" s="21"/>
    </row>
    <row r="7785" spans="7:7" x14ac:dyDescent="0.25">
      <c r="G7785" s="21"/>
    </row>
    <row r="7786" spans="7:7" x14ac:dyDescent="0.25">
      <c r="G7786" s="21"/>
    </row>
    <row r="7787" spans="7:7" x14ac:dyDescent="0.25">
      <c r="G7787" s="21"/>
    </row>
    <row r="7788" spans="7:7" x14ac:dyDescent="0.25">
      <c r="G7788" s="21"/>
    </row>
    <row r="7789" spans="7:7" x14ac:dyDescent="0.25">
      <c r="G7789" s="21"/>
    </row>
    <row r="7790" spans="7:7" x14ac:dyDescent="0.25">
      <c r="G7790" s="21"/>
    </row>
    <row r="7791" spans="7:7" x14ac:dyDescent="0.25">
      <c r="G7791" s="21"/>
    </row>
    <row r="7792" spans="7:7" x14ac:dyDescent="0.25">
      <c r="G7792" s="21"/>
    </row>
    <row r="7793" spans="7:7" x14ac:dyDescent="0.25">
      <c r="G7793" s="21"/>
    </row>
    <row r="7794" spans="7:7" x14ac:dyDescent="0.25">
      <c r="G7794" s="21"/>
    </row>
    <row r="7795" spans="7:7" x14ac:dyDescent="0.25">
      <c r="G7795" s="21"/>
    </row>
    <row r="7796" spans="7:7" x14ac:dyDescent="0.25">
      <c r="G7796" s="21"/>
    </row>
    <row r="7797" spans="7:7" x14ac:dyDescent="0.25">
      <c r="G7797" s="21"/>
    </row>
    <row r="7798" spans="7:7" x14ac:dyDescent="0.25">
      <c r="G7798" s="21"/>
    </row>
    <row r="7799" spans="7:7" x14ac:dyDescent="0.25">
      <c r="G7799" s="21"/>
    </row>
    <row r="7800" spans="7:7" x14ac:dyDescent="0.25">
      <c r="G7800" s="21"/>
    </row>
    <row r="7801" spans="7:7" x14ac:dyDescent="0.25">
      <c r="G7801" s="21"/>
    </row>
    <row r="7802" spans="7:7" x14ac:dyDescent="0.25">
      <c r="G7802" s="21"/>
    </row>
    <row r="7803" spans="7:7" x14ac:dyDescent="0.25">
      <c r="G7803" s="21"/>
    </row>
    <row r="7804" spans="7:7" x14ac:dyDescent="0.25">
      <c r="G7804" s="21"/>
    </row>
    <row r="7805" spans="7:7" x14ac:dyDescent="0.25">
      <c r="G7805" s="21"/>
    </row>
    <row r="7806" spans="7:7" x14ac:dyDescent="0.25">
      <c r="G7806" s="21"/>
    </row>
    <row r="7807" spans="7:7" x14ac:dyDescent="0.25">
      <c r="G7807" s="21"/>
    </row>
    <row r="7808" spans="7:7" x14ac:dyDescent="0.25">
      <c r="G7808" s="21"/>
    </row>
    <row r="7809" spans="7:7" x14ac:dyDescent="0.25">
      <c r="G7809" s="21"/>
    </row>
    <row r="7810" spans="7:7" x14ac:dyDescent="0.25">
      <c r="G7810" s="21"/>
    </row>
    <row r="7811" spans="7:7" x14ac:dyDescent="0.25">
      <c r="G7811" s="21"/>
    </row>
    <row r="7812" spans="7:7" x14ac:dyDescent="0.25">
      <c r="G7812" s="21"/>
    </row>
    <row r="7813" spans="7:7" x14ac:dyDescent="0.25">
      <c r="G7813" s="21"/>
    </row>
    <row r="7814" spans="7:7" x14ac:dyDescent="0.25">
      <c r="G7814" s="21"/>
    </row>
    <row r="7815" spans="7:7" x14ac:dyDescent="0.25">
      <c r="G7815" s="21"/>
    </row>
    <row r="7816" spans="7:7" x14ac:dyDescent="0.25">
      <c r="G7816" s="21"/>
    </row>
    <row r="7817" spans="7:7" x14ac:dyDescent="0.25">
      <c r="G7817" s="21"/>
    </row>
    <row r="7818" spans="7:7" x14ac:dyDescent="0.25">
      <c r="G7818" s="21"/>
    </row>
    <row r="7819" spans="7:7" x14ac:dyDescent="0.25">
      <c r="G7819" s="21"/>
    </row>
    <row r="7820" spans="7:7" x14ac:dyDescent="0.25">
      <c r="G7820" s="21"/>
    </row>
    <row r="7821" spans="7:7" x14ac:dyDescent="0.25">
      <c r="G7821" s="21"/>
    </row>
    <row r="7822" spans="7:7" x14ac:dyDescent="0.25">
      <c r="G7822" s="21"/>
    </row>
    <row r="7823" spans="7:7" x14ac:dyDescent="0.25">
      <c r="G7823" s="21"/>
    </row>
    <row r="7824" spans="7:7" x14ac:dyDescent="0.25">
      <c r="G7824" s="21"/>
    </row>
    <row r="7825" spans="7:7" x14ac:dyDescent="0.25">
      <c r="G7825" s="21"/>
    </row>
    <row r="7826" spans="7:7" x14ac:dyDescent="0.25">
      <c r="G7826" s="21"/>
    </row>
    <row r="7827" spans="7:7" x14ac:dyDescent="0.25">
      <c r="G7827" s="21"/>
    </row>
    <row r="7828" spans="7:7" x14ac:dyDescent="0.25">
      <c r="G7828" s="21"/>
    </row>
    <row r="7829" spans="7:7" x14ac:dyDescent="0.25">
      <c r="G7829" s="21"/>
    </row>
    <row r="7830" spans="7:7" x14ac:dyDescent="0.25">
      <c r="G7830" s="21"/>
    </row>
    <row r="7831" spans="7:7" x14ac:dyDescent="0.25">
      <c r="G7831" s="21"/>
    </row>
    <row r="7832" spans="7:7" x14ac:dyDescent="0.25">
      <c r="G7832" s="21"/>
    </row>
    <row r="7833" spans="7:7" x14ac:dyDescent="0.25">
      <c r="G7833" s="21"/>
    </row>
    <row r="7834" spans="7:7" x14ac:dyDescent="0.25">
      <c r="G7834" s="21"/>
    </row>
    <row r="7835" spans="7:7" x14ac:dyDescent="0.25">
      <c r="G7835" s="21"/>
    </row>
    <row r="7836" spans="7:7" x14ac:dyDescent="0.25">
      <c r="G7836" s="21"/>
    </row>
    <row r="7837" spans="7:7" x14ac:dyDescent="0.25">
      <c r="G7837" s="21"/>
    </row>
    <row r="7838" spans="7:7" x14ac:dyDescent="0.25">
      <c r="G7838" s="21"/>
    </row>
    <row r="7839" spans="7:7" x14ac:dyDescent="0.25">
      <c r="G7839" s="21"/>
    </row>
    <row r="7840" spans="7:7" x14ac:dyDescent="0.25">
      <c r="G7840" s="21"/>
    </row>
    <row r="7841" spans="7:7" x14ac:dyDescent="0.25">
      <c r="G7841" s="21"/>
    </row>
    <row r="7842" spans="7:7" x14ac:dyDescent="0.25">
      <c r="G7842" s="21"/>
    </row>
    <row r="7843" spans="7:7" x14ac:dyDescent="0.25">
      <c r="G7843" s="21"/>
    </row>
    <row r="7844" spans="7:7" x14ac:dyDescent="0.25">
      <c r="G7844" s="21"/>
    </row>
    <row r="7845" spans="7:7" x14ac:dyDescent="0.25">
      <c r="G7845" s="21"/>
    </row>
    <row r="7846" spans="7:7" x14ac:dyDescent="0.25">
      <c r="G7846" s="21"/>
    </row>
    <row r="7847" spans="7:7" x14ac:dyDescent="0.25">
      <c r="G7847" s="21"/>
    </row>
    <row r="7848" spans="7:7" x14ac:dyDescent="0.25">
      <c r="G7848" s="21"/>
    </row>
    <row r="7849" spans="7:7" x14ac:dyDescent="0.25">
      <c r="G7849" s="21"/>
    </row>
    <row r="7850" spans="7:7" x14ac:dyDescent="0.25">
      <c r="G7850" s="21"/>
    </row>
    <row r="7851" spans="7:7" x14ac:dyDescent="0.25">
      <c r="G7851" s="21"/>
    </row>
    <row r="7852" spans="7:7" x14ac:dyDescent="0.25">
      <c r="G7852" s="21"/>
    </row>
    <row r="7853" spans="7:7" x14ac:dyDescent="0.25">
      <c r="G7853" s="21"/>
    </row>
    <row r="7854" spans="7:7" x14ac:dyDescent="0.25">
      <c r="G7854" s="21"/>
    </row>
    <row r="7855" spans="7:7" x14ac:dyDescent="0.25">
      <c r="G7855" s="21"/>
    </row>
    <row r="7856" spans="7:7" x14ac:dyDescent="0.25">
      <c r="G7856" s="21"/>
    </row>
    <row r="7857" spans="7:7" x14ac:dyDescent="0.25">
      <c r="G7857" s="21"/>
    </row>
    <row r="7858" spans="7:7" x14ac:dyDescent="0.25">
      <c r="G7858" s="21"/>
    </row>
    <row r="7859" spans="7:7" x14ac:dyDescent="0.25">
      <c r="G7859" s="21"/>
    </row>
    <row r="7860" spans="7:7" x14ac:dyDescent="0.25">
      <c r="G7860" s="21"/>
    </row>
    <row r="7861" spans="7:7" x14ac:dyDescent="0.25">
      <c r="G7861" s="21"/>
    </row>
    <row r="7862" spans="7:7" x14ac:dyDescent="0.25">
      <c r="G7862" s="21"/>
    </row>
    <row r="7863" spans="7:7" x14ac:dyDescent="0.25">
      <c r="G7863" s="21"/>
    </row>
    <row r="7864" spans="7:7" x14ac:dyDescent="0.25">
      <c r="G7864" s="21"/>
    </row>
    <row r="7865" spans="7:7" x14ac:dyDescent="0.25">
      <c r="G7865" s="21"/>
    </row>
    <row r="7866" spans="7:7" x14ac:dyDescent="0.25">
      <c r="G7866" s="21"/>
    </row>
    <row r="7867" spans="7:7" x14ac:dyDescent="0.25">
      <c r="G7867" s="21"/>
    </row>
    <row r="7868" spans="7:7" x14ac:dyDescent="0.25">
      <c r="G7868" s="21"/>
    </row>
    <row r="7869" spans="7:7" x14ac:dyDescent="0.25">
      <c r="G7869" s="21"/>
    </row>
    <row r="7870" spans="7:7" x14ac:dyDescent="0.25">
      <c r="G7870" s="21"/>
    </row>
    <row r="7871" spans="7:7" x14ac:dyDescent="0.25">
      <c r="G7871" s="21"/>
    </row>
    <row r="7872" spans="7:7" x14ac:dyDescent="0.25">
      <c r="G7872" s="21"/>
    </row>
    <row r="7873" spans="7:7" x14ac:dyDescent="0.25">
      <c r="G7873" s="21"/>
    </row>
    <row r="7874" spans="7:7" x14ac:dyDescent="0.25">
      <c r="G7874" s="21"/>
    </row>
    <row r="7875" spans="7:7" x14ac:dyDescent="0.25">
      <c r="G7875" s="21"/>
    </row>
    <row r="7876" spans="7:7" x14ac:dyDescent="0.25">
      <c r="G7876" s="21"/>
    </row>
    <row r="7877" spans="7:7" x14ac:dyDescent="0.25">
      <c r="G7877" s="21"/>
    </row>
    <row r="7878" spans="7:7" x14ac:dyDescent="0.25">
      <c r="G7878" s="21"/>
    </row>
    <row r="7879" spans="7:7" x14ac:dyDescent="0.25">
      <c r="G7879" s="21"/>
    </row>
    <row r="7880" spans="7:7" x14ac:dyDescent="0.25">
      <c r="G7880" s="21"/>
    </row>
    <row r="7881" spans="7:7" x14ac:dyDescent="0.25">
      <c r="G7881" s="21"/>
    </row>
    <row r="7882" spans="7:7" x14ac:dyDescent="0.25">
      <c r="G7882" s="21"/>
    </row>
    <row r="7883" spans="7:7" x14ac:dyDescent="0.25">
      <c r="G7883" s="21"/>
    </row>
    <row r="7884" spans="7:7" x14ac:dyDescent="0.25">
      <c r="G7884" s="21"/>
    </row>
    <row r="7885" spans="7:7" x14ac:dyDescent="0.25">
      <c r="G7885" s="21"/>
    </row>
    <row r="7886" spans="7:7" x14ac:dyDescent="0.25">
      <c r="G7886" s="21"/>
    </row>
    <row r="7887" spans="7:7" x14ac:dyDescent="0.25">
      <c r="G7887" s="21"/>
    </row>
    <row r="7888" spans="7:7" x14ac:dyDescent="0.25">
      <c r="G7888" s="21"/>
    </row>
    <row r="7889" spans="7:7" x14ac:dyDescent="0.25">
      <c r="G7889" s="21"/>
    </row>
    <row r="7890" spans="7:7" x14ac:dyDescent="0.25">
      <c r="G7890" s="21"/>
    </row>
    <row r="7891" spans="7:7" x14ac:dyDescent="0.25">
      <c r="G7891" s="21"/>
    </row>
    <row r="7892" spans="7:7" x14ac:dyDescent="0.25">
      <c r="G7892" s="21"/>
    </row>
    <row r="7893" spans="7:7" x14ac:dyDescent="0.25">
      <c r="G7893" s="21"/>
    </row>
    <row r="7894" spans="7:7" x14ac:dyDescent="0.25">
      <c r="G7894" s="21"/>
    </row>
    <row r="7895" spans="7:7" x14ac:dyDescent="0.25">
      <c r="G7895" s="21"/>
    </row>
    <row r="7896" spans="7:7" x14ac:dyDescent="0.25">
      <c r="G7896" s="21"/>
    </row>
    <row r="7897" spans="7:7" x14ac:dyDescent="0.25">
      <c r="G7897" s="21"/>
    </row>
    <row r="7898" spans="7:7" x14ac:dyDescent="0.25">
      <c r="G7898" s="21"/>
    </row>
    <row r="7899" spans="7:7" x14ac:dyDescent="0.25">
      <c r="G7899" s="21"/>
    </row>
    <row r="7900" spans="7:7" x14ac:dyDescent="0.25">
      <c r="G7900" s="21"/>
    </row>
    <row r="7901" spans="7:7" x14ac:dyDescent="0.25">
      <c r="G7901" s="21"/>
    </row>
    <row r="7902" spans="7:7" x14ac:dyDescent="0.25">
      <c r="G7902" s="21"/>
    </row>
    <row r="7903" spans="7:7" x14ac:dyDescent="0.25">
      <c r="G7903" s="21"/>
    </row>
    <row r="7904" spans="7:7" x14ac:dyDescent="0.25">
      <c r="G7904" s="21"/>
    </row>
    <row r="7905" spans="7:7" x14ac:dyDescent="0.25">
      <c r="G7905" s="21"/>
    </row>
    <row r="7906" spans="7:7" x14ac:dyDescent="0.25">
      <c r="G7906" s="21"/>
    </row>
    <row r="7907" spans="7:7" x14ac:dyDescent="0.25">
      <c r="G7907" s="21"/>
    </row>
    <row r="7908" spans="7:7" x14ac:dyDescent="0.25">
      <c r="G7908" s="21"/>
    </row>
    <row r="7909" spans="7:7" x14ac:dyDescent="0.25">
      <c r="G7909" s="21"/>
    </row>
    <row r="7910" spans="7:7" x14ac:dyDescent="0.25">
      <c r="G7910" s="21"/>
    </row>
    <row r="7911" spans="7:7" x14ac:dyDescent="0.25">
      <c r="G7911" s="21"/>
    </row>
    <row r="7912" spans="7:7" x14ac:dyDescent="0.25">
      <c r="G7912" s="21"/>
    </row>
    <row r="7913" spans="7:7" x14ac:dyDescent="0.25">
      <c r="G7913" s="21"/>
    </row>
    <row r="7914" spans="7:7" x14ac:dyDescent="0.25">
      <c r="G7914" s="21"/>
    </row>
    <row r="7915" spans="7:7" x14ac:dyDescent="0.25">
      <c r="G7915" s="21"/>
    </row>
    <row r="7916" spans="7:7" x14ac:dyDescent="0.25">
      <c r="G7916" s="21"/>
    </row>
    <row r="7917" spans="7:7" x14ac:dyDescent="0.25">
      <c r="G7917" s="21"/>
    </row>
    <row r="7918" spans="7:7" x14ac:dyDescent="0.25">
      <c r="G7918" s="21"/>
    </row>
    <row r="7919" spans="7:7" x14ac:dyDescent="0.25">
      <c r="G7919" s="21"/>
    </row>
    <row r="7920" spans="7:7" x14ac:dyDescent="0.25">
      <c r="G7920" s="21"/>
    </row>
    <row r="7921" spans="7:7" x14ac:dyDescent="0.25">
      <c r="G7921" s="21"/>
    </row>
    <row r="7922" spans="7:7" x14ac:dyDescent="0.25">
      <c r="G7922" s="21"/>
    </row>
    <row r="7923" spans="7:7" x14ac:dyDescent="0.25">
      <c r="G7923" s="21"/>
    </row>
    <row r="7924" spans="7:7" x14ac:dyDescent="0.25">
      <c r="G7924" s="21"/>
    </row>
    <row r="7925" spans="7:7" x14ac:dyDescent="0.25">
      <c r="G7925" s="21"/>
    </row>
    <row r="7926" spans="7:7" x14ac:dyDescent="0.25">
      <c r="G7926" s="21"/>
    </row>
    <row r="7927" spans="7:7" x14ac:dyDescent="0.25">
      <c r="G7927" s="21"/>
    </row>
    <row r="7928" spans="7:7" x14ac:dyDescent="0.25">
      <c r="G7928" s="21"/>
    </row>
    <row r="7929" spans="7:7" x14ac:dyDescent="0.25">
      <c r="G7929" s="21"/>
    </row>
    <row r="7930" spans="7:7" x14ac:dyDescent="0.25">
      <c r="G7930" s="21"/>
    </row>
    <row r="7931" spans="7:7" x14ac:dyDescent="0.25">
      <c r="G7931" s="21"/>
    </row>
    <row r="7932" spans="7:7" x14ac:dyDescent="0.25">
      <c r="G7932" s="21"/>
    </row>
    <row r="7933" spans="7:7" x14ac:dyDescent="0.25">
      <c r="G7933" s="21"/>
    </row>
    <row r="7934" spans="7:7" x14ac:dyDescent="0.25">
      <c r="G7934" s="21"/>
    </row>
    <row r="7935" spans="7:7" x14ac:dyDescent="0.25">
      <c r="G7935" s="21"/>
    </row>
    <row r="7936" spans="7:7" x14ac:dyDescent="0.25">
      <c r="G7936" s="21"/>
    </row>
    <row r="7937" spans="7:7" x14ac:dyDescent="0.25">
      <c r="G7937" s="21"/>
    </row>
    <row r="7938" spans="7:7" x14ac:dyDescent="0.25">
      <c r="G7938" s="21"/>
    </row>
    <row r="7939" spans="7:7" x14ac:dyDescent="0.25">
      <c r="G7939" s="21"/>
    </row>
    <row r="7940" spans="7:7" x14ac:dyDescent="0.25">
      <c r="G7940" s="21"/>
    </row>
    <row r="7941" spans="7:7" x14ac:dyDescent="0.25">
      <c r="G7941" s="21"/>
    </row>
    <row r="7942" spans="7:7" x14ac:dyDescent="0.25">
      <c r="G7942" s="21"/>
    </row>
    <row r="7943" spans="7:7" x14ac:dyDescent="0.25">
      <c r="G7943" s="21"/>
    </row>
    <row r="7944" spans="7:7" x14ac:dyDescent="0.25">
      <c r="G7944" s="21"/>
    </row>
    <row r="7945" spans="7:7" x14ac:dyDescent="0.25">
      <c r="G7945" s="21"/>
    </row>
    <row r="7946" spans="7:7" x14ac:dyDescent="0.25">
      <c r="G7946" s="21"/>
    </row>
    <row r="7947" spans="7:7" x14ac:dyDescent="0.25">
      <c r="G7947" s="21"/>
    </row>
    <row r="7948" spans="7:7" x14ac:dyDescent="0.25">
      <c r="G7948" s="21"/>
    </row>
    <row r="7949" spans="7:7" x14ac:dyDescent="0.25">
      <c r="G7949" s="21"/>
    </row>
    <row r="7950" spans="7:7" x14ac:dyDescent="0.25">
      <c r="G7950" s="21"/>
    </row>
    <row r="7951" spans="7:7" x14ac:dyDescent="0.25">
      <c r="G7951" s="21"/>
    </row>
    <row r="7952" spans="7:7" x14ac:dyDescent="0.25">
      <c r="G7952" s="21"/>
    </row>
    <row r="7953" spans="7:7" x14ac:dyDescent="0.25">
      <c r="G7953" s="21"/>
    </row>
    <row r="7954" spans="7:7" x14ac:dyDescent="0.25">
      <c r="G7954" s="21"/>
    </row>
    <row r="7955" spans="7:7" x14ac:dyDescent="0.25">
      <c r="G7955" s="21"/>
    </row>
    <row r="7956" spans="7:7" x14ac:dyDescent="0.25">
      <c r="G7956" s="21"/>
    </row>
    <row r="7957" spans="7:7" x14ac:dyDescent="0.25">
      <c r="G7957" s="21"/>
    </row>
    <row r="7958" spans="7:7" x14ac:dyDescent="0.25">
      <c r="G7958" s="21"/>
    </row>
    <row r="7959" spans="7:7" x14ac:dyDescent="0.25">
      <c r="G7959" s="21"/>
    </row>
    <row r="7960" spans="7:7" x14ac:dyDescent="0.25">
      <c r="G7960" s="21"/>
    </row>
    <row r="7961" spans="7:7" x14ac:dyDescent="0.25">
      <c r="G7961" s="21"/>
    </row>
    <row r="7962" spans="7:7" x14ac:dyDescent="0.25">
      <c r="G7962" s="21"/>
    </row>
    <row r="7963" spans="7:7" x14ac:dyDescent="0.25">
      <c r="G7963" s="21"/>
    </row>
    <row r="7964" spans="7:7" x14ac:dyDescent="0.25">
      <c r="G7964" s="21"/>
    </row>
    <row r="7965" spans="7:7" x14ac:dyDescent="0.25">
      <c r="G7965" s="21"/>
    </row>
    <row r="7966" spans="7:7" x14ac:dyDescent="0.25">
      <c r="G7966" s="21"/>
    </row>
    <row r="7967" spans="7:7" x14ac:dyDescent="0.25">
      <c r="G7967" s="21"/>
    </row>
    <row r="7968" spans="7:7" x14ac:dyDescent="0.25">
      <c r="G7968" s="21"/>
    </row>
    <row r="7969" spans="7:7" x14ac:dyDescent="0.25">
      <c r="G7969" s="21"/>
    </row>
    <row r="7970" spans="7:7" x14ac:dyDescent="0.25">
      <c r="G7970" s="21"/>
    </row>
    <row r="7971" spans="7:7" x14ac:dyDescent="0.25">
      <c r="G7971" s="21"/>
    </row>
    <row r="7972" spans="7:7" x14ac:dyDescent="0.25">
      <c r="G7972" s="21"/>
    </row>
    <row r="7973" spans="7:7" x14ac:dyDescent="0.25">
      <c r="G7973" s="21"/>
    </row>
    <row r="7974" spans="7:7" x14ac:dyDescent="0.25">
      <c r="G7974" s="21"/>
    </row>
    <row r="7975" spans="7:7" x14ac:dyDescent="0.25">
      <c r="G7975" s="21"/>
    </row>
    <row r="7976" spans="7:7" x14ac:dyDescent="0.25">
      <c r="G7976" s="21"/>
    </row>
    <row r="7977" spans="7:7" x14ac:dyDescent="0.25">
      <c r="G7977" s="21"/>
    </row>
    <row r="7978" spans="7:7" x14ac:dyDescent="0.25">
      <c r="G7978" s="21"/>
    </row>
    <row r="7979" spans="7:7" x14ac:dyDescent="0.25">
      <c r="G7979" s="21"/>
    </row>
    <row r="7980" spans="7:7" x14ac:dyDescent="0.25">
      <c r="G7980" s="21"/>
    </row>
    <row r="7981" spans="7:7" x14ac:dyDescent="0.25">
      <c r="G7981" s="21"/>
    </row>
    <row r="7982" spans="7:7" x14ac:dyDescent="0.25">
      <c r="G7982" s="21"/>
    </row>
    <row r="7983" spans="7:7" x14ac:dyDescent="0.25">
      <c r="G7983" s="21"/>
    </row>
    <row r="7984" spans="7:7" x14ac:dyDescent="0.25">
      <c r="G7984" s="21"/>
    </row>
    <row r="7985" spans="7:7" x14ac:dyDescent="0.25">
      <c r="G7985" s="21"/>
    </row>
    <row r="7986" spans="7:7" x14ac:dyDescent="0.25">
      <c r="G7986" s="21"/>
    </row>
    <row r="7987" spans="7:7" x14ac:dyDescent="0.25">
      <c r="G7987" s="21"/>
    </row>
    <row r="7988" spans="7:7" x14ac:dyDescent="0.25">
      <c r="G7988" s="21"/>
    </row>
    <row r="7989" spans="7:7" x14ac:dyDescent="0.25">
      <c r="G7989" s="21"/>
    </row>
    <row r="7990" spans="7:7" x14ac:dyDescent="0.25">
      <c r="G7990" s="21"/>
    </row>
    <row r="7991" spans="7:7" x14ac:dyDescent="0.25">
      <c r="G7991" s="21"/>
    </row>
    <row r="7992" spans="7:7" x14ac:dyDescent="0.25">
      <c r="G7992" s="21"/>
    </row>
    <row r="7993" spans="7:7" x14ac:dyDescent="0.25">
      <c r="G7993" s="21"/>
    </row>
    <row r="7994" spans="7:7" x14ac:dyDescent="0.25">
      <c r="G7994" s="21"/>
    </row>
    <row r="7995" spans="7:7" x14ac:dyDescent="0.25">
      <c r="G7995" s="21"/>
    </row>
    <row r="7996" spans="7:7" x14ac:dyDescent="0.25">
      <c r="G7996" s="21"/>
    </row>
    <row r="7997" spans="7:7" x14ac:dyDescent="0.25">
      <c r="G7997" s="21"/>
    </row>
    <row r="7998" spans="7:7" x14ac:dyDescent="0.25">
      <c r="G7998" s="21"/>
    </row>
    <row r="7999" spans="7:7" x14ac:dyDescent="0.25">
      <c r="G7999" s="21"/>
    </row>
    <row r="8000" spans="7:7" x14ac:dyDescent="0.25">
      <c r="G8000" s="21"/>
    </row>
    <row r="8001" spans="7:7" x14ac:dyDescent="0.25">
      <c r="G8001" s="21"/>
    </row>
    <row r="8002" spans="7:7" x14ac:dyDescent="0.25">
      <c r="G8002" s="21"/>
    </row>
    <row r="8003" spans="7:7" x14ac:dyDescent="0.25">
      <c r="G8003" s="21"/>
    </row>
    <row r="8004" spans="7:7" x14ac:dyDescent="0.25">
      <c r="G8004" s="21"/>
    </row>
    <row r="8005" spans="7:7" x14ac:dyDescent="0.25">
      <c r="G8005" s="21"/>
    </row>
    <row r="8006" spans="7:7" x14ac:dyDescent="0.25">
      <c r="G8006" s="21"/>
    </row>
    <row r="8007" spans="7:7" x14ac:dyDescent="0.25">
      <c r="G8007" s="21"/>
    </row>
    <row r="8008" spans="7:7" x14ac:dyDescent="0.25">
      <c r="G8008" s="21"/>
    </row>
    <row r="8009" spans="7:7" x14ac:dyDescent="0.25">
      <c r="G8009" s="21"/>
    </row>
    <row r="8010" spans="7:7" x14ac:dyDescent="0.25">
      <c r="G8010" s="21"/>
    </row>
    <row r="8011" spans="7:7" x14ac:dyDescent="0.25">
      <c r="G8011" s="21"/>
    </row>
    <row r="8012" spans="7:7" x14ac:dyDescent="0.25">
      <c r="G8012" s="21"/>
    </row>
    <row r="8013" spans="7:7" x14ac:dyDescent="0.25">
      <c r="G8013" s="21"/>
    </row>
    <row r="8014" spans="7:7" x14ac:dyDescent="0.25">
      <c r="G8014" s="21"/>
    </row>
    <row r="8015" spans="7:7" x14ac:dyDescent="0.25">
      <c r="G8015" s="21"/>
    </row>
    <row r="8016" spans="7:7" x14ac:dyDescent="0.25">
      <c r="G8016" s="21"/>
    </row>
    <row r="8017" spans="7:7" x14ac:dyDescent="0.25">
      <c r="G8017" s="21"/>
    </row>
    <row r="8018" spans="7:7" x14ac:dyDescent="0.25">
      <c r="G8018" s="21"/>
    </row>
    <row r="8019" spans="7:7" x14ac:dyDescent="0.25">
      <c r="G8019" s="21"/>
    </row>
    <row r="8020" spans="7:7" x14ac:dyDescent="0.25">
      <c r="G8020" s="21"/>
    </row>
    <row r="8021" spans="7:7" x14ac:dyDescent="0.25">
      <c r="G8021" s="21"/>
    </row>
    <row r="8022" spans="7:7" x14ac:dyDescent="0.25">
      <c r="G8022" s="21"/>
    </row>
    <row r="8023" spans="7:7" x14ac:dyDescent="0.25">
      <c r="G8023" s="21"/>
    </row>
    <row r="8024" spans="7:7" x14ac:dyDescent="0.25">
      <c r="G8024" s="21"/>
    </row>
    <row r="8025" spans="7:7" x14ac:dyDescent="0.25">
      <c r="G8025" s="21"/>
    </row>
    <row r="8026" spans="7:7" x14ac:dyDescent="0.25">
      <c r="G8026" s="21"/>
    </row>
    <row r="8027" spans="7:7" x14ac:dyDescent="0.25">
      <c r="G8027" s="21"/>
    </row>
    <row r="8028" spans="7:7" x14ac:dyDescent="0.25">
      <c r="G8028" s="21"/>
    </row>
    <row r="8029" spans="7:7" x14ac:dyDescent="0.25">
      <c r="G8029" s="21"/>
    </row>
    <row r="8030" spans="7:7" x14ac:dyDescent="0.25">
      <c r="G8030" s="21"/>
    </row>
    <row r="8031" spans="7:7" x14ac:dyDescent="0.25">
      <c r="G8031" s="21"/>
    </row>
    <row r="8032" spans="7:7" x14ac:dyDescent="0.25">
      <c r="G8032" s="21"/>
    </row>
    <row r="8033" spans="7:7" x14ac:dyDescent="0.25">
      <c r="G8033" s="21"/>
    </row>
    <row r="8034" spans="7:7" x14ac:dyDescent="0.25">
      <c r="G8034" s="21"/>
    </row>
    <row r="8035" spans="7:7" x14ac:dyDescent="0.25">
      <c r="G8035" s="21"/>
    </row>
    <row r="8036" spans="7:7" x14ac:dyDescent="0.25">
      <c r="G8036" s="21"/>
    </row>
    <row r="8037" spans="7:7" x14ac:dyDescent="0.25">
      <c r="G8037" s="21"/>
    </row>
    <row r="8038" spans="7:7" x14ac:dyDescent="0.25">
      <c r="G8038" s="21"/>
    </row>
    <row r="8039" spans="7:7" x14ac:dyDescent="0.25">
      <c r="G8039" s="21"/>
    </row>
    <row r="8040" spans="7:7" x14ac:dyDescent="0.25">
      <c r="G8040" s="21"/>
    </row>
    <row r="8041" spans="7:7" x14ac:dyDescent="0.25">
      <c r="G8041" s="21"/>
    </row>
    <row r="8042" spans="7:7" x14ac:dyDescent="0.25">
      <c r="G8042" s="21"/>
    </row>
    <row r="8043" spans="7:7" x14ac:dyDescent="0.25">
      <c r="G8043" s="21"/>
    </row>
    <row r="8044" spans="7:7" x14ac:dyDescent="0.25">
      <c r="G8044" s="21"/>
    </row>
    <row r="8045" spans="7:7" x14ac:dyDescent="0.25">
      <c r="G8045" s="21"/>
    </row>
    <row r="8046" spans="7:7" x14ac:dyDescent="0.25">
      <c r="G8046" s="21"/>
    </row>
    <row r="8047" spans="7:7" x14ac:dyDescent="0.25">
      <c r="G8047" s="21"/>
    </row>
    <row r="8048" spans="7:7" x14ac:dyDescent="0.25">
      <c r="G8048" s="21"/>
    </row>
    <row r="8049" spans="7:7" x14ac:dyDescent="0.25">
      <c r="G8049" s="21"/>
    </row>
    <row r="8050" spans="7:7" x14ac:dyDescent="0.25">
      <c r="G8050" s="21"/>
    </row>
    <row r="8051" spans="7:7" x14ac:dyDescent="0.25">
      <c r="G8051" s="21"/>
    </row>
    <row r="8052" spans="7:7" x14ac:dyDescent="0.25">
      <c r="G8052" s="21"/>
    </row>
    <row r="8053" spans="7:7" x14ac:dyDescent="0.25">
      <c r="G8053" s="21"/>
    </row>
    <row r="8054" spans="7:7" x14ac:dyDescent="0.25">
      <c r="G8054" s="21"/>
    </row>
    <row r="8055" spans="7:7" x14ac:dyDescent="0.25">
      <c r="G8055" s="21"/>
    </row>
    <row r="8056" spans="7:7" x14ac:dyDescent="0.25">
      <c r="G8056" s="21"/>
    </row>
    <row r="8057" spans="7:7" x14ac:dyDescent="0.25">
      <c r="G8057" s="21"/>
    </row>
    <row r="8058" spans="7:7" x14ac:dyDescent="0.25">
      <c r="G8058" s="21"/>
    </row>
    <row r="8059" spans="7:7" x14ac:dyDescent="0.25">
      <c r="G8059" s="21"/>
    </row>
    <row r="8060" spans="7:7" x14ac:dyDescent="0.25">
      <c r="G8060" s="21"/>
    </row>
    <row r="8061" spans="7:7" x14ac:dyDescent="0.25">
      <c r="G8061" s="21"/>
    </row>
    <row r="8062" spans="7:7" x14ac:dyDescent="0.25">
      <c r="G8062" s="21"/>
    </row>
    <row r="8063" spans="7:7" x14ac:dyDescent="0.25">
      <c r="G8063" s="21"/>
    </row>
    <row r="8064" spans="7:7" x14ac:dyDescent="0.25">
      <c r="G8064" s="21"/>
    </row>
    <row r="8065" spans="7:7" x14ac:dyDescent="0.25">
      <c r="G8065" s="21"/>
    </row>
    <row r="8066" spans="7:7" x14ac:dyDescent="0.25">
      <c r="G8066" s="21"/>
    </row>
    <row r="8067" spans="7:7" x14ac:dyDescent="0.25">
      <c r="G8067" s="21"/>
    </row>
    <row r="8068" spans="7:7" x14ac:dyDescent="0.25">
      <c r="G8068" s="21"/>
    </row>
    <row r="8069" spans="7:7" x14ac:dyDescent="0.25">
      <c r="G8069" s="21"/>
    </row>
    <row r="8070" spans="7:7" x14ac:dyDescent="0.25">
      <c r="G8070" s="21"/>
    </row>
    <row r="8071" spans="7:7" x14ac:dyDescent="0.25">
      <c r="G8071" s="21"/>
    </row>
    <row r="8072" spans="7:7" x14ac:dyDescent="0.25">
      <c r="G8072" s="21"/>
    </row>
    <row r="8073" spans="7:7" x14ac:dyDescent="0.25">
      <c r="G8073" s="21"/>
    </row>
    <row r="8074" spans="7:7" x14ac:dyDescent="0.25">
      <c r="G8074" s="21"/>
    </row>
    <row r="8075" spans="7:7" x14ac:dyDescent="0.25">
      <c r="G8075" s="21"/>
    </row>
    <row r="8076" spans="7:7" x14ac:dyDescent="0.25">
      <c r="G8076" s="21"/>
    </row>
    <row r="8077" spans="7:7" x14ac:dyDescent="0.25">
      <c r="G8077" s="21"/>
    </row>
    <row r="8078" spans="7:7" x14ac:dyDescent="0.25">
      <c r="G8078" s="21"/>
    </row>
    <row r="8079" spans="7:7" x14ac:dyDescent="0.25">
      <c r="G8079" s="21"/>
    </row>
    <row r="8080" spans="7:7" x14ac:dyDescent="0.25">
      <c r="G8080" s="21"/>
    </row>
    <row r="8081" spans="7:7" x14ac:dyDescent="0.25">
      <c r="G8081" s="21"/>
    </row>
    <row r="8082" spans="7:7" x14ac:dyDescent="0.25">
      <c r="G8082" s="21"/>
    </row>
    <row r="8083" spans="7:7" x14ac:dyDescent="0.25">
      <c r="G8083" s="21"/>
    </row>
    <row r="8084" spans="7:7" x14ac:dyDescent="0.25">
      <c r="G8084" s="21"/>
    </row>
    <row r="8085" spans="7:7" x14ac:dyDescent="0.25">
      <c r="G8085" s="21"/>
    </row>
    <row r="8086" spans="7:7" x14ac:dyDescent="0.25">
      <c r="G8086" s="21"/>
    </row>
    <row r="8087" spans="7:7" x14ac:dyDescent="0.25">
      <c r="G8087" s="21"/>
    </row>
    <row r="8088" spans="7:7" x14ac:dyDescent="0.25">
      <c r="G8088" s="21"/>
    </row>
    <row r="8089" spans="7:7" x14ac:dyDescent="0.25">
      <c r="G8089" s="21"/>
    </row>
    <row r="8090" spans="7:7" x14ac:dyDescent="0.25">
      <c r="G8090" s="21"/>
    </row>
    <row r="8091" spans="7:7" x14ac:dyDescent="0.25">
      <c r="G8091" s="21"/>
    </row>
    <row r="8092" spans="7:7" x14ac:dyDescent="0.25">
      <c r="G8092" s="21"/>
    </row>
    <row r="8093" spans="7:7" x14ac:dyDescent="0.25">
      <c r="G8093" s="21"/>
    </row>
    <row r="8094" spans="7:7" x14ac:dyDescent="0.25">
      <c r="G8094" s="21"/>
    </row>
    <row r="8095" spans="7:7" x14ac:dyDescent="0.25">
      <c r="G8095" s="21"/>
    </row>
    <row r="8096" spans="7:7" x14ac:dyDescent="0.25">
      <c r="G8096" s="21"/>
    </row>
    <row r="8097" spans="7:7" x14ac:dyDescent="0.25">
      <c r="G8097" s="21"/>
    </row>
    <row r="8098" spans="7:7" x14ac:dyDescent="0.25">
      <c r="G8098" s="21"/>
    </row>
    <row r="8099" spans="7:7" x14ac:dyDescent="0.25">
      <c r="G8099" s="21"/>
    </row>
    <row r="8100" spans="7:7" x14ac:dyDescent="0.25">
      <c r="G8100" s="21"/>
    </row>
    <row r="8101" spans="7:7" x14ac:dyDescent="0.25">
      <c r="G8101" s="21"/>
    </row>
    <row r="8102" spans="7:7" x14ac:dyDescent="0.25">
      <c r="G8102" s="21"/>
    </row>
    <row r="8103" spans="7:7" x14ac:dyDescent="0.25">
      <c r="G8103" s="21"/>
    </row>
    <row r="8104" spans="7:7" x14ac:dyDescent="0.25">
      <c r="G8104" s="21"/>
    </row>
    <row r="8105" spans="7:7" x14ac:dyDescent="0.25">
      <c r="G8105" s="21"/>
    </row>
    <row r="8106" spans="7:7" x14ac:dyDescent="0.25">
      <c r="G8106" s="21"/>
    </row>
    <row r="8107" spans="7:7" x14ac:dyDescent="0.25">
      <c r="G8107" s="21"/>
    </row>
    <row r="8108" spans="7:7" x14ac:dyDescent="0.25">
      <c r="G8108" s="21"/>
    </row>
    <row r="8109" spans="7:7" x14ac:dyDescent="0.25">
      <c r="G8109" s="21"/>
    </row>
    <row r="8110" spans="7:7" x14ac:dyDescent="0.25">
      <c r="G8110" s="21"/>
    </row>
    <row r="8111" spans="7:7" x14ac:dyDescent="0.25">
      <c r="G8111" s="21"/>
    </row>
    <row r="8112" spans="7:7" x14ac:dyDescent="0.25">
      <c r="G8112" s="21"/>
    </row>
    <row r="8113" spans="7:7" x14ac:dyDescent="0.25">
      <c r="G8113" s="21"/>
    </row>
    <row r="8114" spans="7:7" x14ac:dyDescent="0.25">
      <c r="G8114" s="21"/>
    </row>
    <row r="8115" spans="7:7" x14ac:dyDescent="0.25">
      <c r="G8115" s="21"/>
    </row>
    <row r="8116" spans="7:7" x14ac:dyDescent="0.25">
      <c r="G8116" s="21"/>
    </row>
    <row r="8117" spans="7:7" x14ac:dyDescent="0.25">
      <c r="G8117" s="21"/>
    </row>
    <row r="8118" spans="7:7" x14ac:dyDescent="0.25">
      <c r="G8118" s="21"/>
    </row>
    <row r="8119" spans="7:7" x14ac:dyDescent="0.25">
      <c r="G8119" s="21"/>
    </row>
    <row r="8120" spans="7:7" x14ac:dyDescent="0.25">
      <c r="G8120" s="21"/>
    </row>
    <row r="8121" spans="7:7" x14ac:dyDescent="0.25">
      <c r="G8121" s="21"/>
    </row>
    <row r="8122" spans="7:7" x14ac:dyDescent="0.25">
      <c r="G8122" s="21"/>
    </row>
    <row r="8123" spans="7:7" x14ac:dyDescent="0.25">
      <c r="G8123" s="21"/>
    </row>
    <row r="8124" spans="7:7" x14ac:dyDescent="0.25">
      <c r="G8124" s="21"/>
    </row>
    <row r="8125" spans="7:7" x14ac:dyDescent="0.25">
      <c r="G8125" s="21"/>
    </row>
    <row r="8126" spans="7:7" x14ac:dyDescent="0.25">
      <c r="G8126" s="21"/>
    </row>
    <row r="8127" spans="7:7" x14ac:dyDescent="0.25">
      <c r="G8127" s="21"/>
    </row>
    <row r="8128" spans="7:7" x14ac:dyDescent="0.25">
      <c r="G8128" s="21"/>
    </row>
    <row r="8129" spans="7:7" x14ac:dyDescent="0.25">
      <c r="G8129" s="21"/>
    </row>
    <row r="8130" spans="7:7" x14ac:dyDescent="0.25">
      <c r="G8130" s="21"/>
    </row>
    <row r="8131" spans="7:7" x14ac:dyDescent="0.25">
      <c r="G8131" s="21"/>
    </row>
    <row r="8132" spans="7:7" x14ac:dyDescent="0.25">
      <c r="G8132" s="21"/>
    </row>
    <row r="8133" spans="7:7" x14ac:dyDescent="0.25">
      <c r="G8133" s="21"/>
    </row>
    <row r="8134" spans="7:7" x14ac:dyDescent="0.25">
      <c r="G8134" s="21"/>
    </row>
    <row r="8135" spans="7:7" x14ac:dyDescent="0.25">
      <c r="G8135" s="21"/>
    </row>
    <row r="8136" spans="7:7" x14ac:dyDescent="0.25">
      <c r="G8136" s="21"/>
    </row>
    <row r="8137" spans="7:7" x14ac:dyDescent="0.25">
      <c r="G8137" s="21"/>
    </row>
    <row r="8138" spans="7:7" x14ac:dyDescent="0.25">
      <c r="G8138" s="21"/>
    </row>
    <row r="8139" spans="7:7" x14ac:dyDescent="0.25">
      <c r="G8139" s="21"/>
    </row>
    <row r="8140" spans="7:7" x14ac:dyDescent="0.25">
      <c r="G8140" s="21"/>
    </row>
    <row r="8141" spans="7:7" x14ac:dyDescent="0.25">
      <c r="G8141" s="21"/>
    </row>
    <row r="8142" spans="7:7" x14ac:dyDescent="0.25">
      <c r="G8142" s="21"/>
    </row>
    <row r="8143" spans="7:7" x14ac:dyDescent="0.25">
      <c r="G8143" s="21"/>
    </row>
    <row r="8144" spans="7:7" x14ac:dyDescent="0.25">
      <c r="G8144" s="21"/>
    </row>
    <row r="8145" spans="7:7" x14ac:dyDescent="0.25">
      <c r="G8145" s="21"/>
    </row>
    <row r="8146" spans="7:7" x14ac:dyDescent="0.25">
      <c r="G8146" s="21"/>
    </row>
    <row r="8147" spans="7:7" x14ac:dyDescent="0.25">
      <c r="G8147" s="21"/>
    </row>
    <row r="8148" spans="7:7" x14ac:dyDescent="0.25">
      <c r="G8148" s="21"/>
    </row>
    <row r="8149" spans="7:7" x14ac:dyDescent="0.25">
      <c r="G8149" s="21"/>
    </row>
    <row r="8150" spans="7:7" x14ac:dyDescent="0.25">
      <c r="G8150" s="21"/>
    </row>
    <row r="8151" spans="7:7" x14ac:dyDescent="0.25">
      <c r="G8151" s="21"/>
    </row>
    <row r="8152" spans="7:7" x14ac:dyDescent="0.25">
      <c r="G8152" s="21"/>
    </row>
    <row r="8153" spans="7:7" x14ac:dyDescent="0.25">
      <c r="G8153" s="21"/>
    </row>
    <row r="8154" spans="7:7" x14ac:dyDescent="0.25">
      <c r="G8154" s="21"/>
    </row>
    <row r="8155" spans="7:7" x14ac:dyDescent="0.25">
      <c r="G8155" s="21"/>
    </row>
    <row r="8156" spans="7:7" x14ac:dyDescent="0.25">
      <c r="G8156" s="21"/>
    </row>
    <row r="8157" spans="7:7" x14ac:dyDescent="0.25">
      <c r="G8157" s="21"/>
    </row>
    <row r="8158" spans="7:7" x14ac:dyDescent="0.25">
      <c r="G8158" s="21"/>
    </row>
    <row r="8159" spans="7:7" x14ac:dyDescent="0.25">
      <c r="G8159" s="21"/>
    </row>
    <row r="8160" spans="7:7" x14ac:dyDescent="0.25">
      <c r="G8160" s="21"/>
    </row>
    <row r="8161" spans="7:7" x14ac:dyDescent="0.25">
      <c r="G8161" s="21"/>
    </row>
    <row r="8162" spans="7:7" x14ac:dyDescent="0.25">
      <c r="G8162" s="21"/>
    </row>
    <row r="8163" spans="7:7" x14ac:dyDescent="0.25">
      <c r="G8163" s="21"/>
    </row>
    <row r="8164" spans="7:7" x14ac:dyDescent="0.25">
      <c r="G8164" s="21"/>
    </row>
    <row r="8165" spans="7:7" x14ac:dyDescent="0.25">
      <c r="G8165" s="21"/>
    </row>
    <row r="8166" spans="7:7" x14ac:dyDescent="0.25">
      <c r="G8166" s="21"/>
    </row>
    <row r="8167" spans="7:7" x14ac:dyDescent="0.25">
      <c r="G8167" s="21"/>
    </row>
    <row r="8168" spans="7:7" x14ac:dyDescent="0.25">
      <c r="G8168" s="21"/>
    </row>
    <row r="8169" spans="7:7" x14ac:dyDescent="0.25">
      <c r="G8169" s="21"/>
    </row>
    <row r="8170" spans="7:7" x14ac:dyDescent="0.25">
      <c r="G8170" s="21"/>
    </row>
    <row r="8171" spans="7:7" x14ac:dyDescent="0.25">
      <c r="G8171" s="21"/>
    </row>
    <row r="8172" spans="7:7" x14ac:dyDescent="0.25">
      <c r="G8172" s="21"/>
    </row>
    <row r="8173" spans="7:7" x14ac:dyDescent="0.25">
      <c r="G8173" s="21"/>
    </row>
    <row r="8174" spans="7:7" x14ac:dyDescent="0.25">
      <c r="G8174" s="21"/>
    </row>
    <row r="8175" spans="7:7" x14ac:dyDescent="0.25">
      <c r="G8175" s="21"/>
    </row>
    <row r="8176" spans="7:7" x14ac:dyDescent="0.25">
      <c r="G8176" s="21"/>
    </row>
    <row r="8177" spans="7:7" x14ac:dyDescent="0.25">
      <c r="G8177" s="21"/>
    </row>
    <row r="8178" spans="7:7" x14ac:dyDescent="0.25">
      <c r="G8178" s="21"/>
    </row>
    <row r="8179" spans="7:7" x14ac:dyDescent="0.25">
      <c r="G8179" s="21"/>
    </row>
    <row r="8180" spans="7:7" x14ac:dyDescent="0.25">
      <c r="G8180" s="21"/>
    </row>
    <row r="8181" spans="7:7" x14ac:dyDescent="0.25">
      <c r="G8181" s="21"/>
    </row>
    <row r="8182" spans="7:7" x14ac:dyDescent="0.25">
      <c r="G8182" s="21"/>
    </row>
    <row r="8183" spans="7:7" x14ac:dyDescent="0.25">
      <c r="G8183" s="21"/>
    </row>
    <row r="8184" spans="7:7" x14ac:dyDescent="0.25">
      <c r="G8184" s="21"/>
    </row>
    <row r="8185" spans="7:7" x14ac:dyDescent="0.25">
      <c r="G8185" s="21"/>
    </row>
    <row r="8186" spans="7:7" x14ac:dyDescent="0.25">
      <c r="G8186" s="21"/>
    </row>
    <row r="8187" spans="7:7" x14ac:dyDescent="0.25">
      <c r="G8187" s="21"/>
    </row>
    <row r="8188" spans="7:7" x14ac:dyDescent="0.25">
      <c r="G8188" s="21"/>
    </row>
    <row r="8189" spans="7:7" x14ac:dyDescent="0.25">
      <c r="G8189" s="21"/>
    </row>
    <row r="8190" spans="7:7" x14ac:dyDescent="0.25">
      <c r="G8190" s="21"/>
    </row>
    <row r="8191" spans="7:7" x14ac:dyDescent="0.25">
      <c r="G8191" s="21"/>
    </row>
    <row r="8192" spans="7:7" x14ac:dyDescent="0.25">
      <c r="G8192" s="21"/>
    </row>
    <row r="8193" spans="7:7" x14ac:dyDescent="0.25">
      <c r="G8193" s="21"/>
    </row>
    <row r="8194" spans="7:7" x14ac:dyDescent="0.25">
      <c r="G8194" s="21"/>
    </row>
    <row r="8195" spans="7:7" x14ac:dyDescent="0.25">
      <c r="G8195" s="21"/>
    </row>
    <row r="8196" spans="7:7" x14ac:dyDescent="0.25">
      <c r="G8196" s="21"/>
    </row>
    <row r="8197" spans="7:7" x14ac:dyDescent="0.25">
      <c r="G8197" s="21"/>
    </row>
    <row r="8198" spans="7:7" x14ac:dyDescent="0.25">
      <c r="G8198" s="21"/>
    </row>
    <row r="8199" spans="7:7" x14ac:dyDescent="0.25">
      <c r="G8199" s="21"/>
    </row>
    <row r="8200" spans="7:7" x14ac:dyDescent="0.25">
      <c r="G8200" s="21"/>
    </row>
    <row r="8201" spans="7:7" x14ac:dyDescent="0.25">
      <c r="G8201" s="21"/>
    </row>
    <row r="8202" spans="7:7" x14ac:dyDescent="0.25">
      <c r="G8202" s="21"/>
    </row>
    <row r="8203" spans="7:7" x14ac:dyDescent="0.25">
      <c r="G8203" s="21"/>
    </row>
    <row r="8204" spans="7:7" x14ac:dyDescent="0.25">
      <c r="G8204" s="21"/>
    </row>
    <row r="8205" spans="7:7" x14ac:dyDescent="0.25">
      <c r="G8205" s="21"/>
    </row>
    <row r="8206" spans="7:7" x14ac:dyDescent="0.25">
      <c r="G8206" s="21"/>
    </row>
    <row r="8207" spans="7:7" x14ac:dyDescent="0.25">
      <c r="G8207" s="21"/>
    </row>
    <row r="8208" spans="7:7" x14ac:dyDescent="0.25">
      <c r="G8208" s="21"/>
    </row>
    <row r="8209" spans="7:7" x14ac:dyDescent="0.25">
      <c r="G8209" s="21"/>
    </row>
    <row r="8210" spans="7:7" x14ac:dyDescent="0.25">
      <c r="G8210" s="21"/>
    </row>
    <row r="8211" spans="7:7" x14ac:dyDescent="0.25">
      <c r="G8211" s="21"/>
    </row>
    <row r="8212" spans="7:7" x14ac:dyDescent="0.25">
      <c r="G8212" s="21"/>
    </row>
    <row r="8213" spans="7:7" x14ac:dyDescent="0.25">
      <c r="G8213" s="21"/>
    </row>
    <row r="8214" spans="7:7" x14ac:dyDescent="0.25">
      <c r="G8214" s="21"/>
    </row>
    <row r="8215" spans="7:7" x14ac:dyDescent="0.25">
      <c r="G8215" s="21"/>
    </row>
    <row r="8216" spans="7:7" x14ac:dyDescent="0.25">
      <c r="G8216" s="21"/>
    </row>
    <row r="8217" spans="7:7" x14ac:dyDescent="0.25">
      <c r="G8217" s="21"/>
    </row>
    <row r="8218" spans="7:7" x14ac:dyDescent="0.25">
      <c r="G8218" s="21"/>
    </row>
    <row r="8219" spans="7:7" x14ac:dyDescent="0.25">
      <c r="G8219" s="21"/>
    </row>
    <row r="8220" spans="7:7" x14ac:dyDescent="0.25">
      <c r="G8220" s="21"/>
    </row>
    <row r="8221" spans="7:7" x14ac:dyDescent="0.25">
      <c r="G8221" s="21"/>
    </row>
    <row r="8222" spans="7:7" x14ac:dyDescent="0.25">
      <c r="G8222" s="21"/>
    </row>
    <row r="8223" spans="7:7" x14ac:dyDescent="0.25">
      <c r="G8223" s="21"/>
    </row>
    <row r="8224" spans="7:7" x14ac:dyDescent="0.25">
      <c r="G8224" s="21"/>
    </row>
    <row r="8225" spans="7:7" x14ac:dyDescent="0.25">
      <c r="G8225" s="21"/>
    </row>
    <row r="8226" spans="7:7" x14ac:dyDescent="0.25">
      <c r="G8226" s="21"/>
    </row>
    <row r="8227" spans="7:7" x14ac:dyDescent="0.25">
      <c r="G8227" s="21"/>
    </row>
    <row r="8228" spans="7:7" x14ac:dyDescent="0.25">
      <c r="G8228" s="21"/>
    </row>
    <row r="8229" spans="7:7" x14ac:dyDescent="0.25">
      <c r="G8229" s="21"/>
    </row>
    <row r="8230" spans="7:7" x14ac:dyDescent="0.25">
      <c r="G8230" s="21"/>
    </row>
    <row r="8231" spans="7:7" x14ac:dyDescent="0.25">
      <c r="G8231" s="21"/>
    </row>
    <row r="8232" spans="7:7" x14ac:dyDescent="0.25">
      <c r="G8232" s="21"/>
    </row>
    <row r="8233" spans="7:7" x14ac:dyDescent="0.25">
      <c r="G8233" s="21"/>
    </row>
    <row r="8234" spans="7:7" x14ac:dyDescent="0.25">
      <c r="G8234" s="21"/>
    </row>
    <row r="8235" spans="7:7" x14ac:dyDescent="0.25">
      <c r="G8235" s="21"/>
    </row>
    <row r="8236" spans="7:7" x14ac:dyDescent="0.25">
      <c r="G8236" s="21"/>
    </row>
    <row r="8237" spans="7:7" x14ac:dyDescent="0.25">
      <c r="G8237" s="21"/>
    </row>
    <row r="8238" spans="7:7" x14ac:dyDescent="0.25">
      <c r="G8238" s="21"/>
    </row>
    <row r="8239" spans="7:7" x14ac:dyDescent="0.25">
      <c r="G8239" s="21"/>
    </row>
    <row r="8240" spans="7:7" x14ac:dyDescent="0.25">
      <c r="G8240" s="21"/>
    </row>
    <row r="8241" spans="7:7" x14ac:dyDescent="0.25">
      <c r="G8241" s="21"/>
    </row>
    <row r="8242" spans="7:7" x14ac:dyDescent="0.25">
      <c r="G8242" s="21"/>
    </row>
    <row r="8243" spans="7:7" x14ac:dyDescent="0.25">
      <c r="G8243" s="21"/>
    </row>
    <row r="8244" spans="7:7" x14ac:dyDescent="0.25">
      <c r="G8244" s="21"/>
    </row>
    <row r="8245" spans="7:7" x14ac:dyDescent="0.25">
      <c r="G8245" s="21"/>
    </row>
    <row r="8246" spans="7:7" x14ac:dyDescent="0.25">
      <c r="G8246" s="21"/>
    </row>
    <row r="8247" spans="7:7" x14ac:dyDescent="0.25">
      <c r="G8247" s="21"/>
    </row>
    <row r="8248" spans="7:7" x14ac:dyDescent="0.25">
      <c r="G8248" s="21"/>
    </row>
    <row r="8249" spans="7:7" x14ac:dyDescent="0.25">
      <c r="G8249" s="21"/>
    </row>
    <row r="8250" spans="7:7" x14ac:dyDescent="0.25">
      <c r="G8250" s="21"/>
    </row>
    <row r="8251" spans="7:7" x14ac:dyDescent="0.25">
      <c r="G8251" s="21"/>
    </row>
    <row r="8252" spans="7:7" x14ac:dyDescent="0.25">
      <c r="G8252" s="21"/>
    </row>
    <row r="8253" spans="7:7" x14ac:dyDescent="0.25">
      <c r="G8253" s="21"/>
    </row>
    <row r="8254" spans="7:7" x14ac:dyDescent="0.25">
      <c r="G8254" s="21"/>
    </row>
    <row r="8255" spans="7:7" x14ac:dyDescent="0.25">
      <c r="G8255" s="21"/>
    </row>
    <row r="8256" spans="7:7" x14ac:dyDescent="0.25">
      <c r="G8256" s="21"/>
    </row>
    <row r="8257" spans="7:7" x14ac:dyDescent="0.25">
      <c r="G8257" s="21"/>
    </row>
    <row r="8258" spans="7:7" x14ac:dyDescent="0.25">
      <c r="G8258" s="21"/>
    </row>
    <row r="8259" spans="7:7" x14ac:dyDescent="0.25">
      <c r="G8259" s="21"/>
    </row>
    <row r="8260" spans="7:7" x14ac:dyDescent="0.25">
      <c r="G8260" s="21"/>
    </row>
    <row r="8261" spans="7:7" x14ac:dyDescent="0.25">
      <c r="G8261" s="21"/>
    </row>
    <row r="8262" spans="7:7" x14ac:dyDescent="0.25">
      <c r="G8262" s="21"/>
    </row>
    <row r="8263" spans="7:7" x14ac:dyDescent="0.25">
      <c r="G8263" s="21"/>
    </row>
    <row r="8264" spans="7:7" x14ac:dyDescent="0.25">
      <c r="G8264" s="21"/>
    </row>
    <row r="8265" spans="7:7" x14ac:dyDescent="0.25">
      <c r="G8265" s="21"/>
    </row>
    <row r="8266" spans="7:7" x14ac:dyDescent="0.25">
      <c r="G8266" s="21"/>
    </row>
    <row r="8267" spans="7:7" x14ac:dyDescent="0.25">
      <c r="G8267" s="21"/>
    </row>
    <row r="8268" spans="7:7" x14ac:dyDescent="0.25">
      <c r="G8268" s="21"/>
    </row>
    <row r="8269" spans="7:7" x14ac:dyDescent="0.25">
      <c r="G8269" s="21"/>
    </row>
    <row r="8270" spans="7:7" x14ac:dyDescent="0.25">
      <c r="G8270" s="21"/>
    </row>
    <row r="8271" spans="7:7" x14ac:dyDescent="0.25">
      <c r="G8271" s="21"/>
    </row>
    <row r="8272" spans="7:7" x14ac:dyDescent="0.25">
      <c r="G8272" s="21"/>
    </row>
    <row r="8273" spans="7:7" x14ac:dyDescent="0.25">
      <c r="G8273" s="21"/>
    </row>
    <row r="8274" spans="7:7" x14ac:dyDescent="0.25">
      <c r="G8274" s="21"/>
    </row>
    <row r="8275" spans="7:7" x14ac:dyDescent="0.25">
      <c r="G8275" s="21"/>
    </row>
    <row r="8276" spans="7:7" x14ac:dyDescent="0.25">
      <c r="G8276" s="21"/>
    </row>
    <row r="8277" spans="7:7" x14ac:dyDescent="0.25">
      <c r="G8277" s="21"/>
    </row>
    <row r="8278" spans="7:7" x14ac:dyDescent="0.25">
      <c r="G8278" s="21"/>
    </row>
    <row r="8279" spans="7:7" x14ac:dyDescent="0.25">
      <c r="G8279" s="21"/>
    </row>
    <row r="8280" spans="7:7" x14ac:dyDescent="0.25">
      <c r="G8280" s="21"/>
    </row>
    <row r="8281" spans="7:7" x14ac:dyDescent="0.25">
      <c r="G8281" s="21"/>
    </row>
    <row r="8282" spans="7:7" x14ac:dyDescent="0.25">
      <c r="G8282" s="21"/>
    </row>
    <row r="8283" spans="7:7" x14ac:dyDescent="0.25">
      <c r="G8283" s="21"/>
    </row>
    <row r="8284" spans="7:7" x14ac:dyDescent="0.25">
      <c r="G8284" s="21"/>
    </row>
    <row r="8285" spans="7:7" x14ac:dyDescent="0.25">
      <c r="G8285" s="21"/>
    </row>
    <row r="8286" spans="7:7" x14ac:dyDescent="0.25">
      <c r="G8286" s="21"/>
    </row>
    <row r="8287" spans="7:7" x14ac:dyDescent="0.25">
      <c r="G8287" s="21"/>
    </row>
    <row r="8288" spans="7:7" x14ac:dyDescent="0.25">
      <c r="G8288" s="21"/>
    </row>
    <row r="8289" spans="7:7" x14ac:dyDescent="0.25">
      <c r="G8289" s="21"/>
    </row>
    <row r="8290" spans="7:7" x14ac:dyDescent="0.25">
      <c r="G8290" s="21"/>
    </row>
    <row r="8291" spans="7:7" x14ac:dyDescent="0.25">
      <c r="G8291" s="21"/>
    </row>
    <row r="8292" spans="7:7" x14ac:dyDescent="0.25">
      <c r="G8292" s="21"/>
    </row>
    <row r="8293" spans="7:7" x14ac:dyDescent="0.25">
      <c r="G8293" s="21"/>
    </row>
    <row r="8294" spans="7:7" x14ac:dyDescent="0.25">
      <c r="G8294" s="21"/>
    </row>
    <row r="8295" spans="7:7" x14ac:dyDescent="0.25">
      <c r="G8295" s="21"/>
    </row>
    <row r="8296" spans="7:7" x14ac:dyDescent="0.25">
      <c r="G8296" s="21"/>
    </row>
    <row r="8297" spans="7:7" x14ac:dyDescent="0.25">
      <c r="G8297" s="21"/>
    </row>
    <row r="8298" spans="7:7" x14ac:dyDescent="0.25">
      <c r="G8298" s="21"/>
    </row>
    <row r="8299" spans="7:7" x14ac:dyDescent="0.25">
      <c r="G8299" s="21"/>
    </row>
    <row r="8300" spans="7:7" x14ac:dyDescent="0.25">
      <c r="G8300" s="21"/>
    </row>
    <row r="8301" spans="7:7" x14ac:dyDescent="0.25">
      <c r="G8301" s="21"/>
    </row>
    <row r="8302" spans="7:7" x14ac:dyDescent="0.25">
      <c r="G8302" s="21"/>
    </row>
    <row r="8303" spans="7:7" x14ac:dyDescent="0.25">
      <c r="G8303" s="21"/>
    </row>
    <row r="8304" spans="7:7" x14ac:dyDescent="0.25">
      <c r="G8304" s="21"/>
    </row>
    <row r="8305" spans="7:7" x14ac:dyDescent="0.25">
      <c r="G8305" s="21"/>
    </row>
    <row r="8306" spans="7:7" x14ac:dyDescent="0.25">
      <c r="G8306" s="21"/>
    </row>
    <row r="8307" spans="7:7" x14ac:dyDescent="0.25">
      <c r="G8307" s="21"/>
    </row>
    <row r="8308" spans="7:7" x14ac:dyDescent="0.25">
      <c r="G8308" s="21"/>
    </row>
    <row r="8309" spans="7:7" x14ac:dyDescent="0.25">
      <c r="G8309" s="21"/>
    </row>
    <row r="8310" spans="7:7" x14ac:dyDescent="0.25">
      <c r="G8310" s="21"/>
    </row>
    <row r="8311" spans="7:7" x14ac:dyDescent="0.25">
      <c r="G8311" s="21"/>
    </row>
    <row r="8312" spans="7:7" x14ac:dyDescent="0.25">
      <c r="G8312" s="21"/>
    </row>
    <row r="8313" spans="7:7" x14ac:dyDescent="0.25">
      <c r="G8313" s="21"/>
    </row>
    <row r="8314" spans="7:7" x14ac:dyDescent="0.25">
      <c r="G8314" s="21"/>
    </row>
    <row r="8315" spans="7:7" x14ac:dyDescent="0.25">
      <c r="G8315" s="21"/>
    </row>
    <row r="8316" spans="7:7" x14ac:dyDescent="0.25">
      <c r="G8316" s="21"/>
    </row>
    <row r="8317" spans="7:7" x14ac:dyDescent="0.25">
      <c r="G8317" s="21"/>
    </row>
    <row r="8318" spans="7:7" x14ac:dyDescent="0.25">
      <c r="G8318" s="21"/>
    </row>
    <row r="8319" spans="7:7" x14ac:dyDescent="0.25">
      <c r="G8319" s="21"/>
    </row>
    <row r="8320" spans="7:7" x14ac:dyDescent="0.25">
      <c r="G8320" s="21"/>
    </row>
    <row r="8321" spans="7:7" x14ac:dyDescent="0.25">
      <c r="G8321" s="21"/>
    </row>
    <row r="8322" spans="7:7" x14ac:dyDescent="0.25">
      <c r="G8322" s="21"/>
    </row>
    <row r="8323" spans="7:7" x14ac:dyDescent="0.25">
      <c r="G8323" s="21"/>
    </row>
    <row r="8324" spans="7:7" x14ac:dyDescent="0.25">
      <c r="G8324" s="21"/>
    </row>
    <row r="8325" spans="7:7" x14ac:dyDescent="0.25">
      <c r="G8325" s="21"/>
    </row>
    <row r="8326" spans="7:7" x14ac:dyDescent="0.25">
      <c r="G8326" s="21"/>
    </row>
    <row r="8327" spans="7:7" x14ac:dyDescent="0.25">
      <c r="G8327" s="21"/>
    </row>
    <row r="8328" spans="7:7" x14ac:dyDescent="0.25">
      <c r="G8328" s="21"/>
    </row>
    <row r="8329" spans="7:7" x14ac:dyDescent="0.25">
      <c r="G8329" s="21"/>
    </row>
    <row r="8330" spans="7:7" x14ac:dyDescent="0.25">
      <c r="G8330" s="21"/>
    </row>
    <row r="8331" spans="7:7" x14ac:dyDescent="0.25">
      <c r="G8331" s="21"/>
    </row>
    <row r="8332" spans="7:7" x14ac:dyDescent="0.25">
      <c r="G8332" s="21"/>
    </row>
    <row r="8333" spans="7:7" x14ac:dyDescent="0.25">
      <c r="G8333" s="21"/>
    </row>
    <row r="8334" spans="7:7" x14ac:dyDescent="0.25">
      <c r="G8334" s="21"/>
    </row>
    <row r="8335" spans="7:7" x14ac:dyDescent="0.25">
      <c r="G8335" s="21"/>
    </row>
    <row r="8336" spans="7:7" x14ac:dyDescent="0.25">
      <c r="G8336" s="21"/>
    </row>
    <row r="8337" spans="7:7" x14ac:dyDescent="0.25">
      <c r="G8337" s="21"/>
    </row>
    <row r="8338" spans="7:7" x14ac:dyDescent="0.25">
      <c r="G8338" s="21"/>
    </row>
    <row r="8339" spans="7:7" x14ac:dyDescent="0.25">
      <c r="G8339" s="21"/>
    </row>
    <row r="8340" spans="7:7" x14ac:dyDescent="0.25">
      <c r="G8340" s="21"/>
    </row>
    <row r="8341" spans="7:7" x14ac:dyDescent="0.25">
      <c r="G8341" s="21"/>
    </row>
    <row r="8342" spans="7:7" x14ac:dyDescent="0.25">
      <c r="G8342" s="21"/>
    </row>
    <row r="8343" spans="7:7" x14ac:dyDescent="0.25">
      <c r="G8343" s="21"/>
    </row>
    <row r="8344" spans="7:7" x14ac:dyDescent="0.25">
      <c r="G8344" s="21"/>
    </row>
    <row r="8345" spans="7:7" x14ac:dyDescent="0.25">
      <c r="G8345" s="21"/>
    </row>
    <row r="8346" spans="7:7" x14ac:dyDescent="0.25">
      <c r="G8346" s="21"/>
    </row>
    <row r="8347" spans="7:7" x14ac:dyDescent="0.25">
      <c r="G8347" s="21"/>
    </row>
    <row r="8348" spans="7:7" x14ac:dyDescent="0.25">
      <c r="G8348" s="21"/>
    </row>
    <row r="8349" spans="7:7" x14ac:dyDescent="0.25">
      <c r="G8349" s="21"/>
    </row>
    <row r="8350" spans="7:7" x14ac:dyDescent="0.25">
      <c r="G8350" s="21"/>
    </row>
    <row r="8351" spans="7:7" x14ac:dyDescent="0.25">
      <c r="G8351" s="21"/>
    </row>
    <row r="8352" spans="7:7" x14ac:dyDescent="0.25">
      <c r="G8352" s="21"/>
    </row>
    <row r="8353" spans="7:7" x14ac:dyDescent="0.25">
      <c r="G8353" s="21"/>
    </row>
    <row r="8354" spans="7:7" x14ac:dyDescent="0.25">
      <c r="G8354" s="21"/>
    </row>
    <row r="8355" spans="7:7" x14ac:dyDescent="0.25">
      <c r="G8355" s="21"/>
    </row>
    <row r="8356" spans="7:7" x14ac:dyDescent="0.25">
      <c r="G8356" s="21"/>
    </row>
    <row r="8357" spans="7:7" x14ac:dyDescent="0.25">
      <c r="G8357" s="21"/>
    </row>
    <row r="8358" spans="7:7" x14ac:dyDescent="0.25">
      <c r="G8358" s="21"/>
    </row>
    <row r="8359" spans="7:7" x14ac:dyDescent="0.25">
      <c r="G8359" s="21"/>
    </row>
    <row r="8360" spans="7:7" x14ac:dyDescent="0.25">
      <c r="G8360" s="21"/>
    </row>
    <row r="8361" spans="7:7" x14ac:dyDescent="0.25">
      <c r="G8361" s="21"/>
    </row>
    <row r="8362" spans="7:7" x14ac:dyDescent="0.25">
      <c r="G8362" s="21"/>
    </row>
    <row r="8363" spans="7:7" x14ac:dyDescent="0.25">
      <c r="G8363" s="21"/>
    </row>
    <row r="8364" spans="7:7" x14ac:dyDescent="0.25">
      <c r="G8364" s="21"/>
    </row>
    <row r="8365" spans="7:7" x14ac:dyDescent="0.25">
      <c r="G8365" s="21"/>
    </row>
    <row r="8366" spans="7:7" x14ac:dyDescent="0.25">
      <c r="G8366" s="21"/>
    </row>
    <row r="8367" spans="7:7" x14ac:dyDescent="0.25">
      <c r="G8367" s="21"/>
    </row>
    <row r="8368" spans="7:7" x14ac:dyDescent="0.25">
      <c r="G8368" s="21"/>
    </row>
    <row r="8369" spans="7:7" x14ac:dyDescent="0.25">
      <c r="G8369" s="21"/>
    </row>
    <row r="8370" spans="7:7" x14ac:dyDescent="0.25">
      <c r="G8370" s="21"/>
    </row>
    <row r="8371" spans="7:7" x14ac:dyDescent="0.25">
      <c r="G8371" s="21"/>
    </row>
    <row r="8372" spans="7:7" x14ac:dyDescent="0.25">
      <c r="G8372" s="21"/>
    </row>
    <row r="8373" spans="7:7" x14ac:dyDescent="0.25">
      <c r="G8373" s="21"/>
    </row>
    <row r="8374" spans="7:7" x14ac:dyDescent="0.25">
      <c r="G8374" s="21"/>
    </row>
    <row r="8375" spans="7:7" x14ac:dyDescent="0.25">
      <c r="G8375" s="21"/>
    </row>
    <row r="8376" spans="7:7" x14ac:dyDescent="0.25">
      <c r="G8376" s="21"/>
    </row>
    <row r="8377" spans="7:7" x14ac:dyDescent="0.25">
      <c r="G8377" s="21"/>
    </row>
    <row r="8378" spans="7:7" x14ac:dyDescent="0.25">
      <c r="G8378" s="21"/>
    </row>
    <row r="8379" spans="7:7" x14ac:dyDescent="0.25">
      <c r="G8379" s="21"/>
    </row>
    <row r="8380" spans="7:7" x14ac:dyDescent="0.25">
      <c r="G8380" s="21"/>
    </row>
    <row r="8381" spans="7:7" x14ac:dyDescent="0.25">
      <c r="G8381" s="21"/>
    </row>
    <row r="8382" spans="7:7" x14ac:dyDescent="0.25">
      <c r="G8382" s="21"/>
    </row>
    <row r="8383" spans="7:7" x14ac:dyDescent="0.25">
      <c r="G8383" s="21"/>
    </row>
    <row r="8384" spans="7:7" x14ac:dyDescent="0.25">
      <c r="G8384" s="21"/>
    </row>
    <row r="8385" spans="7:7" x14ac:dyDescent="0.25">
      <c r="G8385" s="21"/>
    </row>
    <row r="8386" spans="7:7" x14ac:dyDescent="0.25">
      <c r="G8386" s="21"/>
    </row>
    <row r="8387" spans="7:7" x14ac:dyDescent="0.25">
      <c r="G8387" s="21"/>
    </row>
    <row r="8388" spans="7:7" x14ac:dyDescent="0.25">
      <c r="G8388" s="21"/>
    </row>
    <row r="8389" spans="7:7" x14ac:dyDescent="0.25">
      <c r="G8389" s="21"/>
    </row>
    <row r="8390" spans="7:7" x14ac:dyDescent="0.25">
      <c r="G8390" s="21"/>
    </row>
    <row r="8391" spans="7:7" x14ac:dyDescent="0.25">
      <c r="G8391" s="21"/>
    </row>
    <row r="8392" spans="7:7" x14ac:dyDescent="0.25">
      <c r="G8392" s="21"/>
    </row>
    <row r="8393" spans="7:7" x14ac:dyDescent="0.25">
      <c r="G8393" s="21"/>
    </row>
    <row r="8394" spans="7:7" x14ac:dyDescent="0.25">
      <c r="G8394" s="21"/>
    </row>
    <row r="8395" spans="7:7" x14ac:dyDescent="0.25">
      <c r="G8395" s="21"/>
    </row>
    <row r="8396" spans="7:7" x14ac:dyDescent="0.25">
      <c r="G8396" s="21"/>
    </row>
    <row r="8397" spans="7:7" x14ac:dyDescent="0.25">
      <c r="G8397" s="21"/>
    </row>
    <row r="8398" spans="7:7" x14ac:dyDescent="0.25">
      <c r="G8398" s="21"/>
    </row>
    <row r="8399" spans="7:7" x14ac:dyDescent="0.25">
      <c r="G8399" s="21"/>
    </row>
    <row r="8400" spans="7:7" x14ac:dyDescent="0.25">
      <c r="G8400" s="21"/>
    </row>
    <row r="8401" spans="7:7" x14ac:dyDescent="0.25">
      <c r="G8401" s="21"/>
    </row>
    <row r="8402" spans="7:7" x14ac:dyDescent="0.25">
      <c r="G8402" s="21"/>
    </row>
    <row r="8403" spans="7:7" x14ac:dyDescent="0.25">
      <c r="G8403" s="21"/>
    </row>
    <row r="8404" spans="7:7" x14ac:dyDescent="0.25">
      <c r="G8404" s="21"/>
    </row>
    <row r="8405" spans="7:7" x14ac:dyDescent="0.25">
      <c r="G8405" s="21"/>
    </row>
    <row r="8406" spans="7:7" x14ac:dyDescent="0.25">
      <c r="G8406" s="21"/>
    </row>
    <row r="8407" spans="7:7" x14ac:dyDescent="0.25">
      <c r="G8407" s="21"/>
    </row>
    <row r="8408" spans="7:7" x14ac:dyDescent="0.25">
      <c r="G8408" s="21"/>
    </row>
    <row r="8409" spans="7:7" x14ac:dyDescent="0.25">
      <c r="G8409" s="21"/>
    </row>
    <row r="8410" spans="7:7" x14ac:dyDescent="0.25">
      <c r="G8410" s="21"/>
    </row>
    <row r="8411" spans="7:7" x14ac:dyDescent="0.25">
      <c r="G8411" s="21"/>
    </row>
    <row r="8412" spans="7:7" x14ac:dyDescent="0.25">
      <c r="G8412" s="21"/>
    </row>
    <row r="8413" spans="7:7" x14ac:dyDescent="0.25">
      <c r="G8413" s="21"/>
    </row>
    <row r="8414" spans="7:7" x14ac:dyDescent="0.25">
      <c r="G8414" s="21"/>
    </row>
    <row r="8415" spans="7:7" x14ac:dyDescent="0.25">
      <c r="G8415" s="21"/>
    </row>
    <row r="8416" spans="7:7" x14ac:dyDescent="0.25">
      <c r="G8416" s="21"/>
    </row>
    <row r="8417" spans="7:7" x14ac:dyDescent="0.25">
      <c r="G8417" s="21"/>
    </row>
    <row r="8418" spans="7:7" x14ac:dyDescent="0.25">
      <c r="G8418" s="21"/>
    </row>
    <row r="8419" spans="7:7" x14ac:dyDescent="0.25">
      <c r="G8419" s="21"/>
    </row>
    <row r="8420" spans="7:7" x14ac:dyDescent="0.25">
      <c r="G8420" s="21"/>
    </row>
    <row r="8421" spans="7:7" x14ac:dyDescent="0.25">
      <c r="G8421" s="21"/>
    </row>
    <row r="8422" spans="7:7" x14ac:dyDescent="0.25">
      <c r="G8422" s="21"/>
    </row>
    <row r="8423" spans="7:7" x14ac:dyDescent="0.25">
      <c r="G8423" s="21"/>
    </row>
    <row r="8424" spans="7:7" x14ac:dyDescent="0.25">
      <c r="G8424" s="21"/>
    </row>
    <row r="8425" spans="7:7" x14ac:dyDescent="0.25">
      <c r="G8425" s="21"/>
    </row>
    <row r="8426" spans="7:7" x14ac:dyDescent="0.25">
      <c r="G8426" s="21"/>
    </row>
    <row r="8427" spans="7:7" x14ac:dyDescent="0.25">
      <c r="G8427" s="21"/>
    </row>
    <row r="8428" spans="7:7" x14ac:dyDescent="0.25">
      <c r="G8428" s="21"/>
    </row>
    <row r="8429" spans="7:7" x14ac:dyDescent="0.25">
      <c r="G8429" s="21"/>
    </row>
    <row r="8430" spans="7:7" x14ac:dyDescent="0.25">
      <c r="G8430" s="21"/>
    </row>
    <row r="8431" spans="7:7" x14ac:dyDescent="0.25">
      <c r="G8431" s="21"/>
    </row>
    <row r="8432" spans="7:7" x14ac:dyDescent="0.25">
      <c r="G8432" s="21"/>
    </row>
    <row r="8433" spans="7:7" x14ac:dyDescent="0.25">
      <c r="G8433" s="21"/>
    </row>
    <row r="8434" spans="7:7" x14ac:dyDescent="0.25">
      <c r="G8434" s="21"/>
    </row>
    <row r="8435" spans="7:7" x14ac:dyDescent="0.25">
      <c r="G8435" s="21"/>
    </row>
    <row r="8436" spans="7:7" x14ac:dyDescent="0.25">
      <c r="G8436" s="21"/>
    </row>
    <row r="8437" spans="7:7" x14ac:dyDescent="0.25">
      <c r="G8437" s="21"/>
    </row>
    <row r="8438" spans="7:7" x14ac:dyDescent="0.25">
      <c r="G8438" s="21"/>
    </row>
    <row r="8439" spans="7:7" x14ac:dyDescent="0.25">
      <c r="G8439" s="21"/>
    </row>
    <row r="8440" spans="7:7" x14ac:dyDescent="0.25">
      <c r="G8440" s="21"/>
    </row>
    <row r="8441" spans="7:7" x14ac:dyDescent="0.25">
      <c r="G8441" s="21"/>
    </row>
    <row r="8442" spans="7:7" x14ac:dyDescent="0.25">
      <c r="G8442" s="21"/>
    </row>
    <row r="8443" spans="7:7" x14ac:dyDescent="0.25">
      <c r="G8443" s="21"/>
    </row>
    <row r="8444" spans="7:7" x14ac:dyDescent="0.25">
      <c r="G8444" s="21"/>
    </row>
    <row r="8445" spans="7:7" x14ac:dyDescent="0.25">
      <c r="G8445" s="21"/>
    </row>
    <row r="8446" spans="7:7" x14ac:dyDescent="0.25">
      <c r="G8446" s="21"/>
    </row>
    <row r="8447" spans="7:7" x14ac:dyDescent="0.25">
      <c r="G8447" s="21"/>
    </row>
    <row r="8448" spans="7:7" x14ac:dyDescent="0.25">
      <c r="G8448" s="21"/>
    </row>
    <row r="8449" spans="7:7" x14ac:dyDescent="0.25">
      <c r="G8449" s="21"/>
    </row>
    <row r="8450" spans="7:7" x14ac:dyDescent="0.25">
      <c r="G8450" s="21"/>
    </row>
    <row r="8451" spans="7:7" x14ac:dyDescent="0.25">
      <c r="G8451" s="21"/>
    </row>
    <row r="8452" spans="7:7" x14ac:dyDescent="0.25">
      <c r="G8452" s="21"/>
    </row>
    <row r="8453" spans="7:7" x14ac:dyDescent="0.25">
      <c r="G8453" s="21"/>
    </row>
    <row r="8454" spans="7:7" x14ac:dyDescent="0.25">
      <c r="G8454" s="21"/>
    </row>
    <row r="8455" spans="7:7" x14ac:dyDescent="0.25">
      <c r="G8455" s="21"/>
    </row>
    <row r="8456" spans="7:7" x14ac:dyDescent="0.25">
      <c r="G8456" s="21"/>
    </row>
    <row r="8457" spans="7:7" x14ac:dyDescent="0.25">
      <c r="G8457" s="21"/>
    </row>
    <row r="8458" spans="7:7" x14ac:dyDescent="0.25">
      <c r="G8458" s="21"/>
    </row>
    <row r="8459" spans="7:7" x14ac:dyDescent="0.25">
      <c r="G8459" s="21"/>
    </row>
    <row r="8460" spans="7:7" x14ac:dyDescent="0.25">
      <c r="G8460" s="21"/>
    </row>
    <row r="8461" spans="7:7" x14ac:dyDescent="0.25">
      <c r="G8461" s="21"/>
    </row>
    <row r="8462" spans="7:7" x14ac:dyDescent="0.25">
      <c r="G8462" s="21"/>
    </row>
    <row r="8463" spans="7:7" x14ac:dyDescent="0.25">
      <c r="G8463" s="21"/>
    </row>
    <row r="8464" spans="7:7" x14ac:dyDescent="0.25">
      <c r="G8464" s="21"/>
    </row>
    <row r="8465" spans="7:7" x14ac:dyDescent="0.25">
      <c r="G8465" s="21"/>
    </row>
    <row r="8466" spans="7:7" x14ac:dyDescent="0.25">
      <c r="G8466" s="21"/>
    </row>
    <row r="8467" spans="7:7" x14ac:dyDescent="0.25">
      <c r="G8467" s="21"/>
    </row>
    <row r="8468" spans="7:7" x14ac:dyDescent="0.25">
      <c r="G8468" s="21"/>
    </row>
    <row r="8469" spans="7:7" x14ac:dyDescent="0.25">
      <c r="G8469" s="21"/>
    </row>
    <row r="8470" spans="7:7" x14ac:dyDescent="0.25">
      <c r="G8470" s="21"/>
    </row>
    <row r="8471" spans="7:7" x14ac:dyDescent="0.25">
      <c r="G8471" s="21"/>
    </row>
    <row r="8472" spans="7:7" x14ac:dyDescent="0.25">
      <c r="G8472" s="21"/>
    </row>
    <row r="8473" spans="7:7" x14ac:dyDescent="0.25">
      <c r="G8473" s="21"/>
    </row>
    <row r="8474" spans="7:7" x14ac:dyDescent="0.25">
      <c r="G8474" s="21"/>
    </row>
    <row r="8475" spans="7:7" x14ac:dyDescent="0.25">
      <c r="G8475" s="21"/>
    </row>
    <row r="8476" spans="7:7" x14ac:dyDescent="0.25">
      <c r="G8476" s="21"/>
    </row>
    <row r="8477" spans="7:7" x14ac:dyDescent="0.25">
      <c r="G8477" s="21"/>
    </row>
    <row r="8478" spans="7:7" x14ac:dyDescent="0.25">
      <c r="G8478" s="21"/>
    </row>
    <row r="8479" spans="7:7" x14ac:dyDescent="0.25">
      <c r="G8479" s="21"/>
    </row>
    <row r="8480" spans="7:7" x14ac:dyDescent="0.25">
      <c r="G8480" s="21"/>
    </row>
    <row r="8481" spans="7:7" x14ac:dyDescent="0.25">
      <c r="G8481" s="21"/>
    </row>
    <row r="8482" spans="7:7" x14ac:dyDescent="0.25">
      <c r="G8482" s="21"/>
    </row>
    <row r="8483" spans="7:7" x14ac:dyDescent="0.25">
      <c r="G8483" s="21"/>
    </row>
    <row r="8484" spans="7:7" x14ac:dyDescent="0.25">
      <c r="G8484" s="21"/>
    </row>
    <row r="8485" spans="7:7" x14ac:dyDescent="0.25">
      <c r="G8485" s="21"/>
    </row>
    <row r="8486" spans="7:7" x14ac:dyDescent="0.25">
      <c r="G8486" s="21"/>
    </row>
    <row r="8487" spans="7:7" x14ac:dyDescent="0.25">
      <c r="G8487" s="21"/>
    </row>
    <row r="8488" spans="7:7" x14ac:dyDescent="0.25">
      <c r="G8488" s="21"/>
    </row>
    <row r="8489" spans="7:7" x14ac:dyDescent="0.25">
      <c r="G8489" s="21"/>
    </row>
    <row r="8490" spans="7:7" x14ac:dyDescent="0.25">
      <c r="G8490" s="21"/>
    </row>
    <row r="8491" spans="7:7" x14ac:dyDescent="0.25">
      <c r="G8491" s="21"/>
    </row>
    <row r="8492" spans="7:7" x14ac:dyDescent="0.25">
      <c r="G8492" s="21"/>
    </row>
    <row r="8493" spans="7:7" x14ac:dyDescent="0.25">
      <c r="G8493" s="21"/>
    </row>
    <row r="8494" spans="7:7" x14ac:dyDescent="0.25">
      <c r="G8494" s="21"/>
    </row>
    <row r="8495" spans="7:7" x14ac:dyDescent="0.25">
      <c r="G8495" s="21"/>
    </row>
    <row r="8496" spans="7:7" x14ac:dyDescent="0.25">
      <c r="G8496" s="21"/>
    </row>
    <row r="8497" spans="7:7" x14ac:dyDescent="0.25">
      <c r="G8497" s="21"/>
    </row>
    <row r="8498" spans="7:7" x14ac:dyDescent="0.25">
      <c r="G8498" s="21"/>
    </row>
    <row r="8499" spans="7:7" x14ac:dyDescent="0.25">
      <c r="G8499" s="21"/>
    </row>
    <row r="8500" spans="7:7" x14ac:dyDescent="0.25">
      <c r="G8500" s="21"/>
    </row>
    <row r="8501" spans="7:7" x14ac:dyDescent="0.25">
      <c r="G8501" s="21"/>
    </row>
    <row r="8502" spans="7:7" x14ac:dyDescent="0.25">
      <c r="G8502" s="21"/>
    </row>
    <row r="8503" spans="7:7" x14ac:dyDescent="0.25">
      <c r="G8503" s="21"/>
    </row>
    <row r="8504" spans="7:7" x14ac:dyDescent="0.25">
      <c r="G8504" s="21"/>
    </row>
    <row r="8505" spans="7:7" x14ac:dyDescent="0.25">
      <c r="G8505" s="21"/>
    </row>
    <row r="8506" spans="7:7" x14ac:dyDescent="0.25">
      <c r="G8506" s="21"/>
    </row>
    <row r="8507" spans="7:7" x14ac:dyDescent="0.25">
      <c r="G8507" s="21"/>
    </row>
    <row r="8508" spans="7:7" x14ac:dyDescent="0.25">
      <c r="G8508" s="21"/>
    </row>
    <row r="8509" spans="7:7" x14ac:dyDescent="0.25">
      <c r="G8509" s="21"/>
    </row>
    <row r="8510" spans="7:7" x14ac:dyDescent="0.25">
      <c r="G8510" s="21"/>
    </row>
    <row r="8511" spans="7:7" x14ac:dyDescent="0.25">
      <c r="G8511" s="21"/>
    </row>
    <row r="8512" spans="7:7" x14ac:dyDescent="0.25">
      <c r="G8512" s="21"/>
    </row>
    <row r="8513" spans="7:7" x14ac:dyDescent="0.25">
      <c r="G8513" s="21"/>
    </row>
    <row r="8514" spans="7:7" x14ac:dyDescent="0.25">
      <c r="G8514" s="21"/>
    </row>
    <row r="8515" spans="7:7" x14ac:dyDescent="0.25">
      <c r="G8515" s="21"/>
    </row>
    <row r="8516" spans="7:7" x14ac:dyDescent="0.25">
      <c r="G8516" s="21"/>
    </row>
    <row r="8517" spans="7:7" x14ac:dyDescent="0.25">
      <c r="G8517" s="21"/>
    </row>
    <row r="8518" spans="7:7" x14ac:dyDescent="0.25">
      <c r="G8518" s="21"/>
    </row>
    <row r="8519" spans="7:7" x14ac:dyDescent="0.25">
      <c r="G8519" s="21"/>
    </row>
    <row r="8520" spans="7:7" x14ac:dyDescent="0.25">
      <c r="G8520" s="21"/>
    </row>
    <row r="8521" spans="7:7" x14ac:dyDescent="0.25">
      <c r="G8521" s="21"/>
    </row>
    <row r="8522" spans="7:7" x14ac:dyDescent="0.25">
      <c r="G8522" s="21"/>
    </row>
    <row r="8523" spans="7:7" x14ac:dyDescent="0.25">
      <c r="G8523" s="21"/>
    </row>
    <row r="8524" spans="7:7" x14ac:dyDescent="0.25">
      <c r="G8524" s="21"/>
    </row>
    <row r="8525" spans="7:7" x14ac:dyDescent="0.25">
      <c r="G8525" s="21"/>
    </row>
    <row r="8526" spans="7:7" x14ac:dyDescent="0.25">
      <c r="G8526" s="21"/>
    </row>
    <row r="8527" spans="7:7" x14ac:dyDescent="0.25">
      <c r="G8527" s="21"/>
    </row>
    <row r="8528" spans="7:7" x14ac:dyDescent="0.25">
      <c r="G8528" s="21"/>
    </row>
    <row r="8529" spans="7:7" x14ac:dyDescent="0.25">
      <c r="G8529" s="21"/>
    </row>
    <row r="8530" spans="7:7" x14ac:dyDescent="0.25">
      <c r="G8530" s="21"/>
    </row>
    <row r="8531" spans="7:7" x14ac:dyDescent="0.25">
      <c r="G8531" s="21"/>
    </row>
    <row r="8532" spans="7:7" x14ac:dyDescent="0.25">
      <c r="G8532" s="21"/>
    </row>
    <row r="8533" spans="7:7" x14ac:dyDescent="0.25">
      <c r="G8533" s="21"/>
    </row>
    <row r="8534" spans="7:7" x14ac:dyDescent="0.25">
      <c r="G8534" s="21"/>
    </row>
    <row r="8535" spans="7:7" x14ac:dyDescent="0.25">
      <c r="G8535" s="21"/>
    </row>
    <row r="8536" spans="7:7" x14ac:dyDescent="0.25">
      <c r="G8536" s="21"/>
    </row>
    <row r="8537" spans="7:7" x14ac:dyDescent="0.25">
      <c r="G8537" s="21"/>
    </row>
    <row r="8538" spans="7:7" x14ac:dyDescent="0.25">
      <c r="G8538" s="21"/>
    </row>
    <row r="8539" spans="7:7" x14ac:dyDescent="0.25">
      <c r="G8539" s="21"/>
    </row>
    <row r="8540" spans="7:7" x14ac:dyDescent="0.25">
      <c r="G8540" s="21"/>
    </row>
    <row r="8541" spans="7:7" x14ac:dyDescent="0.25">
      <c r="G8541" s="21"/>
    </row>
    <row r="8542" spans="7:7" x14ac:dyDescent="0.25">
      <c r="G8542" s="21"/>
    </row>
    <row r="8543" spans="7:7" x14ac:dyDescent="0.25">
      <c r="G8543" s="21"/>
    </row>
    <row r="8544" spans="7:7" x14ac:dyDescent="0.25">
      <c r="G8544" s="21"/>
    </row>
    <row r="8545" spans="7:7" x14ac:dyDescent="0.25">
      <c r="G8545" s="21"/>
    </row>
    <row r="8546" spans="7:7" x14ac:dyDescent="0.25">
      <c r="G8546" s="21"/>
    </row>
    <row r="8547" spans="7:7" x14ac:dyDescent="0.25">
      <c r="G8547" s="21"/>
    </row>
    <row r="8548" spans="7:7" x14ac:dyDescent="0.25">
      <c r="G8548" s="21"/>
    </row>
    <row r="8549" spans="7:7" x14ac:dyDescent="0.25">
      <c r="G8549" s="21"/>
    </row>
    <row r="8550" spans="7:7" x14ac:dyDescent="0.25">
      <c r="G8550" s="21"/>
    </row>
    <row r="8551" spans="7:7" x14ac:dyDescent="0.25">
      <c r="G8551" s="21"/>
    </row>
    <row r="8552" spans="7:7" x14ac:dyDescent="0.25">
      <c r="G8552" s="21"/>
    </row>
    <row r="8553" spans="7:7" x14ac:dyDescent="0.25">
      <c r="G8553" s="21"/>
    </row>
    <row r="8554" spans="7:7" x14ac:dyDescent="0.25">
      <c r="G8554" s="21"/>
    </row>
    <row r="8555" spans="7:7" x14ac:dyDescent="0.25">
      <c r="G8555" s="21"/>
    </row>
    <row r="8556" spans="7:7" x14ac:dyDescent="0.25">
      <c r="G8556" s="21"/>
    </row>
    <row r="8557" spans="7:7" x14ac:dyDescent="0.25">
      <c r="G8557" s="21"/>
    </row>
    <row r="8558" spans="7:7" x14ac:dyDescent="0.25">
      <c r="G8558" s="21"/>
    </row>
    <row r="8559" spans="7:7" x14ac:dyDescent="0.25">
      <c r="G8559" s="21"/>
    </row>
    <row r="8560" spans="7:7" x14ac:dyDescent="0.25">
      <c r="G8560" s="21"/>
    </row>
    <row r="8561" spans="7:7" x14ac:dyDescent="0.25">
      <c r="G8561" s="21"/>
    </row>
    <row r="8562" spans="7:7" x14ac:dyDescent="0.25">
      <c r="G8562" s="21"/>
    </row>
    <row r="8563" spans="7:7" x14ac:dyDescent="0.25">
      <c r="G8563" s="21"/>
    </row>
    <row r="8564" spans="7:7" x14ac:dyDescent="0.25">
      <c r="G8564" s="21"/>
    </row>
    <row r="8565" spans="7:7" x14ac:dyDescent="0.25">
      <c r="G8565" s="21"/>
    </row>
    <row r="8566" spans="7:7" x14ac:dyDescent="0.25">
      <c r="G8566" s="21"/>
    </row>
    <row r="8567" spans="7:7" x14ac:dyDescent="0.25">
      <c r="G8567" s="21"/>
    </row>
    <row r="8568" spans="7:7" x14ac:dyDescent="0.25">
      <c r="G8568" s="21"/>
    </row>
    <row r="8569" spans="7:7" x14ac:dyDescent="0.25">
      <c r="G8569" s="21"/>
    </row>
    <row r="8570" spans="7:7" x14ac:dyDescent="0.25">
      <c r="G8570" s="21"/>
    </row>
    <row r="8571" spans="7:7" x14ac:dyDescent="0.25">
      <c r="G8571" s="21"/>
    </row>
    <row r="8572" spans="7:7" x14ac:dyDescent="0.25">
      <c r="G8572" s="21"/>
    </row>
    <row r="8573" spans="7:7" x14ac:dyDescent="0.25">
      <c r="G8573" s="21"/>
    </row>
    <row r="8574" spans="7:7" x14ac:dyDescent="0.25">
      <c r="G8574" s="21"/>
    </row>
    <row r="8575" spans="7:7" x14ac:dyDescent="0.25">
      <c r="G8575" s="21"/>
    </row>
    <row r="8576" spans="7:7" x14ac:dyDescent="0.25">
      <c r="G8576" s="21"/>
    </row>
    <row r="8577" spans="7:7" x14ac:dyDescent="0.25">
      <c r="G8577" s="21"/>
    </row>
    <row r="8578" spans="7:7" x14ac:dyDescent="0.25">
      <c r="G8578" s="21"/>
    </row>
    <row r="8579" spans="7:7" x14ac:dyDescent="0.25">
      <c r="G8579" s="21"/>
    </row>
    <row r="8580" spans="7:7" x14ac:dyDescent="0.25">
      <c r="G8580" s="21"/>
    </row>
    <row r="8581" spans="7:7" x14ac:dyDescent="0.25">
      <c r="G8581" s="21"/>
    </row>
    <row r="8582" spans="7:7" x14ac:dyDescent="0.25">
      <c r="G8582" s="21"/>
    </row>
    <row r="8583" spans="7:7" x14ac:dyDescent="0.25">
      <c r="G8583" s="21"/>
    </row>
    <row r="8584" spans="7:7" x14ac:dyDescent="0.25">
      <c r="G8584" s="21"/>
    </row>
    <row r="8585" spans="7:7" x14ac:dyDescent="0.25">
      <c r="G8585" s="21"/>
    </row>
    <row r="8586" spans="7:7" x14ac:dyDescent="0.25">
      <c r="G8586" s="21"/>
    </row>
    <row r="8587" spans="7:7" x14ac:dyDescent="0.25">
      <c r="G8587" s="21"/>
    </row>
    <row r="8588" spans="7:7" x14ac:dyDescent="0.25">
      <c r="G8588" s="21"/>
    </row>
    <row r="8589" spans="7:7" x14ac:dyDescent="0.25">
      <c r="G8589" s="21"/>
    </row>
    <row r="8590" spans="7:7" x14ac:dyDescent="0.25">
      <c r="G8590" s="21"/>
    </row>
    <row r="8591" spans="7:7" x14ac:dyDescent="0.25">
      <c r="G8591" s="21"/>
    </row>
    <row r="8592" spans="7:7" x14ac:dyDescent="0.25">
      <c r="G8592" s="21"/>
    </row>
    <row r="8593" spans="7:7" x14ac:dyDescent="0.25">
      <c r="G8593" s="21"/>
    </row>
    <row r="8594" spans="7:7" x14ac:dyDescent="0.25">
      <c r="G8594" s="21"/>
    </row>
    <row r="8595" spans="7:7" x14ac:dyDescent="0.25">
      <c r="G8595" s="21"/>
    </row>
    <row r="8596" spans="7:7" x14ac:dyDescent="0.25">
      <c r="G8596" s="21"/>
    </row>
    <row r="8597" spans="7:7" x14ac:dyDescent="0.25">
      <c r="G8597" s="21"/>
    </row>
    <row r="8598" spans="7:7" x14ac:dyDescent="0.25">
      <c r="G8598" s="21"/>
    </row>
    <row r="8599" spans="7:7" x14ac:dyDescent="0.25">
      <c r="G8599" s="21"/>
    </row>
    <row r="8600" spans="7:7" x14ac:dyDescent="0.25">
      <c r="G8600" s="21"/>
    </row>
    <row r="8601" spans="7:7" x14ac:dyDescent="0.25">
      <c r="G8601" s="21"/>
    </row>
    <row r="8602" spans="7:7" x14ac:dyDescent="0.25">
      <c r="G8602" s="21"/>
    </row>
    <row r="8603" spans="7:7" x14ac:dyDescent="0.25">
      <c r="G8603" s="21"/>
    </row>
    <row r="8604" spans="7:7" x14ac:dyDescent="0.25">
      <c r="G8604" s="21"/>
    </row>
    <row r="8605" spans="7:7" x14ac:dyDescent="0.25">
      <c r="G8605" s="21"/>
    </row>
    <row r="8606" spans="7:7" x14ac:dyDescent="0.25">
      <c r="G8606" s="21"/>
    </row>
    <row r="8607" spans="7:7" x14ac:dyDescent="0.25">
      <c r="G8607" s="21"/>
    </row>
    <row r="8608" spans="7:7" x14ac:dyDescent="0.25">
      <c r="G8608" s="21"/>
    </row>
    <row r="8609" spans="7:7" x14ac:dyDescent="0.25">
      <c r="G8609" s="21"/>
    </row>
    <row r="8610" spans="7:7" x14ac:dyDescent="0.25">
      <c r="G8610" s="21"/>
    </row>
    <row r="8611" spans="7:7" x14ac:dyDescent="0.25">
      <c r="G8611" s="21"/>
    </row>
    <row r="8612" spans="7:7" x14ac:dyDescent="0.25">
      <c r="G8612" s="21"/>
    </row>
    <row r="8613" spans="7:7" x14ac:dyDescent="0.25">
      <c r="G8613" s="21"/>
    </row>
    <row r="8614" spans="7:7" x14ac:dyDescent="0.25">
      <c r="G8614" s="21"/>
    </row>
    <row r="8615" spans="7:7" x14ac:dyDescent="0.25">
      <c r="G8615" s="21"/>
    </row>
    <row r="8616" spans="7:7" x14ac:dyDescent="0.25">
      <c r="G8616" s="21"/>
    </row>
    <row r="8617" spans="7:7" x14ac:dyDescent="0.25">
      <c r="G8617" s="21"/>
    </row>
    <row r="8618" spans="7:7" x14ac:dyDescent="0.25">
      <c r="G8618" s="21"/>
    </row>
    <row r="8619" spans="7:7" x14ac:dyDescent="0.25">
      <c r="G8619" s="21"/>
    </row>
    <row r="8620" spans="7:7" x14ac:dyDescent="0.25">
      <c r="G8620" s="21"/>
    </row>
    <row r="8621" spans="7:7" x14ac:dyDescent="0.25">
      <c r="G8621" s="21"/>
    </row>
    <row r="8622" spans="7:7" x14ac:dyDescent="0.25">
      <c r="G8622" s="21"/>
    </row>
    <row r="8623" spans="7:7" x14ac:dyDescent="0.25">
      <c r="G8623" s="21"/>
    </row>
    <row r="8624" spans="7:7" x14ac:dyDescent="0.25">
      <c r="G8624" s="21"/>
    </row>
    <row r="8625" spans="7:7" x14ac:dyDescent="0.25">
      <c r="G8625" s="21"/>
    </row>
    <row r="8626" spans="7:7" x14ac:dyDescent="0.25">
      <c r="G8626" s="21"/>
    </row>
    <row r="8627" spans="7:7" x14ac:dyDescent="0.25">
      <c r="G8627" s="21"/>
    </row>
    <row r="8628" spans="7:7" x14ac:dyDescent="0.25">
      <c r="G8628" s="21"/>
    </row>
    <row r="8629" spans="7:7" x14ac:dyDescent="0.25">
      <c r="G8629" s="21"/>
    </row>
    <row r="8630" spans="7:7" x14ac:dyDescent="0.25">
      <c r="G8630" s="21"/>
    </row>
    <row r="8631" spans="7:7" x14ac:dyDescent="0.25">
      <c r="G8631" s="21"/>
    </row>
    <row r="8632" spans="7:7" x14ac:dyDescent="0.25">
      <c r="G8632" s="21"/>
    </row>
    <row r="8633" spans="7:7" x14ac:dyDescent="0.25">
      <c r="G8633" s="21"/>
    </row>
    <row r="8634" spans="7:7" x14ac:dyDescent="0.25">
      <c r="G8634" s="21"/>
    </row>
    <row r="8635" spans="7:7" x14ac:dyDescent="0.25">
      <c r="G8635" s="21"/>
    </row>
    <row r="8636" spans="7:7" x14ac:dyDescent="0.25">
      <c r="G8636" s="21"/>
    </row>
    <row r="8637" spans="7:7" x14ac:dyDescent="0.25">
      <c r="G8637" s="21"/>
    </row>
    <row r="8638" spans="7:7" x14ac:dyDescent="0.25">
      <c r="G8638" s="21"/>
    </row>
    <row r="8639" spans="7:7" x14ac:dyDescent="0.25">
      <c r="G8639" s="21"/>
    </row>
    <row r="8640" spans="7:7" x14ac:dyDescent="0.25">
      <c r="G8640" s="21"/>
    </row>
    <row r="8641" spans="7:7" x14ac:dyDescent="0.25">
      <c r="G8641" s="21"/>
    </row>
    <row r="8642" spans="7:7" x14ac:dyDescent="0.25">
      <c r="G8642" s="21"/>
    </row>
    <row r="8643" spans="7:7" x14ac:dyDescent="0.25">
      <c r="G8643" s="21"/>
    </row>
    <row r="8644" spans="7:7" x14ac:dyDescent="0.25">
      <c r="G8644" s="21"/>
    </row>
    <row r="8645" spans="7:7" x14ac:dyDescent="0.25">
      <c r="G8645" s="21"/>
    </row>
    <row r="8646" spans="7:7" x14ac:dyDescent="0.25">
      <c r="G8646" s="21"/>
    </row>
    <row r="8647" spans="7:7" x14ac:dyDescent="0.25">
      <c r="G8647" s="21"/>
    </row>
    <row r="8648" spans="7:7" x14ac:dyDescent="0.25">
      <c r="G8648" s="21"/>
    </row>
    <row r="8649" spans="7:7" x14ac:dyDescent="0.25">
      <c r="G8649" s="21"/>
    </row>
    <row r="8650" spans="7:7" x14ac:dyDescent="0.25">
      <c r="G8650" s="21"/>
    </row>
    <row r="8651" spans="7:7" x14ac:dyDescent="0.25">
      <c r="G8651" s="21"/>
    </row>
    <row r="8652" spans="7:7" x14ac:dyDescent="0.25">
      <c r="G8652" s="21"/>
    </row>
    <row r="8653" spans="7:7" x14ac:dyDescent="0.25">
      <c r="G8653" s="21"/>
    </row>
    <row r="8654" spans="7:7" x14ac:dyDescent="0.25">
      <c r="G8654" s="21"/>
    </row>
    <row r="8655" spans="7:7" x14ac:dyDescent="0.25">
      <c r="G8655" s="21"/>
    </row>
    <row r="8656" spans="7:7" x14ac:dyDescent="0.25">
      <c r="G8656" s="21"/>
    </row>
    <row r="8657" spans="7:7" x14ac:dyDescent="0.25">
      <c r="G8657" s="21"/>
    </row>
    <row r="8658" spans="7:7" x14ac:dyDescent="0.25">
      <c r="G8658" s="21"/>
    </row>
    <row r="8659" spans="7:7" x14ac:dyDescent="0.25">
      <c r="G8659" s="21"/>
    </row>
    <row r="8660" spans="7:7" x14ac:dyDescent="0.25">
      <c r="G8660" s="21"/>
    </row>
    <row r="8661" spans="7:7" x14ac:dyDescent="0.25">
      <c r="G8661" s="21"/>
    </row>
    <row r="8662" spans="7:7" x14ac:dyDescent="0.25">
      <c r="G8662" s="21"/>
    </row>
    <row r="8663" spans="7:7" x14ac:dyDescent="0.25">
      <c r="G8663" s="21"/>
    </row>
    <row r="8664" spans="7:7" x14ac:dyDescent="0.25">
      <c r="G8664" s="21"/>
    </row>
    <row r="8665" spans="7:7" x14ac:dyDescent="0.25">
      <c r="G8665" s="21"/>
    </row>
    <row r="8666" spans="7:7" x14ac:dyDescent="0.25">
      <c r="G8666" s="21"/>
    </row>
    <row r="8667" spans="7:7" x14ac:dyDescent="0.25">
      <c r="G8667" s="21"/>
    </row>
    <row r="8668" spans="7:7" x14ac:dyDescent="0.25">
      <c r="G8668" s="21"/>
    </row>
    <row r="8669" spans="7:7" x14ac:dyDescent="0.25">
      <c r="G8669" s="21"/>
    </row>
    <row r="8670" spans="7:7" x14ac:dyDescent="0.25">
      <c r="G8670" s="21"/>
    </row>
    <row r="8671" spans="7:7" x14ac:dyDescent="0.25">
      <c r="G8671" s="21"/>
    </row>
    <row r="8672" spans="7:7" x14ac:dyDescent="0.25">
      <c r="G8672" s="21"/>
    </row>
    <row r="8673" spans="7:7" x14ac:dyDescent="0.25">
      <c r="G8673" s="21"/>
    </row>
    <row r="8674" spans="7:7" x14ac:dyDescent="0.25">
      <c r="G8674" s="21"/>
    </row>
    <row r="8675" spans="7:7" x14ac:dyDescent="0.25">
      <c r="G8675" s="21"/>
    </row>
    <row r="8676" spans="7:7" x14ac:dyDescent="0.25">
      <c r="G8676" s="21"/>
    </row>
    <row r="8677" spans="7:7" x14ac:dyDescent="0.25">
      <c r="G8677" s="21"/>
    </row>
    <row r="8678" spans="7:7" x14ac:dyDescent="0.25">
      <c r="G8678" s="21"/>
    </row>
    <row r="8679" spans="7:7" x14ac:dyDescent="0.25">
      <c r="G8679" s="21"/>
    </row>
    <row r="8680" spans="7:7" x14ac:dyDescent="0.25">
      <c r="G8680" s="21"/>
    </row>
    <row r="8681" spans="7:7" x14ac:dyDescent="0.25">
      <c r="G8681" s="21"/>
    </row>
    <row r="8682" spans="7:7" x14ac:dyDescent="0.25">
      <c r="G8682" s="21"/>
    </row>
    <row r="8683" spans="7:7" x14ac:dyDescent="0.25">
      <c r="G8683" s="21"/>
    </row>
    <row r="8684" spans="7:7" x14ac:dyDescent="0.25">
      <c r="G8684" s="21"/>
    </row>
    <row r="8685" spans="7:7" x14ac:dyDescent="0.25">
      <c r="G8685" s="21"/>
    </row>
    <row r="8686" spans="7:7" x14ac:dyDescent="0.25">
      <c r="G8686" s="21"/>
    </row>
    <row r="8687" spans="7:7" x14ac:dyDescent="0.25">
      <c r="G8687" s="21"/>
    </row>
    <row r="8688" spans="7:7" x14ac:dyDescent="0.25">
      <c r="G8688" s="21"/>
    </row>
    <row r="8689" spans="7:7" x14ac:dyDescent="0.25">
      <c r="G8689" s="21"/>
    </row>
    <row r="8690" spans="7:7" x14ac:dyDescent="0.25">
      <c r="G8690" s="21"/>
    </row>
    <row r="8691" spans="7:7" x14ac:dyDescent="0.25">
      <c r="G8691" s="21"/>
    </row>
    <row r="8692" spans="7:7" x14ac:dyDescent="0.25">
      <c r="G8692" s="21"/>
    </row>
    <row r="8693" spans="7:7" x14ac:dyDescent="0.25">
      <c r="G8693" s="21"/>
    </row>
    <row r="8694" spans="7:7" x14ac:dyDescent="0.25">
      <c r="G8694" s="21"/>
    </row>
    <row r="8695" spans="7:7" x14ac:dyDescent="0.25">
      <c r="G8695" s="21"/>
    </row>
    <row r="8696" spans="7:7" x14ac:dyDescent="0.25">
      <c r="G8696" s="21"/>
    </row>
    <row r="8697" spans="7:7" x14ac:dyDescent="0.25">
      <c r="G8697" s="21"/>
    </row>
    <row r="8698" spans="7:7" x14ac:dyDescent="0.25">
      <c r="G8698" s="21"/>
    </row>
    <row r="8699" spans="7:7" x14ac:dyDescent="0.25">
      <c r="G8699" s="21"/>
    </row>
    <row r="8700" spans="7:7" x14ac:dyDescent="0.25">
      <c r="G8700" s="21"/>
    </row>
    <row r="8701" spans="7:7" x14ac:dyDescent="0.25">
      <c r="G8701" s="21"/>
    </row>
    <row r="8702" spans="7:7" x14ac:dyDescent="0.25">
      <c r="G8702" s="21"/>
    </row>
    <row r="8703" spans="7:7" x14ac:dyDescent="0.25">
      <c r="G8703" s="21"/>
    </row>
    <row r="8704" spans="7:7" x14ac:dyDescent="0.25">
      <c r="G8704" s="21"/>
    </row>
    <row r="8705" spans="7:7" x14ac:dyDescent="0.25">
      <c r="G8705" s="21"/>
    </row>
    <row r="8706" spans="7:7" x14ac:dyDescent="0.25">
      <c r="G8706" s="21"/>
    </row>
    <row r="8707" spans="7:7" x14ac:dyDescent="0.25">
      <c r="G8707" s="21"/>
    </row>
    <row r="8708" spans="7:7" x14ac:dyDescent="0.25">
      <c r="G8708" s="21"/>
    </row>
    <row r="8709" spans="7:7" x14ac:dyDescent="0.25">
      <c r="G8709" s="21"/>
    </row>
    <row r="8710" spans="7:7" x14ac:dyDescent="0.25">
      <c r="G8710" s="21"/>
    </row>
    <row r="8711" spans="7:7" x14ac:dyDescent="0.25">
      <c r="G8711" s="21"/>
    </row>
    <row r="8712" spans="7:7" x14ac:dyDescent="0.25">
      <c r="G8712" s="21"/>
    </row>
    <row r="8713" spans="7:7" x14ac:dyDescent="0.25">
      <c r="G8713" s="21"/>
    </row>
    <row r="8714" spans="7:7" x14ac:dyDescent="0.25">
      <c r="G8714" s="21"/>
    </row>
    <row r="8715" spans="7:7" x14ac:dyDescent="0.25">
      <c r="G8715" s="21"/>
    </row>
    <row r="8716" spans="7:7" x14ac:dyDescent="0.25">
      <c r="G8716" s="21"/>
    </row>
    <row r="8717" spans="7:7" x14ac:dyDescent="0.25">
      <c r="G8717" s="21"/>
    </row>
    <row r="8718" spans="7:7" x14ac:dyDescent="0.25">
      <c r="G8718" s="21"/>
    </row>
    <row r="8719" spans="7:7" x14ac:dyDescent="0.25">
      <c r="G8719" s="21"/>
    </row>
    <row r="8720" spans="7:7" x14ac:dyDescent="0.25">
      <c r="G8720" s="21"/>
    </row>
    <row r="8721" spans="7:7" x14ac:dyDescent="0.25">
      <c r="G8721" s="21"/>
    </row>
    <row r="8722" spans="7:7" x14ac:dyDescent="0.25">
      <c r="G8722" s="21"/>
    </row>
    <row r="8723" spans="7:7" x14ac:dyDescent="0.25">
      <c r="G8723" s="21"/>
    </row>
    <row r="8724" spans="7:7" x14ac:dyDescent="0.25">
      <c r="G8724" s="21"/>
    </row>
    <row r="8725" spans="7:7" x14ac:dyDescent="0.25">
      <c r="G8725" s="21"/>
    </row>
    <row r="8726" spans="7:7" x14ac:dyDescent="0.25">
      <c r="G8726" s="21"/>
    </row>
    <row r="8727" spans="7:7" x14ac:dyDescent="0.25">
      <c r="G8727" s="21"/>
    </row>
    <row r="8728" spans="7:7" x14ac:dyDescent="0.25">
      <c r="G8728" s="21"/>
    </row>
    <row r="8729" spans="7:7" x14ac:dyDescent="0.25">
      <c r="G8729" s="21"/>
    </row>
    <row r="8730" spans="7:7" x14ac:dyDescent="0.25">
      <c r="G8730" s="21"/>
    </row>
    <row r="8731" spans="7:7" x14ac:dyDescent="0.25">
      <c r="G8731" s="21"/>
    </row>
    <row r="8732" spans="7:7" x14ac:dyDescent="0.25">
      <c r="G8732" s="21"/>
    </row>
    <row r="8733" spans="7:7" x14ac:dyDescent="0.25">
      <c r="G8733" s="21"/>
    </row>
    <row r="8734" spans="7:7" x14ac:dyDescent="0.25">
      <c r="G8734" s="21"/>
    </row>
    <row r="8735" spans="7:7" x14ac:dyDescent="0.25">
      <c r="G8735" s="21"/>
    </row>
    <row r="8736" spans="7:7" x14ac:dyDescent="0.25">
      <c r="G8736" s="21"/>
    </row>
    <row r="8737" spans="7:7" x14ac:dyDescent="0.25">
      <c r="G8737" s="21"/>
    </row>
    <row r="8738" spans="7:7" x14ac:dyDescent="0.25">
      <c r="G8738" s="21"/>
    </row>
    <row r="8739" spans="7:7" x14ac:dyDescent="0.25">
      <c r="G8739" s="21"/>
    </row>
    <row r="8740" spans="7:7" x14ac:dyDescent="0.25">
      <c r="G8740" s="21"/>
    </row>
    <row r="8741" spans="7:7" x14ac:dyDescent="0.25">
      <c r="G8741" s="21"/>
    </row>
    <row r="8742" spans="7:7" x14ac:dyDescent="0.25">
      <c r="G8742" s="21"/>
    </row>
    <row r="8743" spans="7:7" x14ac:dyDescent="0.25">
      <c r="G8743" s="21"/>
    </row>
    <row r="8744" spans="7:7" x14ac:dyDescent="0.25">
      <c r="G8744" s="21"/>
    </row>
    <row r="8745" spans="7:7" x14ac:dyDescent="0.25">
      <c r="G8745" s="21"/>
    </row>
    <row r="8746" spans="7:7" x14ac:dyDescent="0.25">
      <c r="G8746" s="21"/>
    </row>
    <row r="8747" spans="7:7" x14ac:dyDescent="0.25">
      <c r="G8747" s="21"/>
    </row>
    <row r="8748" spans="7:7" x14ac:dyDescent="0.25">
      <c r="G8748" s="21"/>
    </row>
    <row r="8749" spans="7:7" x14ac:dyDescent="0.25">
      <c r="G8749" s="21"/>
    </row>
    <row r="8750" spans="7:7" x14ac:dyDescent="0.25">
      <c r="G8750" s="21"/>
    </row>
    <row r="8751" spans="7:7" x14ac:dyDescent="0.25">
      <c r="G8751" s="21"/>
    </row>
    <row r="8752" spans="7:7" x14ac:dyDescent="0.25">
      <c r="G8752" s="21"/>
    </row>
    <row r="8753" spans="7:7" x14ac:dyDescent="0.25">
      <c r="G8753" s="21"/>
    </row>
    <row r="8754" spans="7:7" x14ac:dyDescent="0.25">
      <c r="G8754" s="21"/>
    </row>
    <row r="8755" spans="7:7" x14ac:dyDescent="0.25">
      <c r="G8755" s="21"/>
    </row>
    <row r="8756" spans="7:7" x14ac:dyDescent="0.25">
      <c r="G8756" s="21"/>
    </row>
    <row r="8757" spans="7:7" x14ac:dyDescent="0.25">
      <c r="G8757" s="21"/>
    </row>
    <row r="8758" spans="7:7" x14ac:dyDescent="0.25">
      <c r="G8758" s="21"/>
    </row>
    <row r="8759" spans="7:7" x14ac:dyDescent="0.25">
      <c r="G8759" s="21"/>
    </row>
    <row r="8760" spans="7:7" x14ac:dyDescent="0.25">
      <c r="G8760" s="21"/>
    </row>
    <row r="8761" spans="7:7" x14ac:dyDescent="0.25">
      <c r="G8761" s="21"/>
    </row>
    <row r="8762" spans="7:7" x14ac:dyDescent="0.25">
      <c r="G8762" s="21"/>
    </row>
    <row r="8763" spans="7:7" x14ac:dyDescent="0.25">
      <c r="G8763" s="21"/>
    </row>
    <row r="8764" spans="7:7" x14ac:dyDescent="0.25">
      <c r="G8764" s="21"/>
    </row>
    <row r="8765" spans="7:7" x14ac:dyDescent="0.25">
      <c r="G8765" s="21"/>
    </row>
    <row r="8766" spans="7:7" x14ac:dyDescent="0.25">
      <c r="G8766" s="21"/>
    </row>
    <row r="8767" spans="7:7" x14ac:dyDescent="0.25">
      <c r="G8767" s="21"/>
    </row>
    <row r="8768" spans="7:7" x14ac:dyDescent="0.25">
      <c r="G8768" s="21"/>
    </row>
    <row r="8769" spans="7:7" x14ac:dyDescent="0.25">
      <c r="G8769" s="21"/>
    </row>
    <row r="8770" spans="7:7" x14ac:dyDescent="0.25">
      <c r="G8770" s="21"/>
    </row>
    <row r="8771" spans="7:7" x14ac:dyDescent="0.25">
      <c r="G8771" s="21"/>
    </row>
    <row r="8772" spans="7:7" x14ac:dyDescent="0.25">
      <c r="G8772" s="21"/>
    </row>
    <row r="8773" spans="7:7" x14ac:dyDescent="0.25">
      <c r="G8773" s="21"/>
    </row>
    <row r="8774" spans="7:7" x14ac:dyDescent="0.25">
      <c r="G8774" s="21"/>
    </row>
    <row r="8775" spans="7:7" x14ac:dyDescent="0.25">
      <c r="G8775" s="21"/>
    </row>
    <row r="8776" spans="7:7" x14ac:dyDescent="0.25">
      <c r="G8776" s="21"/>
    </row>
    <row r="8777" spans="7:7" x14ac:dyDescent="0.25">
      <c r="G8777" s="21"/>
    </row>
    <row r="8778" spans="7:7" x14ac:dyDescent="0.25">
      <c r="G8778" s="21"/>
    </row>
    <row r="8779" spans="7:7" x14ac:dyDescent="0.25">
      <c r="G8779" s="21"/>
    </row>
    <row r="8780" spans="7:7" x14ac:dyDescent="0.25">
      <c r="G8780" s="21"/>
    </row>
    <row r="8781" spans="7:7" x14ac:dyDescent="0.25">
      <c r="G8781" s="21"/>
    </row>
    <row r="8782" spans="7:7" x14ac:dyDescent="0.25">
      <c r="G8782" s="21"/>
    </row>
    <row r="8783" spans="7:7" x14ac:dyDescent="0.25">
      <c r="G8783" s="21"/>
    </row>
    <row r="8784" spans="7:7" x14ac:dyDescent="0.25">
      <c r="G8784" s="21"/>
    </row>
    <row r="8785" spans="7:7" x14ac:dyDescent="0.25">
      <c r="G8785" s="21"/>
    </row>
    <row r="8786" spans="7:7" x14ac:dyDescent="0.25">
      <c r="G8786" s="21"/>
    </row>
    <row r="8787" spans="7:7" x14ac:dyDescent="0.25">
      <c r="G8787" s="21"/>
    </row>
    <row r="8788" spans="7:7" x14ac:dyDescent="0.25">
      <c r="G8788" s="21"/>
    </row>
    <row r="8789" spans="7:7" x14ac:dyDescent="0.25">
      <c r="G8789" s="21"/>
    </row>
    <row r="8790" spans="7:7" x14ac:dyDescent="0.25">
      <c r="G8790" s="21"/>
    </row>
    <row r="8791" spans="7:7" x14ac:dyDescent="0.25">
      <c r="G8791" s="21"/>
    </row>
    <row r="8792" spans="7:7" x14ac:dyDescent="0.25">
      <c r="G8792" s="21"/>
    </row>
    <row r="8793" spans="7:7" x14ac:dyDescent="0.25">
      <c r="G8793" s="21"/>
    </row>
    <row r="8794" spans="7:7" x14ac:dyDescent="0.25">
      <c r="G8794" s="21"/>
    </row>
    <row r="8795" spans="7:7" x14ac:dyDescent="0.25">
      <c r="G8795" s="21"/>
    </row>
    <row r="8796" spans="7:7" x14ac:dyDescent="0.25">
      <c r="G8796" s="21"/>
    </row>
    <row r="8797" spans="7:7" x14ac:dyDescent="0.25">
      <c r="G8797" s="21"/>
    </row>
    <row r="8798" spans="7:7" x14ac:dyDescent="0.25">
      <c r="G8798" s="21"/>
    </row>
    <row r="8799" spans="7:7" x14ac:dyDescent="0.25">
      <c r="G8799" s="21"/>
    </row>
    <row r="8800" spans="7:7" x14ac:dyDescent="0.25">
      <c r="G8800" s="21"/>
    </row>
    <row r="8801" spans="7:7" x14ac:dyDescent="0.25">
      <c r="G8801" s="21"/>
    </row>
    <row r="8802" spans="7:7" x14ac:dyDescent="0.25">
      <c r="G8802" s="21"/>
    </row>
    <row r="8803" spans="7:7" x14ac:dyDescent="0.25">
      <c r="G8803" s="21"/>
    </row>
    <row r="8804" spans="7:7" x14ac:dyDescent="0.25">
      <c r="G8804" s="21"/>
    </row>
    <row r="8805" spans="7:7" x14ac:dyDescent="0.25">
      <c r="G8805" s="21"/>
    </row>
    <row r="8806" spans="7:7" x14ac:dyDescent="0.25">
      <c r="G8806" s="21"/>
    </row>
    <row r="8807" spans="7:7" x14ac:dyDescent="0.25">
      <c r="G8807" s="21"/>
    </row>
    <row r="8808" spans="7:7" x14ac:dyDescent="0.25">
      <c r="G8808" s="21"/>
    </row>
    <row r="8809" spans="7:7" x14ac:dyDescent="0.25">
      <c r="G8809" s="21"/>
    </row>
    <row r="8810" spans="7:7" x14ac:dyDescent="0.25">
      <c r="G8810" s="21"/>
    </row>
    <row r="8811" spans="7:7" x14ac:dyDescent="0.25">
      <c r="G8811" s="21"/>
    </row>
    <row r="8812" spans="7:7" x14ac:dyDescent="0.25">
      <c r="G8812" s="21"/>
    </row>
    <row r="8813" spans="7:7" x14ac:dyDescent="0.25">
      <c r="G8813" s="21"/>
    </row>
    <row r="8814" spans="7:7" x14ac:dyDescent="0.25">
      <c r="G8814" s="21"/>
    </row>
    <row r="8815" spans="7:7" x14ac:dyDescent="0.25">
      <c r="G8815" s="21"/>
    </row>
    <row r="8816" spans="7:7" x14ac:dyDescent="0.25">
      <c r="G8816" s="21"/>
    </row>
    <row r="8817" spans="7:7" x14ac:dyDescent="0.25">
      <c r="G8817" s="21"/>
    </row>
    <row r="8818" spans="7:7" x14ac:dyDescent="0.25">
      <c r="G8818" s="21"/>
    </row>
    <row r="8819" spans="7:7" x14ac:dyDescent="0.25">
      <c r="G8819" s="21"/>
    </row>
    <row r="8820" spans="7:7" x14ac:dyDescent="0.25">
      <c r="G8820" s="21"/>
    </row>
    <row r="8821" spans="7:7" x14ac:dyDescent="0.25">
      <c r="G8821" s="21"/>
    </row>
    <row r="8822" spans="7:7" x14ac:dyDescent="0.25">
      <c r="G8822" s="21"/>
    </row>
    <row r="8823" spans="7:7" x14ac:dyDescent="0.25">
      <c r="G8823" s="21"/>
    </row>
    <row r="8824" spans="7:7" x14ac:dyDescent="0.25">
      <c r="G8824" s="21"/>
    </row>
    <row r="8825" spans="7:7" x14ac:dyDescent="0.25">
      <c r="G8825" s="21"/>
    </row>
    <row r="8826" spans="7:7" x14ac:dyDescent="0.25">
      <c r="G8826" s="21"/>
    </row>
    <row r="8827" spans="7:7" x14ac:dyDescent="0.25">
      <c r="G8827" s="21"/>
    </row>
    <row r="8828" spans="7:7" x14ac:dyDescent="0.25">
      <c r="G8828" s="21"/>
    </row>
    <row r="8829" spans="7:7" x14ac:dyDescent="0.25">
      <c r="G8829" s="21"/>
    </row>
    <row r="8830" spans="7:7" x14ac:dyDescent="0.25">
      <c r="G8830" s="21"/>
    </row>
    <row r="8831" spans="7:7" x14ac:dyDescent="0.25">
      <c r="G8831" s="21"/>
    </row>
    <row r="8832" spans="7:7" x14ac:dyDescent="0.25">
      <c r="G8832" s="21"/>
    </row>
    <row r="8833" spans="7:7" x14ac:dyDescent="0.25">
      <c r="G8833" s="21"/>
    </row>
    <row r="8834" spans="7:7" x14ac:dyDescent="0.25">
      <c r="G8834" s="21"/>
    </row>
    <row r="8835" spans="7:7" x14ac:dyDescent="0.25">
      <c r="G8835" s="21"/>
    </row>
    <row r="8836" spans="7:7" x14ac:dyDescent="0.25">
      <c r="G8836" s="21"/>
    </row>
    <row r="8837" spans="7:7" x14ac:dyDescent="0.25">
      <c r="G8837" s="21"/>
    </row>
    <row r="8838" spans="7:7" x14ac:dyDescent="0.25">
      <c r="G8838" s="21"/>
    </row>
    <row r="8839" spans="7:7" x14ac:dyDescent="0.25">
      <c r="G8839" s="21"/>
    </row>
    <row r="8840" spans="7:7" x14ac:dyDescent="0.25">
      <c r="G8840" s="21"/>
    </row>
    <row r="8841" spans="7:7" x14ac:dyDescent="0.25">
      <c r="G8841" s="21"/>
    </row>
    <row r="8842" spans="7:7" x14ac:dyDescent="0.25">
      <c r="G8842" s="21"/>
    </row>
    <row r="8843" spans="7:7" x14ac:dyDescent="0.25">
      <c r="G8843" s="21"/>
    </row>
    <row r="8844" spans="7:7" x14ac:dyDescent="0.25">
      <c r="G8844" s="21"/>
    </row>
    <row r="8845" spans="7:7" x14ac:dyDescent="0.25">
      <c r="G8845" s="21"/>
    </row>
    <row r="8846" spans="7:7" x14ac:dyDescent="0.25">
      <c r="G8846" s="21"/>
    </row>
    <row r="8847" spans="7:7" x14ac:dyDescent="0.25">
      <c r="G8847" s="21"/>
    </row>
    <row r="8848" spans="7:7" x14ac:dyDescent="0.25">
      <c r="G8848" s="21"/>
    </row>
    <row r="8849" spans="7:7" x14ac:dyDescent="0.25">
      <c r="G8849" s="21"/>
    </row>
    <row r="8850" spans="7:7" x14ac:dyDescent="0.25">
      <c r="G8850" s="21"/>
    </row>
    <row r="8851" spans="7:7" x14ac:dyDescent="0.25">
      <c r="G8851" s="21"/>
    </row>
    <row r="8852" spans="7:7" x14ac:dyDescent="0.25">
      <c r="G8852" s="21"/>
    </row>
    <row r="8853" spans="7:7" x14ac:dyDescent="0.25">
      <c r="G8853" s="21"/>
    </row>
    <row r="8854" spans="7:7" x14ac:dyDescent="0.25">
      <c r="G8854" s="21"/>
    </row>
    <row r="8855" spans="7:7" x14ac:dyDescent="0.25">
      <c r="G8855" s="21"/>
    </row>
    <row r="8856" spans="7:7" x14ac:dyDescent="0.25">
      <c r="G8856" s="21"/>
    </row>
    <row r="8857" spans="7:7" x14ac:dyDescent="0.25">
      <c r="G8857" s="21"/>
    </row>
    <row r="8858" spans="7:7" x14ac:dyDescent="0.25">
      <c r="G8858" s="21"/>
    </row>
    <row r="8859" spans="7:7" x14ac:dyDescent="0.25">
      <c r="G8859" s="21"/>
    </row>
    <row r="8860" spans="7:7" x14ac:dyDescent="0.25">
      <c r="G8860" s="21"/>
    </row>
    <row r="8861" spans="7:7" x14ac:dyDescent="0.25">
      <c r="G8861" s="21"/>
    </row>
    <row r="8862" spans="7:7" x14ac:dyDescent="0.25">
      <c r="G8862" s="21"/>
    </row>
    <row r="8863" spans="7:7" x14ac:dyDescent="0.25">
      <c r="G8863" s="21"/>
    </row>
    <row r="8864" spans="7:7" x14ac:dyDescent="0.25">
      <c r="G8864" s="21"/>
    </row>
    <row r="8865" spans="7:7" x14ac:dyDescent="0.25">
      <c r="G8865" s="21"/>
    </row>
    <row r="8866" spans="7:7" x14ac:dyDescent="0.25">
      <c r="G8866" s="21"/>
    </row>
    <row r="8867" spans="7:7" x14ac:dyDescent="0.25">
      <c r="G8867" s="21"/>
    </row>
    <row r="8868" spans="7:7" x14ac:dyDescent="0.25">
      <c r="G8868" s="21"/>
    </row>
    <row r="8869" spans="7:7" x14ac:dyDescent="0.25">
      <c r="G8869" s="21"/>
    </row>
    <row r="8870" spans="7:7" x14ac:dyDescent="0.25">
      <c r="G8870" s="21"/>
    </row>
    <row r="8871" spans="7:7" x14ac:dyDescent="0.25">
      <c r="G8871" s="21"/>
    </row>
    <row r="8872" spans="7:7" x14ac:dyDescent="0.25">
      <c r="G8872" s="21"/>
    </row>
    <row r="8873" spans="7:7" x14ac:dyDescent="0.25">
      <c r="G8873" s="21"/>
    </row>
    <row r="8874" spans="7:7" x14ac:dyDescent="0.25">
      <c r="G8874" s="21"/>
    </row>
    <row r="8875" spans="7:7" x14ac:dyDescent="0.25">
      <c r="G8875" s="21"/>
    </row>
    <row r="8876" spans="7:7" x14ac:dyDescent="0.25">
      <c r="G8876" s="21"/>
    </row>
    <row r="8877" spans="7:7" x14ac:dyDescent="0.25">
      <c r="G8877" s="21"/>
    </row>
    <row r="8878" spans="7:7" x14ac:dyDescent="0.25">
      <c r="G8878" s="21"/>
    </row>
    <row r="8879" spans="7:7" x14ac:dyDescent="0.25">
      <c r="G8879" s="21"/>
    </row>
    <row r="8880" spans="7:7" x14ac:dyDescent="0.25">
      <c r="G8880" s="21"/>
    </row>
    <row r="8881" spans="7:7" x14ac:dyDescent="0.25">
      <c r="G8881" s="21"/>
    </row>
    <row r="8882" spans="7:7" x14ac:dyDescent="0.25">
      <c r="G8882" s="21"/>
    </row>
    <row r="8883" spans="7:7" x14ac:dyDescent="0.25">
      <c r="G8883" s="21"/>
    </row>
    <row r="8884" spans="7:7" x14ac:dyDescent="0.25">
      <c r="G8884" s="21"/>
    </row>
    <row r="8885" spans="7:7" x14ac:dyDescent="0.25">
      <c r="G8885" s="21"/>
    </row>
    <row r="8886" spans="7:7" x14ac:dyDescent="0.25">
      <c r="G8886" s="21"/>
    </row>
    <row r="8887" spans="7:7" x14ac:dyDescent="0.25">
      <c r="G8887" s="21"/>
    </row>
    <row r="8888" spans="7:7" x14ac:dyDescent="0.25">
      <c r="G8888" s="21"/>
    </row>
    <row r="8889" spans="7:7" x14ac:dyDescent="0.25">
      <c r="G8889" s="21"/>
    </row>
    <row r="8890" spans="7:7" x14ac:dyDescent="0.25">
      <c r="G8890" s="21"/>
    </row>
    <row r="8891" spans="7:7" x14ac:dyDescent="0.25">
      <c r="G8891" s="21"/>
    </row>
    <row r="8892" spans="7:7" x14ac:dyDescent="0.25">
      <c r="G8892" s="21"/>
    </row>
    <row r="8893" spans="7:7" x14ac:dyDescent="0.25">
      <c r="G8893" s="21"/>
    </row>
    <row r="8894" spans="7:7" x14ac:dyDescent="0.25">
      <c r="G8894" s="21"/>
    </row>
    <row r="8895" spans="7:7" x14ac:dyDescent="0.25">
      <c r="G8895" s="21"/>
    </row>
    <row r="8896" spans="7:7" x14ac:dyDescent="0.25">
      <c r="G8896" s="21"/>
    </row>
    <row r="8897" spans="7:7" x14ac:dyDescent="0.25">
      <c r="G8897" s="21"/>
    </row>
    <row r="8898" spans="7:7" x14ac:dyDescent="0.25">
      <c r="G8898" s="21"/>
    </row>
    <row r="8899" spans="7:7" x14ac:dyDescent="0.25">
      <c r="G8899" s="21"/>
    </row>
    <row r="8900" spans="7:7" x14ac:dyDescent="0.25">
      <c r="G8900" s="21"/>
    </row>
    <row r="8901" spans="7:7" x14ac:dyDescent="0.25">
      <c r="G8901" s="21"/>
    </row>
    <row r="8902" spans="7:7" x14ac:dyDescent="0.25">
      <c r="G8902" s="21"/>
    </row>
    <row r="8903" spans="7:7" x14ac:dyDescent="0.25">
      <c r="G8903" s="21"/>
    </row>
    <row r="8904" spans="7:7" x14ac:dyDescent="0.25">
      <c r="G8904" s="21"/>
    </row>
    <row r="8905" spans="7:7" x14ac:dyDescent="0.25">
      <c r="G8905" s="21"/>
    </row>
    <row r="8906" spans="7:7" x14ac:dyDescent="0.25">
      <c r="G8906" s="21"/>
    </row>
    <row r="8907" spans="7:7" x14ac:dyDescent="0.25">
      <c r="G8907" s="21"/>
    </row>
    <row r="8908" spans="7:7" x14ac:dyDescent="0.25">
      <c r="G8908" s="21"/>
    </row>
    <row r="8909" spans="7:7" x14ac:dyDescent="0.25">
      <c r="G8909" s="21"/>
    </row>
    <row r="8910" spans="7:7" x14ac:dyDescent="0.25">
      <c r="G8910" s="21"/>
    </row>
    <row r="8911" spans="7:7" x14ac:dyDescent="0.25">
      <c r="G8911" s="21"/>
    </row>
    <row r="8912" spans="7:7" x14ac:dyDescent="0.25">
      <c r="G8912" s="21"/>
    </row>
    <row r="8913" spans="7:7" x14ac:dyDescent="0.25">
      <c r="G8913" s="21"/>
    </row>
    <row r="8914" spans="7:7" x14ac:dyDescent="0.25">
      <c r="G8914" s="21"/>
    </row>
    <row r="8915" spans="7:7" x14ac:dyDescent="0.25">
      <c r="G8915" s="21"/>
    </row>
    <row r="8916" spans="7:7" x14ac:dyDescent="0.25">
      <c r="G8916" s="21"/>
    </row>
    <row r="8917" spans="7:7" x14ac:dyDescent="0.25">
      <c r="G8917" s="21"/>
    </row>
    <row r="8918" spans="7:7" x14ac:dyDescent="0.25">
      <c r="G8918" s="21"/>
    </row>
    <row r="8919" spans="7:7" x14ac:dyDescent="0.25">
      <c r="G8919" s="21"/>
    </row>
    <row r="8920" spans="7:7" x14ac:dyDescent="0.25">
      <c r="G8920" s="21"/>
    </row>
    <row r="8921" spans="7:7" x14ac:dyDescent="0.25">
      <c r="G8921" s="21"/>
    </row>
    <row r="8922" spans="7:7" x14ac:dyDescent="0.25">
      <c r="G8922" s="21"/>
    </row>
    <row r="8923" spans="7:7" x14ac:dyDescent="0.25">
      <c r="G8923" s="21"/>
    </row>
    <row r="8924" spans="7:7" x14ac:dyDescent="0.25">
      <c r="G8924" s="21"/>
    </row>
    <row r="8925" spans="7:7" x14ac:dyDescent="0.25">
      <c r="G8925" s="21"/>
    </row>
    <row r="8926" spans="7:7" x14ac:dyDescent="0.25">
      <c r="G8926" s="21"/>
    </row>
    <row r="8927" spans="7:7" x14ac:dyDescent="0.25">
      <c r="G8927" s="21"/>
    </row>
    <row r="8928" spans="7:7" x14ac:dyDescent="0.25">
      <c r="G8928" s="21"/>
    </row>
    <row r="8929" spans="7:7" x14ac:dyDescent="0.25">
      <c r="G8929" s="21"/>
    </row>
    <row r="8930" spans="7:7" x14ac:dyDescent="0.25">
      <c r="G8930" s="21"/>
    </row>
    <row r="8931" spans="7:7" x14ac:dyDescent="0.25">
      <c r="G8931" s="21"/>
    </row>
    <row r="8932" spans="7:7" x14ac:dyDescent="0.25">
      <c r="G8932" s="21"/>
    </row>
    <row r="8933" spans="7:7" x14ac:dyDescent="0.25">
      <c r="G8933" s="21"/>
    </row>
    <row r="8934" spans="7:7" x14ac:dyDescent="0.25">
      <c r="G8934" s="21"/>
    </row>
    <row r="8935" spans="7:7" x14ac:dyDescent="0.25">
      <c r="G8935" s="21"/>
    </row>
    <row r="8936" spans="7:7" x14ac:dyDescent="0.25">
      <c r="G8936" s="21"/>
    </row>
    <row r="8937" spans="7:7" x14ac:dyDescent="0.25">
      <c r="G8937" s="21"/>
    </row>
    <row r="8938" spans="7:7" x14ac:dyDescent="0.25">
      <c r="G8938" s="21"/>
    </row>
    <row r="8939" spans="7:7" x14ac:dyDescent="0.25">
      <c r="G8939" s="21"/>
    </row>
    <row r="8940" spans="7:7" x14ac:dyDescent="0.25">
      <c r="G8940" s="21"/>
    </row>
    <row r="8941" spans="7:7" x14ac:dyDescent="0.25">
      <c r="G8941" s="21"/>
    </row>
    <row r="8942" spans="7:7" x14ac:dyDescent="0.25">
      <c r="G8942" s="21"/>
    </row>
    <row r="8943" spans="7:7" x14ac:dyDescent="0.25">
      <c r="G8943" s="21"/>
    </row>
    <row r="8944" spans="7:7" x14ac:dyDescent="0.25">
      <c r="G8944" s="21"/>
    </row>
    <row r="8945" spans="7:7" x14ac:dyDescent="0.25">
      <c r="G8945" s="21"/>
    </row>
    <row r="8946" spans="7:7" x14ac:dyDescent="0.25">
      <c r="G8946" s="21"/>
    </row>
    <row r="8947" spans="7:7" x14ac:dyDescent="0.25">
      <c r="G8947" s="21"/>
    </row>
    <row r="8948" spans="7:7" x14ac:dyDescent="0.25">
      <c r="G8948" s="21"/>
    </row>
    <row r="8949" spans="7:7" x14ac:dyDescent="0.25">
      <c r="G8949" s="21"/>
    </row>
    <row r="8950" spans="7:7" x14ac:dyDescent="0.25">
      <c r="G8950" s="21"/>
    </row>
    <row r="8951" spans="7:7" x14ac:dyDescent="0.25">
      <c r="G8951" s="21"/>
    </row>
    <row r="8952" spans="7:7" x14ac:dyDescent="0.25">
      <c r="G8952" s="21"/>
    </row>
    <row r="8953" spans="7:7" x14ac:dyDescent="0.25">
      <c r="G8953" s="21"/>
    </row>
    <row r="8954" spans="7:7" x14ac:dyDescent="0.25">
      <c r="G8954" s="21"/>
    </row>
    <row r="8955" spans="7:7" x14ac:dyDescent="0.25">
      <c r="G8955" s="21"/>
    </row>
    <row r="8956" spans="7:7" x14ac:dyDescent="0.25">
      <c r="G8956" s="21"/>
    </row>
    <row r="8957" spans="7:7" x14ac:dyDescent="0.25">
      <c r="G8957" s="21"/>
    </row>
    <row r="8958" spans="7:7" x14ac:dyDescent="0.25">
      <c r="G8958" s="21"/>
    </row>
    <row r="8959" spans="7:7" x14ac:dyDescent="0.25">
      <c r="G8959" s="21"/>
    </row>
    <row r="8960" spans="7:7" x14ac:dyDescent="0.25">
      <c r="G8960" s="21"/>
    </row>
    <row r="8961" spans="7:7" x14ac:dyDescent="0.25">
      <c r="G8961" s="21"/>
    </row>
    <row r="8962" spans="7:7" x14ac:dyDescent="0.25">
      <c r="G8962" s="21"/>
    </row>
    <row r="8963" spans="7:7" x14ac:dyDescent="0.25">
      <c r="G8963" s="21"/>
    </row>
    <row r="8964" spans="7:7" x14ac:dyDescent="0.25">
      <c r="G8964" s="21"/>
    </row>
    <row r="8965" spans="7:7" x14ac:dyDescent="0.25">
      <c r="G8965" s="21"/>
    </row>
    <row r="8966" spans="7:7" x14ac:dyDescent="0.25">
      <c r="G8966" s="21"/>
    </row>
    <row r="8967" spans="7:7" x14ac:dyDescent="0.25">
      <c r="G8967" s="21"/>
    </row>
    <row r="8968" spans="7:7" x14ac:dyDescent="0.25">
      <c r="G8968" s="21"/>
    </row>
    <row r="8969" spans="7:7" x14ac:dyDescent="0.25">
      <c r="G8969" s="21"/>
    </row>
    <row r="8970" spans="7:7" x14ac:dyDescent="0.25">
      <c r="G8970" s="21"/>
    </row>
    <row r="8971" spans="7:7" x14ac:dyDescent="0.25">
      <c r="G8971" s="21"/>
    </row>
    <row r="8972" spans="7:7" x14ac:dyDescent="0.25">
      <c r="G8972" s="21"/>
    </row>
    <row r="8973" spans="7:7" x14ac:dyDescent="0.25">
      <c r="G8973" s="21"/>
    </row>
    <row r="8974" spans="7:7" x14ac:dyDescent="0.25">
      <c r="G8974" s="21"/>
    </row>
    <row r="8975" spans="7:7" x14ac:dyDescent="0.25">
      <c r="G8975" s="21"/>
    </row>
    <row r="8976" spans="7:7" x14ac:dyDescent="0.25">
      <c r="G8976" s="21"/>
    </row>
    <row r="8977" spans="7:7" x14ac:dyDescent="0.25">
      <c r="G8977" s="21"/>
    </row>
    <row r="8978" spans="7:7" x14ac:dyDescent="0.25">
      <c r="G8978" s="21"/>
    </row>
    <row r="8979" spans="7:7" x14ac:dyDescent="0.25">
      <c r="G8979" s="21"/>
    </row>
    <row r="8980" spans="7:7" x14ac:dyDescent="0.25">
      <c r="G8980" s="21"/>
    </row>
    <row r="8981" spans="7:7" x14ac:dyDescent="0.25">
      <c r="G8981" s="21"/>
    </row>
    <row r="8982" spans="7:7" x14ac:dyDescent="0.25">
      <c r="G8982" s="21"/>
    </row>
    <row r="8983" spans="7:7" x14ac:dyDescent="0.25">
      <c r="G8983" s="21"/>
    </row>
    <row r="8984" spans="7:7" x14ac:dyDescent="0.25">
      <c r="G8984" s="21"/>
    </row>
    <row r="8985" spans="7:7" x14ac:dyDescent="0.25">
      <c r="G8985" s="21"/>
    </row>
    <row r="8986" spans="7:7" x14ac:dyDescent="0.25">
      <c r="G8986" s="21"/>
    </row>
    <row r="8987" spans="7:7" x14ac:dyDescent="0.25">
      <c r="G8987" s="21"/>
    </row>
    <row r="8988" spans="7:7" x14ac:dyDescent="0.25">
      <c r="G8988" s="21"/>
    </row>
    <row r="8989" spans="7:7" x14ac:dyDescent="0.25">
      <c r="G8989" s="21"/>
    </row>
    <row r="8990" spans="7:7" x14ac:dyDescent="0.25">
      <c r="G8990" s="21"/>
    </row>
    <row r="8991" spans="7:7" x14ac:dyDescent="0.25">
      <c r="G8991" s="21"/>
    </row>
    <row r="8992" spans="7:7" x14ac:dyDescent="0.25">
      <c r="G8992" s="21"/>
    </row>
    <row r="8993" spans="7:7" x14ac:dyDescent="0.25">
      <c r="G8993" s="21"/>
    </row>
    <row r="8994" spans="7:7" x14ac:dyDescent="0.25">
      <c r="G8994" s="21"/>
    </row>
    <row r="8995" spans="7:7" x14ac:dyDescent="0.25">
      <c r="G8995" s="21"/>
    </row>
    <row r="8996" spans="7:7" x14ac:dyDescent="0.25">
      <c r="G8996" s="21"/>
    </row>
    <row r="8997" spans="7:7" x14ac:dyDescent="0.25">
      <c r="G8997" s="21"/>
    </row>
    <row r="8998" spans="7:7" x14ac:dyDescent="0.25">
      <c r="G8998" s="21"/>
    </row>
    <row r="8999" spans="7:7" x14ac:dyDescent="0.25">
      <c r="G8999" s="21"/>
    </row>
    <row r="9000" spans="7:7" x14ac:dyDescent="0.25">
      <c r="G9000" s="21"/>
    </row>
    <row r="9001" spans="7:7" x14ac:dyDescent="0.25">
      <c r="G9001" s="21"/>
    </row>
    <row r="9002" spans="7:7" x14ac:dyDescent="0.25">
      <c r="G9002" s="21"/>
    </row>
    <row r="9003" spans="7:7" x14ac:dyDescent="0.25">
      <c r="G9003" s="21"/>
    </row>
    <row r="9004" spans="7:7" x14ac:dyDescent="0.25">
      <c r="G9004" s="21"/>
    </row>
    <row r="9005" spans="7:7" x14ac:dyDescent="0.25">
      <c r="G9005" s="21"/>
    </row>
    <row r="9006" spans="7:7" x14ac:dyDescent="0.25">
      <c r="G9006" s="21"/>
    </row>
    <row r="9007" spans="7:7" x14ac:dyDescent="0.25">
      <c r="G9007" s="21"/>
    </row>
    <row r="9008" spans="7:7" x14ac:dyDescent="0.25">
      <c r="G9008" s="21"/>
    </row>
    <row r="9009" spans="7:7" x14ac:dyDescent="0.25">
      <c r="G9009" s="21"/>
    </row>
    <row r="9010" spans="7:7" x14ac:dyDescent="0.25">
      <c r="G9010" s="21"/>
    </row>
    <row r="9011" spans="7:7" x14ac:dyDescent="0.25">
      <c r="G9011" s="21"/>
    </row>
    <row r="9012" spans="7:7" x14ac:dyDescent="0.25">
      <c r="G9012" s="21"/>
    </row>
    <row r="9013" spans="7:7" x14ac:dyDescent="0.25">
      <c r="G9013" s="21"/>
    </row>
    <row r="9014" spans="7:7" x14ac:dyDescent="0.25">
      <c r="G9014" s="21"/>
    </row>
    <row r="9015" spans="7:7" x14ac:dyDescent="0.25">
      <c r="G9015" s="21"/>
    </row>
    <row r="9016" spans="7:7" x14ac:dyDescent="0.25">
      <c r="G9016" s="21"/>
    </row>
    <row r="9017" spans="7:7" x14ac:dyDescent="0.25">
      <c r="G9017" s="21"/>
    </row>
    <row r="9018" spans="7:7" x14ac:dyDescent="0.25">
      <c r="G9018" s="21"/>
    </row>
    <row r="9019" spans="7:7" x14ac:dyDescent="0.25">
      <c r="G9019" s="21"/>
    </row>
    <row r="9020" spans="7:7" x14ac:dyDescent="0.25">
      <c r="G9020" s="21"/>
    </row>
    <row r="9021" spans="7:7" x14ac:dyDescent="0.25">
      <c r="G9021" s="21"/>
    </row>
    <row r="9022" spans="7:7" x14ac:dyDescent="0.25">
      <c r="G9022" s="21"/>
    </row>
    <row r="9023" spans="7:7" x14ac:dyDescent="0.25">
      <c r="G9023" s="21"/>
    </row>
    <row r="9024" spans="7:7" x14ac:dyDescent="0.25">
      <c r="G9024" s="21"/>
    </row>
    <row r="9025" spans="7:7" x14ac:dyDescent="0.25">
      <c r="G9025" s="21"/>
    </row>
    <row r="9026" spans="7:7" x14ac:dyDescent="0.25">
      <c r="G9026" s="21"/>
    </row>
    <row r="9027" spans="7:7" x14ac:dyDescent="0.25">
      <c r="G9027" s="21"/>
    </row>
    <row r="9028" spans="7:7" x14ac:dyDescent="0.25">
      <c r="G9028" s="21"/>
    </row>
    <row r="9029" spans="7:7" x14ac:dyDescent="0.25">
      <c r="G9029" s="21"/>
    </row>
    <row r="9030" spans="7:7" x14ac:dyDescent="0.25">
      <c r="G9030" s="21"/>
    </row>
    <row r="9031" spans="7:7" x14ac:dyDescent="0.25">
      <c r="G9031" s="21"/>
    </row>
    <row r="9032" spans="7:7" x14ac:dyDescent="0.25">
      <c r="G9032" s="21"/>
    </row>
    <row r="9033" spans="7:7" x14ac:dyDescent="0.25">
      <c r="G9033" s="21"/>
    </row>
    <row r="9034" spans="7:7" x14ac:dyDescent="0.25">
      <c r="G9034" s="21"/>
    </row>
    <row r="9035" spans="7:7" x14ac:dyDescent="0.25">
      <c r="G9035" s="21"/>
    </row>
    <row r="9036" spans="7:7" x14ac:dyDescent="0.25">
      <c r="G9036" s="21"/>
    </row>
    <row r="9037" spans="7:7" x14ac:dyDescent="0.25">
      <c r="G9037" s="21"/>
    </row>
    <row r="9038" spans="7:7" x14ac:dyDescent="0.25">
      <c r="G9038" s="21"/>
    </row>
    <row r="9039" spans="7:7" x14ac:dyDescent="0.25">
      <c r="G9039" s="21"/>
    </row>
    <row r="9040" spans="7:7" x14ac:dyDescent="0.25">
      <c r="G9040" s="21"/>
    </row>
    <row r="9041" spans="7:7" x14ac:dyDescent="0.25">
      <c r="G9041" s="21"/>
    </row>
    <row r="9042" spans="7:7" x14ac:dyDescent="0.25">
      <c r="G9042" s="21"/>
    </row>
    <row r="9043" spans="7:7" x14ac:dyDescent="0.25">
      <c r="G9043" s="21"/>
    </row>
    <row r="9044" spans="7:7" x14ac:dyDescent="0.25">
      <c r="G9044" s="21"/>
    </row>
    <row r="9045" spans="7:7" x14ac:dyDescent="0.25">
      <c r="G9045" s="21"/>
    </row>
    <row r="9046" spans="7:7" x14ac:dyDescent="0.25">
      <c r="G9046" s="21"/>
    </row>
    <row r="9047" spans="7:7" x14ac:dyDescent="0.25">
      <c r="G9047" s="21"/>
    </row>
    <row r="9048" spans="7:7" x14ac:dyDescent="0.25">
      <c r="G9048" s="21"/>
    </row>
    <row r="9049" spans="7:7" x14ac:dyDescent="0.25">
      <c r="G9049" s="21"/>
    </row>
    <row r="9050" spans="7:7" x14ac:dyDescent="0.25">
      <c r="G9050" s="21"/>
    </row>
    <row r="9051" spans="7:7" x14ac:dyDescent="0.25">
      <c r="G9051" s="21"/>
    </row>
    <row r="9052" spans="7:7" x14ac:dyDescent="0.25">
      <c r="G9052" s="21"/>
    </row>
    <row r="9053" spans="7:7" x14ac:dyDescent="0.25">
      <c r="G9053" s="21"/>
    </row>
    <row r="9054" spans="7:7" x14ac:dyDescent="0.25">
      <c r="G9054" s="21"/>
    </row>
    <row r="9055" spans="7:7" x14ac:dyDescent="0.25">
      <c r="G9055" s="21"/>
    </row>
    <row r="9056" spans="7:7" x14ac:dyDescent="0.25">
      <c r="G9056" s="21"/>
    </row>
    <row r="9057" spans="7:7" x14ac:dyDescent="0.25">
      <c r="G9057" s="21"/>
    </row>
    <row r="9058" spans="7:7" x14ac:dyDescent="0.25">
      <c r="G9058" s="21"/>
    </row>
    <row r="9059" spans="7:7" x14ac:dyDescent="0.25">
      <c r="G9059" s="21"/>
    </row>
    <row r="9060" spans="7:7" x14ac:dyDescent="0.25">
      <c r="G9060" s="21"/>
    </row>
    <row r="9061" spans="7:7" x14ac:dyDescent="0.25">
      <c r="G9061" s="21"/>
    </row>
    <row r="9062" spans="7:7" x14ac:dyDescent="0.25">
      <c r="G9062" s="21"/>
    </row>
    <row r="9063" spans="7:7" x14ac:dyDescent="0.25">
      <c r="G9063" s="21"/>
    </row>
    <row r="9064" spans="7:7" x14ac:dyDescent="0.25">
      <c r="G9064" s="21"/>
    </row>
    <row r="9065" spans="7:7" x14ac:dyDescent="0.25">
      <c r="G9065" s="21"/>
    </row>
    <row r="9066" spans="7:7" x14ac:dyDescent="0.25">
      <c r="G9066" s="21"/>
    </row>
    <row r="9067" spans="7:7" x14ac:dyDescent="0.25">
      <c r="G9067" s="21"/>
    </row>
    <row r="9068" spans="7:7" x14ac:dyDescent="0.25">
      <c r="G9068" s="21"/>
    </row>
    <row r="9069" spans="7:7" x14ac:dyDescent="0.25">
      <c r="G9069" s="21"/>
    </row>
    <row r="9070" spans="7:7" x14ac:dyDescent="0.25">
      <c r="G9070" s="21"/>
    </row>
    <row r="9071" spans="7:7" x14ac:dyDescent="0.25">
      <c r="G9071" s="21"/>
    </row>
    <row r="9072" spans="7:7" x14ac:dyDescent="0.25">
      <c r="G9072" s="21"/>
    </row>
    <row r="9073" spans="7:7" x14ac:dyDescent="0.25">
      <c r="G9073" s="21"/>
    </row>
    <row r="9074" spans="7:7" x14ac:dyDescent="0.25">
      <c r="G9074" s="21"/>
    </row>
    <row r="9075" spans="7:7" x14ac:dyDescent="0.25">
      <c r="G9075" s="21"/>
    </row>
    <row r="9076" spans="7:7" x14ac:dyDescent="0.25">
      <c r="G9076" s="21"/>
    </row>
    <row r="9077" spans="7:7" x14ac:dyDescent="0.25">
      <c r="G9077" s="21"/>
    </row>
    <row r="9078" spans="7:7" x14ac:dyDescent="0.25">
      <c r="G9078" s="21"/>
    </row>
    <row r="9079" spans="7:7" x14ac:dyDescent="0.25">
      <c r="G9079" s="21"/>
    </row>
    <row r="9080" spans="7:7" x14ac:dyDescent="0.25">
      <c r="G9080" s="21"/>
    </row>
    <row r="9081" spans="7:7" x14ac:dyDescent="0.25">
      <c r="G9081" s="21"/>
    </row>
    <row r="9082" spans="7:7" x14ac:dyDescent="0.25">
      <c r="G9082" s="21"/>
    </row>
    <row r="9083" spans="7:7" x14ac:dyDescent="0.25">
      <c r="G9083" s="21"/>
    </row>
    <row r="9084" spans="7:7" x14ac:dyDescent="0.25">
      <c r="G9084" s="21"/>
    </row>
    <row r="9085" spans="7:7" x14ac:dyDescent="0.25">
      <c r="G9085" s="21"/>
    </row>
    <row r="9086" spans="7:7" x14ac:dyDescent="0.25">
      <c r="G9086" s="21"/>
    </row>
    <row r="9087" spans="7:7" x14ac:dyDescent="0.25">
      <c r="G9087" s="21"/>
    </row>
    <row r="9088" spans="7:7" x14ac:dyDescent="0.25">
      <c r="G9088" s="21"/>
    </row>
    <row r="9089" spans="7:7" x14ac:dyDescent="0.25">
      <c r="G9089" s="21"/>
    </row>
    <row r="9090" spans="7:7" x14ac:dyDescent="0.25">
      <c r="G9090" s="21"/>
    </row>
    <row r="9091" spans="7:7" x14ac:dyDescent="0.25">
      <c r="G9091" s="21"/>
    </row>
    <row r="9092" spans="7:7" x14ac:dyDescent="0.25">
      <c r="G9092" s="21"/>
    </row>
    <row r="9093" spans="7:7" x14ac:dyDescent="0.25">
      <c r="G9093" s="21"/>
    </row>
    <row r="9094" spans="7:7" x14ac:dyDescent="0.25">
      <c r="G9094" s="21"/>
    </row>
    <row r="9095" spans="7:7" x14ac:dyDescent="0.25">
      <c r="G9095" s="21"/>
    </row>
    <row r="9096" spans="7:7" x14ac:dyDescent="0.25">
      <c r="G9096" s="21"/>
    </row>
    <row r="9097" spans="7:7" x14ac:dyDescent="0.25">
      <c r="G9097" s="21"/>
    </row>
    <row r="9098" spans="7:7" x14ac:dyDescent="0.25">
      <c r="G9098" s="21"/>
    </row>
    <row r="9099" spans="7:7" x14ac:dyDescent="0.25">
      <c r="G9099" s="21"/>
    </row>
    <row r="9100" spans="7:7" x14ac:dyDescent="0.25">
      <c r="G9100" s="21"/>
    </row>
    <row r="9101" spans="7:7" x14ac:dyDescent="0.25">
      <c r="G9101" s="21"/>
    </row>
    <row r="9102" spans="7:7" x14ac:dyDescent="0.25">
      <c r="G9102" s="21"/>
    </row>
    <row r="9103" spans="7:7" x14ac:dyDescent="0.25">
      <c r="G9103" s="21"/>
    </row>
    <row r="9104" spans="7:7" x14ac:dyDescent="0.25">
      <c r="G9104" s="21"/>
    </row>
    <row r="9105" spans="7:7" x14ac:dyDescent="0.25">
      <c r="G9105" s="21"/>
    </row>
    <row r="9106" spans="7:7" x14ac:dyDescent="0.25">
      <c r="G9106" s="21"/>
    </row>
    <row r="9107" spans="7:7" x14ac:dyDescent="0.25">
      <c r="G9107" s="21"/>
    </row>
    <row r="9108" spans="7:7" x14ac:dyDescent="0.25">
      <c r="G9108" s="21"/>
    </row>
    <row r="9109" spans="7:7" x14ac:dyDescent="0.25">
      <c r="G9109" s="21"/>
    </row>
    <row r="9110" spans="7:7" x14ac:dyDescent="0.25">
      <c r="G9110" s="21"/>
    </row>
    <row r="9111" spans="7:7" x14ac:dyDescent="0.25">
      <c r="G9111" s="21"/>
    </row>
    <row r="9112" spans="7:7" x14ac:dyDescent="0.25">
      <c r="G9112" s="21"/>
    </row>
    <row r="9113" spans="7:7" x14ac:dyDescent="0.25">
      <c r="G9113" s="21"/>
    </row>
    <row r="9114" spans="7:7" x14ac:dyDescent="0.25">
      <c r="G9114" s="21"/>
    </row>
    <row r="9115" spans="7:7" x14ac:dyDescent="0.25">
      <c r="G9115" s="21"/>
    </row>
    <row r="9116" spans="7:7" x14ac:dyDescent="0.25">
      <c r="G9116" s="21"/>
    </row>
    <row r="9117" spans="7:7" x14ac:dyDescent="0.25">
      <c r="G9117" s="21"/>
    </row>
    <row r="9118" spans="7:7" x14ac:dyDescent="0.25">
      <c r="G9118" s="21"/>
    </row>
    <row r="9119" spans="7:7" x14ac:dyDescent="0.25">
      <c r="G9119" s="21"/>
    </row>
    <row r="9120" spans="7:7" x14ac:dyDescent="0.25">
      <c r="G9120" s="21"/>
    </row>
    <row r="9121" spans="7:7" x14ac:dyDescent="0.25">
      <c r="G9121" s="21"/>
    </row>
    <row r="9122" spans="7:7" x14ac:dyDescent="0.25">
      <c r="G9122" s="21"/>
    </row>
    <row r="9123" spans="7:7" x14ac:dyDescent="0.25">
      <c r="G9123" s="21"/>
    </row>
    <row r="9124" spans="7:7" x14ac:dyDescent="0.25">
      <c r="G9124" s="21"/>
    </row>
    <row r="9125" spans="7:7" x14ac:dyDescent="0.25">
      <c r="G9125" s="21"/>
    </row>
    <row r="9126" spans="7:7" x14ac:dyDescent="0.25">
      <c r="G9126" s="21"/>
    </row>
    <row r="9127" spans="7:7" x14ac:dyDescent="0.25">
      <c r="G9127" s="21"/>
    </row>
    <row r="9128" spans="7:7" x14ac:dyDescent="0.25">
      <c r="G9128" s="21"/>
    </row>
    <row r="9129" spans="7:7" x14ac:dyDescent="0.25">
      <c r="G9129" s="21"/>
    </row>
    <row r="9130" spans="7:7" x14ac:dyDescent="0.25">
      <c r="G9130" s="21"/>
    </row>
    <row r="9131" spans="7:7" x14ac:dyDescent="0.25">
      <c r="G9131" s="21"/>
    </row>
    <row r="9132" spans="7:7" x14ac:dyDescent="0.25">
      <c r="G9132" s="21"/>
    </row>
    <row r="9133" spans="7:7" x14ac:dyDescent="0.25">
      <c r="G9133" s="21"/>
    </row>
    <row r="9134" spans="7:7" x14ac:dyDescent="0.25">
      <c r="G9134" s="21"/>
    </row>
    <row r="9135" spans="7:7" x14ac:dyDescent="0.25">
      <c r="G9135" s="21"/>
    </row>
    <row r="9136" spans="7:7" x14ac:dyDescent="0.25">
      <c r="G9136" s="21"/>
    </row>
    <row r="9137" spans="7:7" x14ac:dyDescent="0.25">
      <c r="G9137" s="21"/>
    </row>
    <row r="9138" spans="7:7" x14ac:dyDescent="0.25">
      <c r="G9138" s="21"/>
    </row>
    <row r="9139" spans="7:7" x14ac:dyDescent="0.25">
      <c r="G9139" s="21"/>
    </row>
    <row r="9140" spans="7:7" x14ac:dyDescent="0.25">
      <c r="G9140" s="21"/>
    </row>
    <row r="9141" spans="7:7" x14ac:dyDescent="0.25">
      <c r="G9141" s="21"/>
    </row>
    <row r="9142" spans="7:7" x14ac:dyDescent="0.25">
      <c r="G9142" s="21"/>
    </row>
    <row r="9143" spans="7:7" x14ac:dyDescent="0.25">
      <c r="G9143" s="21"/>
    </row>
    <row r="9144" spans="7:7" x14ac:dyDescent="0.25">
      <c r="G9144" s="21"/>
    </row>
    <row r="9145" spans="7:7" x14ac:dyDescent="0.25">
      <c r="G9145" s="21"/>
    </row>
    <row r="9146" spans="7:7" x14ac:dyDescent="0.25">
      <c r="G9146" s="21"/>
    </row>
    <row r="9147" spans="7:7" x14ac:dyDescent="0.25">
      <c r="G9147" s="21"/>
    </row>
    <row r="9148" spans="7:7" x14ac:dyDescent="0.25">
      <c r="G9148" s="21"/>
    </row>
    <row r="9149" spans="7:7" x14ac:dyDescent="0.25">
      <c r="G9149" s="21"/>
    </row>
    <row r="9150" spans="7:7" x14ac:dyDescent="0.25">
      <c r="G9150" s="21"/>
    </row>
    <row r="9151" spans="7:7" x14ac:dyDescent="0.25">
      <c r="G9151" s="21"/>
    </row>
    <row r="9152" spans="7:7" x14ac:dyDescent="0.25">
      <c r="G9152" s="21"/>
    </row>
    <row r="9153" spans="7:7" x14ac:dyDescent="0.25">
      <c r="G9153" s="21"/>
    </row>
    <row r="9154" spans="7:7" x14ac:dyDescent="0.25">
      <c r="G9154" s="21"/>
    </row>
    <row r="9155" spans="7:7" x14ac:dyDescent="0.25">
      <c r="G9155" s="21"/>
    </row>
    <row r="9156" spans="7:7" x14ac:dyDescent="0.25">
      <c r="G9156" s="21"/>
    </row>
    <row r="9157" spans="7:7" x14ac:dyDescent="0.25">
      <c r="G9157" s="21"/>
    </row>
    <row r="9158" spans="7:7" x14ac:dyDescent="0.25">
      <c r="G9158" s="21"/>
    </row>
    <row r="9159" spans="7:7" x14ac:dyDescent="0.25">
      <c r="G9159" s="21"/>
    </row>
    <row r="9160" spans="7:7" x14ac:dyDescent="0.25">
      <c r="G9160" s="21"/>
    </row>
    <row r="9161" spans="7:7" x14ac:dyDescent="0.25">
      <c r="G9161" s="21"/>
    </row>
    <row r="9162" spans="7:7" x14ac:dyDescent="0.25">
      <c r="G9162" s="21"/>
    </row>
    <row r="9163" spans="7:7" x14ac:dyDescent="0.25">
      <c r="G9163" s="21"/>
    </row>
    <row r="9164" spans="7:7" x14ac:dyDescent="0.25">
      <c r="G9164" s="21"/>
    </row>
    <row r="9165" spans="7:7" x14ac:dyDescent="0.25">
      <c r="G9165" s="21"/>
    </row>
    <row r="9166" spans="7:7" x14ac:dyDescent="0.25">
      <c r="G9166" s="21"/>
    </row>
    <row r="9167" spans="7:7" x14ac:dyDescent="0.25">
      <c r="G9167" s="21"/>
    </row>
    <row r="9168" spans="7:7" x14ac:dyDescent="0.25">
      <c r="G9168" s="21"/>
    </row>
    <row r="9169" spans="7:7" x14ac:dyDescent="0.25">
      <c r="G9169" s="21"/>
    </row>
    <row r="9170" spans="7:7" x14ac:dyDescent="0.25">
      <c r="G9170" s="21"/>
    </row>
    <row r="9171" spans="7:7" x14ac:dyDescent="0.25">
      <c r="G9171" s="21"/>
    </row>
    <row r="9172" spans="7:7" x14ac:dyDescent="0.25">
      <c r="G9172" s="21"/>
    </row>
    <row r="9173" spans="7:7" x14ac:dyDescent="0.25">
      <c r="G9173" s="21"/>
    </row>
    <row r="9174" spans="7:7" x14ac:dyDescent="0.25">
      <c r="G9174" s="21"/>
    </row>
    <row r="9175" spans="7:7" x14ac:dyDescent="0.25">
      <c r="G9175" s="21"/>
    </row>
    <row r="9176" spans="7:7" x14ac:dyDescent="0.25">
      <c r="G9176" s="21"/>
    </row>
    <row r="9177" spans="7:7" x14ac:dyDescent="0.25">
      <c r="G9177" s="21"/>
    </row>
    <row r="9178" spans="7:7" x14ac:dyDescent="0.25">
      <c r="G9178" s="21"/>
    </row>
    <row r="9179" spans="7:7" x14ac:dyDescent="0.25">
      <c r="G9179" s="21"/>
    </row>
    <row r="9180" spans="7:7" x14ac:dyDescent="0.25">
      <c r="G9180" s="21"/>
    </row>
    <row r="9181" spans="7:7" x14ac:dyDescent="0.25">
      <c r="G9181" s="21"/>
    </row>
    <row r="9182" spans="7:7" x14ac:dyDescent="0.25">
      <c r="G9182" s="21"/>
    </row>
    <row r="9183" spans="7:7" x14ac:dyDescent="0.25">
      <c r="G9183" s="21"/>
    </row>
    <row r="9184" spans="7:7" x14ac:dyDescent="0.25">
      <c r="G9184" s="21"/>
    </row>
    <row r="9185" spans="7:7" x14ac:dyDescent="0.25">
      <c r="G9185" s="21"/>
    </row>
    <row r="9186" spans="7:7" x14ac:dyDescent="0.25">
      <c r="G9186" s="21"/>
    </row>
    <row r="9187" spans="7:7" x14ac:dyDescent="0.25">
      <c r="G9187" s="21"/>
    </row>
    <row r="9188" spans="7:7" x14ac:dyDescent="0.25">
      <c r="G9188" s="21"/>
    </row>
    <row r="9189" spans="7:7" x14ac:dyDescent="0.25">
      <c r="G9189" s="21"/>
    </row>
    <row r="9190" spans="7:7" x14ac:dyDescent="0.25">
      <c r="G9190" s="21"/>
    </row>
    <row r="9191" spans="7:7" x14ac:dyDescent="0.25">
      <c r="G9191" s="21"/>
    </row>
    <row r="9192" spans="7:7" x14ac:dyDescent="0.25">
      <c r="G9192" s="21"/>
    </row>
    <row r="9193" spans="7:7" x14ac:dyDescent="0.25">
      <c r="G9193" s="21"/>
    </row>
    <row r="9194" spans="7:7" x14ac:dyDescent="0.25">
      <c r="G9194" s="21"/>
    </row>
    <row r="9195" spans="7:7" x14ac:dyDescent="0.25">
      <c r="G9195" s="21"/>
    </row>
    <row r="9196" spans="7:7" x14ac:dyDescent="0.25">
      <c r="G9196" s="21"/>
    </row>
    <row r="9197" spans="7:7" x14ac:dyDescent="0.25">
      <c r="G9197" s="21"/>
    </row>
    <row r="9198" spans="7:7" x14ac:dyDescent="0.25">
      <c r="G9198" s="21"/>
    </row>
    <row r="9199" spans="7:7" x14ac:dyDescent="0.25">
      <c r="G9199" s="21"/>
    </row>
    <row r="9200" spans="7:7" x14ac:dyDescent="0.25">
      <c r="G9200" s="21"/>
    </row>
    <row r="9201" spans="7:7" x14ac:dyDescent="0.25">
      <c r="G9201" s="21"/>
    </row>
    <row r="9202" spans="7:7" x14ac:dyDescent="0.25">
      <c r="G9202" s="21"/>
    </row>
    <row r="9203" spans="7:7" x14ac:dyDescent="0.25">
      <c r="G9203" s="21"/>
    </row>
    <row r="9204" spans="7:7" x14ac:dyDescent="0.25">
      <c r="G9204" s="21"/>
    </row>
    <row r="9205" spans="7:7" x14ac:dyDescent="0.25">
      <c r="G9205" s="21"/>
    </row>
    <row r="9206" spans="7:7" x14ac:dyDescent="0.25">
      <c r="G9206" s="21"/>
    </row>
    <row r="9207" spans="7:7" x14ac:dyDescent="0.25">
      <c r="G9207" s="21"/>
    </row>
    <row r="9208" spans="7:7" x14ac:dyDescent="0.25">
      <c r="G9208" s="21"/>
    </row>
    <row r="9209" spans="7:7" x14ac:dyDescent="0.25">
      <c r="G9209" s="21"/>
    </row>
    <row r="9210" spans="7:7" x14ac:dyDescent="0.25">
      <c r="G9210" s="21"/>
    </row>
    <row r="9211" spans="7:7" x14ac:dyDescent="0.25">
      <c r="G9211" s="21"/>
    </row>
    <row r="9212" spans="7:7" x14ac:dyDescent="0.25">
      <c r="G9212" s="21"/>
    </row>
    <row r="9213" spans="7:7" x14ac:dyDescent="0.25">
      <c r="G9213" s="21"/>
    </row>
    <row r="9214" spans="7:7" x14ac:dyDescent="0.25">
      <c r="G9214" s="21"/>
    </row>
    <row r="9215" spans="7:7" x14ac:dyDescent="0.25">
      <c r="G9215" s="21"/>
    </row>
    <row r="9216" spans="7:7" x14ac:dyDescent="0.25">
      <c r="G9216" s="21"/>
    </row>
    <row r="9217" spans="7:7" x14ac:dyDescent="0.25">
      <c r="G9217" s="21"/>
    </row>
    <row r="9218" spans="7:7" x14ac:dyDescent="0.25">
      <c r="G9218" s="21"/>
    </row>
    <row r="9219" spans="7:7" x14ac:dyDescent="0.25">
      <c r="G9219" s="21"/>
    </row>
    <row r="9220" spans="7:7" x14ac:dyDescent="0.25">
      <c r="G9220" s="21"/>
    </row>
    <row r="9221" spans="7:7" x14ac:dyDescent="0.25">
      <c r="G9221" s="21"/>
    </row>
    <row r="9222" spans="7:7" x14ac:dyDescent="0.25">
      <c r="G9222" s="21"/>
    </row>
    <row r="9223" spans="7:7" x14ac:dyDescent="0.25">
      <c r="G9223" s="21"/>
    </row>
    <row r="9224" spans="7:7" x14ac:dyDescent="0.25">
      <c r="G9224" s="21"/>
    </row>
    <row r="9225" spans="7:7" x14ac:dyDescent="0.25">
      <c r="G9225" s="21"/>
    </row>
    <row r="9226" spans="7:7" x14ac:dyDescent="0.25">
      <c r="G9226" s="21"/>
    </row>
    <row r="9227" spans="7:7" x14ac:dyDescent="0.25">
      <c r="G9227" s="21"/>
    </row>
    <row r="9228" spans="7:7" x14ac:dyDescent="0.25">
      <c r="G9228" s="21"/>
    </row>
    <row r="9229" spans="7:7" x14ac:dyDescent="0.25">
      <c r="G9229" s="21"/>
    </row>
    <row r="9230" spans="7:7" x14ac:dyDescent="0.25">
      <c r="G9230" s="21"/>
    </row>
    <row r="9231" spans="7:7" x14ac:dyDescent="0.25">
      <c r="G9231" s="21"/>
    </row>
    <row r="9232" spans="7:7" x14ac:dyDescent="0.25">
      <c r="G9232" s="21"/>
    </row>
    <row r="9233" spans="7:7" x14ac:dyDescent="0.25">
      <c r="G9233" s="21"/>
    </row>
    <row r="9234" spans="7:7" x14ac:dyDescent="0.25">
      <c r="G9234" s="21"/>
    </row>
    <row r="9235" spans="7:7" x14ac:dyDescent="0.25">
      <c r="G9235" s="21"/>
    </row>
    <row r="9236" spans="7:7" x14ac:dyDescent="0.25">
      <c r="G9236" s="21"/>
    </row>
    <row r="9237" spans="7:7" x14ac:dyDescent="0.25">
      <c r="G9237" s="21"/>
    </row>
    <row r="9238" spans="7:7" x14ac:dyDescent="0.25">
      <c r="G9238" s="21"/>
    </row>
    <row r="9239" spans="7:7" x14ac:dyDescent="0.25">
      <c r="G9239" s="21"/>
    </row>
    <row r="9240" spans="7:7" x14ac:dyDescent="0.25">
      <c r="G9240" s="21"/>
    </row>
    <row r="9241" spans="7:7" x14ac:dyDescent="0.25">
      <c r="G9241" s="21"/>
    </row>
    <row r="9242" spans="7:7" x14ac:dyDescent="0.25">
      <c r="G9242" s="21"/>
    </row>
    <row r="9243" spans="7:7" x14ac:dyDescent="0.25">
      <c r="G9243" s="21"/>
    </row>
    <row r="9244" spans="7:7" x14ac:dyDescent="0.25">
      <c r="G9244" s="21"/>
    </row>
    <row r="9245" spans="7:7" x14ac:dyDescent="0.25">
      <c r="G9245" s="21"/>
    </row>
    <row r="9246" spans="7:7" x14ac:dyDescent="0.25">
      <c r="G9246" s="21"/>
    </row>
    <row r="9247" spans="7:7" x14ac:dyDescent="0.25">
      <c r="G9247" s="21"/>
    </row>
    <row r="9248" spans="7:7" x14ac:dyDescent="0.25">
      <c r="G9248" s="21"/>
    </row>
    <row r="9249" spans="7:7" x14ac:dyDescent="0.25">
      <c r="G9249" s="21"/>
    </row>
    <row r="9250" spans="7:7" x14ac:dyDescent="0.25">
      <c r="G9250" s="21"/>
    </row>
    <row r="9251" spans="7:7" x14ac:dyDescent="0.25">
      <c r="G9251" s="21"/>
    </row>
    <row r="9252" spans="7:7" x14ac:dyDescent="0.25">
      <c r="G9252" s="21"/>
    </row>
    <row r="9253" spans="7:7" x14ac:dyDescent="0.25">
      <c r="G9253" s="21"/>
    </row>
    <row r="9254" spans="7:7" x14ac:dyDescent="0.25">
      <c r="G9254" s="21"/>
    </row>
    <row r="9255" spans="7:7" x14ac:dyDescent="0.25">
      <c r="G9255" s="21"/>
    </row>
    <row r="9256" spans="7:7" x14ac:dyDescent="0.25">
      <c r="G9256" s="21"/>
    </row>
    <row r="9257" spans="7:7" x14ac:dyDescent="0.25">
      <c r="G9257" s="21"/>
    </row>
    <row r="9258" spans="7:7" x14ac:dyDescent="0.25">
      <c r="G9258" s="21"/>
    </row>
    <row r="9259" spans="7:7" x14ac:dyDescent="0.25">
      <c r="G9259" s="21"/>
    </row>
    <row r="9260" spans="7:7" x14ac:dyDescent="0.25">
      <c r="G9260" s="21"/>
    </row>
    <row r="9261" spans="7:7" x14ac:dyDescent="0.25">
      <c r="G9261" s="21"/>
    </row>
    <row r="9262" spans="7:7" x14ac:dyDescent="0.25">
      <c r="G9262" s="21"/>
    </row>
    <row r="9263" spans="7:7" x14ac:dyDescent="0.25">
      <c r="G9263" s="21"/>
    </row>
    <row r="9264" spans="7:7" x14ac:dyDescent="0.25">
      <c r="G9264" s="21"/>
    </row>
    <row r="9265" spans="7:7" x14ac:dyDescent="0.25">
      <c r="G9265" s="21"/>
    </row>
    <row r="9266" spans="7:7" x14ac:dyDescent="0.25">
      <c r="G9266" s="21"/>
    </row>
    <row r="9267" spans="7:7" x14ac:dyDescent="0.25">
      <c r="G9267" s="21"/>
    </row>
    <row r="9268" spans="7:7" x14ac:dyDescent="0.25">
      <c r="G9268" s="21"/>
    </row>
    <row r="9269" spans="7:7" x14ac:dyDescent="0.25">
      <c r="G9269" s="21"/>
    </row>
    <row r="9270" spans="7:7" x14ac:dyDescent="0.25">
      <c r="G9270" s="21"/>
    </row>
    <row r="9271" spans="7:7" x14ac:dyDescent="0.25">
      <c r="G9271" s="21"/>
    </row>
    <row r="9272" spans="7:7" x14ac:dyDescent="0.25">
      <c r="G9272" s="21"/>
    </row>
    <row r="9273" spans="7:7" x14ac:dyDescent="0.25">
      <c r="G9273" s="21"/>
    </row>
    <row r="9274" spans="7:7" x14ac:dyDescent="0.25">
      <c r="G9274" s="21"/>
    </row>
    <row r="9275" spans="7:7" x14ac:dyDescent="0.25">
      <c r="G9275" s="21"/>
    </row>
    <row r="9276" spans="7:7" x14ac:dyDescent="0.25">
      <c r="G9276" s="21"/>
    </row>
    <row r="9277" spans="7:7" x14ac:dyDescent="0.25">
      <c r="G9277" s="21"/>
    </row>
    <row r="9278" spans="7:7" x14ac:dyDescent="0.25">
      <c r="G9278" s="21"/>
    </row>
    <row r="9279" spans="7:7" x14ac:dyDescent="0.25">
      <c r="G9279" s="21"/>
    </row>
    <row r="9280" spans="7:7" x14ac:dyDescent="0.25">
      <c r="G9280" s="21"/>
    </row>
    <row r="9281" spans="7:7" x14ac:dyDescent="0.25">
      <c r="G9281" s="21"/>
    </row>
    <row r="9282" spans="7:7" x14ac:dyDescent="0.25">
      <c r="G9282" s="21"/>
    </row>
    <row r="9283" spans="7:7" x14ac:dyDescent="0.25">
      <c r="G9283" s="21"/>
    </row>
    <row r="9284" spans="7:7" x14ac:dyDescent="0.25">
      <c r="G9284" s="21"/>
    </row>
    <row r="9285" spans="7:7" x14ac:dyDescent="0.25">
      <c r="G9285" s="21"/>
    </row>
    <row r="9286" spans="7:7" x14ac:dyDescent="0.25">
      <c r="G9286" s="21"/>
    </row>
    <row r="9287" spans="7:7" x14ac:dyDescent="0.25">
      <c r="G9287" s="21"/>
    </row>
    <row r="9288" spans="7:7" x14ac:dyDescent="0.25">
      <c r="G9288" s="21"/>
    </row>
    <row r="9289" spans="7:7" x14ac:dyDescent="0.25">
      <c r="G9289" s="21"/>
    </row>
    <row r="9290" spans="7:7" x14ac:dyDescent="0.25">
      <c r="G9290" s="21"/>
    </row>
    <row r="9291" spans="7:7" x14ac:dyDescent="0.25">
      <c r="G9291" s="21"/>
    </row>
    <row r="9292" spans="7:7" x14ac:dyDescent="0.25">
      <c r="G9292" s="21"/>
    </row>
    <row r="9293" spans="7:7" x14ac:dyDescent="0.25">
      <c r="G9293" s="21"/>
    </row>
    <row r="9294" spans="7:7" x14ac:dyDescent="0.25">
      <c r="G9294" s="21"/>
    </row>
    <row r="9295" spans="7:7" x14ac:dyDescent="0.25">
      <c r="G9295" s="21"/>
    </row>
    <row r="9296" spans="7:7" x14ac:dyDescent="0.25">
      <c r="G9296" s="21"/>
    </row>
    <row r="9297" spans="7:7" x14ac:dyDescent="0.25">
      <c r="G9297" s="21"/>
    </row>
    <row r="9298" spans="7:7" x14ac:dyDescent="0.25">
      <c r="G9298" s="21"/>
    </row>
    <row r="9299" spans="7:7" x14ac:dyDescent="0.25">
      <c r="G9299" s="21"/>
    </row>
    <row r="9300" spans="7:7" x14ac:dyDescent="0.25">
      <c r="G9300" s="21"/>
    </row>
    <row r="9301" spans="7:7" x14ac:dyDescent="0.25">
      <c r="G9301" s="21"/>
    </row>
    <row r="9302" spans="7:7" x14ac:dyDescent="0.25">
      <c r="G9302" s="21"/>
    </row>
    <row r="9303" spans="7:7" x14ac:dyDescent="0.25">
      <c r="G9303" s="21"/>
    </row>
    <row r="9304" spans="7:7" x14ac:dyDescent="0.25">
      <c r="G9304" s="21"/>
    </row>
    <row r="9305" spans="7:7" x14ac:dyDescent="0.25">
      <c r="G9305" s="21"/>
    </row>
    <row r="9306" spans="7:7" x14ac:dyDescent="0.25">
      <c r="G9306" s="21"/>
    </row>
    <row r="9307" spans="7:7" x14ac:dyDescent="0.25">
      <c r="G9307" s="21"/>
    </row>
    <row r="9308" spans="7:7" x14ac:dyDescent="0.25">
      <c r="G9308" s="21"/>
    </row>
    <row r="9309" spans="7:7" x14ac:dyDescent="0.25">
      <c r="G9309" s="21"/>
    </row>
    <row r="9310" spans="7:7" x14ac:dyDescent="0.25">
      <c r="G9310" s="21"/>
    </row>
    <row r="9311" spans="7:7" x14ac:dyDescent="0.25">
      <c r="G9311" s="21"/>
    </row>
    <row r="9312" spans="7:7" x14ac:dyDescent="0.25">
      <c r="G9312" s="21"/>
    </row>
    <row r="9313" spans="7:7" x14ac:dyDescent="0.25">
      <c r="G9313" s="21"/>
    </row>
    <row r="9314" spans="7:7" x14ac:dyDescent="0.25">
      <c r="G9314" s="21"/>
    </row>
    <row r="9315" spans="7:7" x14ac:dyDescent="0.25">
      <c r="G9315" s="21"/>
    </row>
    <row r="9316" spans="7:7" x14ac:dyDescent="0.25">
      <c r="G9316" s="21"/>
    </row>
    <row r="9317" spans="7:7" x14ac:dyDescent="0.25">
      <c r="G9317" s="21"/>
    </row>
    <row r="9318" spans="7:7" x14ac:dyDescent="0.25">
      <c r="G9318" s="21"/>
    </row>
    <row r="9319" spans="7:7" x14ac:dyDescent="0.25">
      <c r="G9319" s="21"/>
    </row>
    <row r="9320" spans="7:7" x14ac:dyDescent="0.25">
      <c r="G9320" s="21"/>
    </row>
    <row r="9321" spans="7:7" x14ac:dyDescent="0.25">
      <c r="G9321" s="21"/>
    </row>
    <row r="9322" spans="7:7" x14ac:dyDescent="0.25">
      <c r="G9322" s="21"/>
    </row>
    <row r="9323" spans="7:7" x14ac:dyDescent="0.25">
      <c r="G9323" s="21"/>
    </row>
    <row r="9324" spans="7:7" x14ac:dyDescent="0.25">
      <c r="G9324" s="21"/>
    </row>
    <row r="9325" spans="7:7" x14ac:dyDescent="0.25">
      <c r="G9325" s="21"/>
    </row>
    <row r="9326" spans="7:7" x14ac:dyDescent="0.25">
      <c r="G9326" s="21"/>
    </row>
    <row r="9327" spans="7:7" x14ac:dyDescent="0.25">
      <c r="G9327" s="21"/>
    </row>
    <row r="9328" spans="7:7" x14ac:dyDescent="0.25">
      <c r="G9328" s="21"/>
    </row>
    <row r="9329" spans="7:7" x14ac:dyDescent="0.25">
      <c r="G9329" s="21"/>
    </row>
    <row r="9330" spans="7:7" x14ac:dyDescent="0.25">
      <c r="G9330" s="21"/>
    </row>
    <row r="9331" spans="7:7" x14ac:dyDescent="0.25">
      <c r="G9331" s="21"/>
    </row>
    <row r="9332" spans="7:7" x14ac:dyDescent="0.25">
      <c r="G9332" s="21"/>
    </row>
    <row r="9333" spans="7:7" x14ac:dyDescent="0.25">
      <c r="G9333" s="21"/>
    </row>
    <row r="9334" spans="7:7" x14ac:dyDescent="0.25">
      <c r="G9334" s="21"/>
    </row>
    <row r="9335" spans="7:7" x14ac:dyDescent="0.25">
      <c r="G9335" s="21"/>
    </row>
    <row r="9336" spans="7:7" x14ac:dyDescent="0.25">
      <c r="G9336" s="21"/>
    </row>
    <row r="9337" spans="7:7" x14ac:dyDescent="0.25">
      <c r="G9337" s="21"/>
    </row>
    <row r="9338" spans="7:7" x14ac:dyDescent="0.25">
      <c r="G9338" s="21"/>
    </row>
    <row r="9339" spans="7:7" x14ac:dyDescent="0.25">
      <c r="G9339" s="21"/>
    </row>
    <row r="9340" spans="7:7" x14ac:dyDescent="0.25">
      <c r="G9340" s="21"/>
    </row>
    <row r="9341" spans="7:7" x14ac:dyDescent="0.25">
      <c r="G9341" s="21"/>
    </row>
    <row r="9342" spans="7:7" x14ac:dyDescent="0.25">
      <c r="G9342" s="21"/>
    </row>
    <row r="9343" spans="7:7" x14ac:dyDescent="0.25">
      <c r="G9343" s="21"/>
    </row>
    <row r="9344" spans="7:7" x14ac:dyDescent="0.25">
      <c r="G9344" s="21"/>
    </row>
    <row r="9345" spans="7:7" x14ac:dyDescent="0.25">
      <c r="G9345" s="21"/>
    </row>
    <row r="9346" spans="7:7" x14ac:dyDescent="0.25">
      <c r="G9346" s="21"/>
    </row>
    <row r="9347" spans="7:7" x14ac:dyDescent="0.25">
      <c r="G9347" s="21"/>
    </row>
    <row r="9348" spans="7:7" x14ac:dyDescent="0.25">
      <c r="G9348" s="21"/>
    </row>
    <row r="9349" spans="7:7" x14ac:dyDescent="0.25">
      <c r="G9349" s="21"/>
    </row>
    <row r="9350" spans="7:7" x14ac:dyDescent="0.25">
      <c r="G9350" s="21"/>
    </row>
    <row r="9351" spans="7:7" x14ac:dyDescent="0.25">
      <c r="G9351" s="21"/>
    </row>
    <row r="9352" spans="7:7" x14ac:dyDescent="0.25">
      <c r="G9352" s="21"/>
    </row>
    <row r="9353" spans="7:7" x14ac:dyDescent="0.25">
      <c r="G9353" s="21"/>
    </row>
    <row r="9354" spans="7:7" x14ac:dyDescent="0.25">
      <c r="G9354" s="21"/>
    </row>
    <row r="9355" spans="7:7" x14ac:dyDescent="0.25">
      <c r="G9355" s="21"/>
    </row>
    <row r="9356" spans="7:7" x14ac:dyDescent="0.25">
      <c r="G9356" s="21"/>
    </row>
    <row r="9357" spans="7:7" x14ac:dyDescent="0.25">
      <c r="G9357" s="21"/>
    </row>
    <row r="9358" spans="7:7" x14ac:dyDescent="0.25">
      <c r="G9358" s="21"/>
    </row>
    <row r="9359" spans="7:7" x14ac:dyDescent="0.25">
      <c r="G9359" s="21"/>
    </row>
    <row r="9360" spans="7:7" x14ac:dyDescent="0.25">
      <c r="G9360" s="21"/>
    </row>
    <row r="9361" spans="7:7" x14ac:dyDescent="0.25">
      <c r="G9361" s="21"/>
    </row>
    <row r="9362" spans="7:7" x14ac:dyDescent="0.25">
      <c r="G9362" s="21"/>
    </row>
    <row r="9363" spans="7:7" x14ac:dyDescent="0.25">
      <c r="G9363" s="21"/>
    </row>
    <row r="9364" spans="7:7" x14ac:dyDescent="0.25">
      <c r="G9364" s="21"/>
    </row>
    <row r="9365" spans="7:7" x14ac:dyDescent="0.25">
      <c r="G9365" s="21"/>
    </row>
    <row r="9366" spans="7:7" x14ac:dyDescent="0.25">
      <c r="G9366" s="21"/>
    </row>
    <row r="9367" spans="7:7" x14ac:dyDescent="0.25">
      <c r="G9367" s="21"/>
    </row>
    <row r="9368" spans="7:7" x14ac:dyDescent="0.25">
      <c r="G9368" s="21"/>
    </row>
    <row r="9369" spans="7:7" x14ac:dyDescent="0.25">
      <c r="G9369" s="21"/>
    </row>
    <row r="9370" spans="7:7" x14ac:dyDescent="0.25">
      <c r="G9370" s="21"/>
    </row>
    <row r="9371" spans="7:7" x14ac:dyDescent="0.25">
      <c r="G9371" s="21"/>
    </row>
    <row r="9372" spans="7:7" x14ac:dyDescent="0.25">
      <c r="G9372" s="21"/>
    </row>
    <row r="9373" spans="7:7" x14ac:dyDescent="0.25">
      <c r="G9373" s="21"/>
    </row>
    <row r="9374" spans="7:7" x14ac:dyDescent="0.25">
      <c r="G9374" s="21"/>
    </row>
    <row r="9375" spans="7:7" x14ac:dyDescent="0.25">
      <c r="G9375" s="21"/>
    </row>
    <row r="9376" spans="7:7" x14ac:dyDescent="0.25">
      <c r="G9376" s="21"/>
    </row>
    <row r="9377" spans="7:7" x14ac:dyDescent="0.25">
      <c r="G9377" s="21"/>
    </row>
    <row r="9378" spans="7:7" x14ac:dyDescent="0.25">
      <c r="G9378" s="21"/>
    </row>
    <row r="9379" spans="7:7" x14ac:dyDescent="0.25">
      <c r="G9379" s="21"/>
    </row>
    <row r="9380" spans="7:7" x14ac:dyDescent="0.25">
      <c r="G9380" s="21"/>
    </row>
    <row r="9381" spans="7:7" x14ac:dyDescent="0.25">
      <c r="G9381" s="21"/>
    </row>
    <row r="9382" spans="7:7" x14ac:dyDescent="0.25">
      <c r="G9382" s="21"/>
    </row>
    <row r="9383" spans="7:7" x14ac:dyDescent="0.25">
      <c r="G9383" s="21"/>
    </row>
    <row r="9384" spans="7:7" x14ac:dyDescent="0.25">
      <c r="G9384" s="21"/>
    </row>
    <row r="9385" spans="7:7" x14ac:dyDescent="0.25">
      <c r="G9385" s="21"/>
    </row>
    <row r="9386" spans="7:7" x14ac:dyDescent="0.25">
      <c r="G9386" s="21"/>
    </row>
    <row r="9387" spans="7:7" x14ac:dyDescent="0.25">
      <c r="G9387" s="21"/>
    </row>
    <row r="9388" spans="7:7" x14ac:dyDescent="0.25">
      <c r="G9388" s="21"/>
    </row>
    <row r="9389" spans="7:7" x14ac:dyDescent="0.25">
      <c r="G9389" s="21"/>
    </row>
    <row r="9390" spans="7:7" x14ac:dyDescent="0.25">
      <c r="G9390" s="21"/>
    </row>
    <row r="9391" spans="7:7" x14ac:dyDescent="0.25">
      <c r="G9391" s="21"/>
    </row>
    <row r="9392" spans="7:7" x14ac:dyDescent="0.25">
      <c r="G9392" s="21"/>
    </row>
    <row r="9393" spans="7:7" x14ac:dyDescent="0.25">
      <c r="G9393" s="21"/>
    </row>
    <row r="9394" spans="7:7" x14ac:dyDescent="0.25">
      <c r="G9394" s="21"/>
    </row>
    <row r="9395" spans="7:7" x14ac:dyDescent="0.25">
      <c r="G9395" s="21"/>
    </row>
    <row r="9396" spans="7:7" x14ac:dyDescent="0.25">
      <c r="G9396" s="21"/>
    </row>
    <row r="9397" spans="7:7" x14ac:dyDescent="0.25">
      <c r="G9397" s="21"/>
    </row>
    <row r="9398" spans="7:7" x14ac:dyDescent="0.25">
      <c r="G9398" s="21"/>
    </row>
    <row r="9399" spans="7:7" x14ac:dyDescent="0.25">
      <c r="G9399" s="21"/>
    </row>
    <row r="9400" spans="7:7" x14ac:dyDescent="0.25">
      <c r="G9400" s="21"/>
    </row>
    <row r="9401" spans="7:7" x14ac:dyDescent="0.25">
      <c r="G9401" s="21"/>
    </row>
    <row r="9402" spans="7:7" x14ac:dyDescent="0.25">
      <c r="G9402" s="21"/>
    </row>
    <row r="9403" spans="7:7" x14ac:dyDescent="0.25">
      <c r="G9403" s="21"/>
    </row>
    <row r="9404" spans="7:7" x14ac:dyDescent="0.25">
      <c r="G9404" s="21"/>
    </row>
    <row r="9405" spans="7:7" x14ac:dyDescent="0.25">
      <c r="G9405" s="21"/>
    </row>
    <row r="9406" spans="7:7" x14ac:dyDescent="0.25">
      <c r="G9406" s="21"/>
    </row>
    <row r="9407" spans="7:7" x14ac:dyDescent="0.25">
      <c r="G9407" s="21"/>
    </row>
    <row r="9408" spans="7:7" x14ac:dyDescent="0.25">
      <c r="G9408" s="21"/>
    </row>
    <row r="9409" spans="7:7" x14ac:dyDescent="0.25">
      <c r="G9409" s="21"/>
    </row>
    <row r="9410" spans="7:7" x14ac:dyDescent="0.25">
      <c r="G9410" s="21"/>
    </row>
    <row r="9411" spans="7:7" x14ac:dyDescent="0.25">
      <c r="G9411" s="21"/>
    </row>
    <row r="9412" spans="7:7" x14ac:dyDescent="0.25">
      <c r="G9412" s="21"/>
    </row>
    <row r="9413" spans="7:7" x14ac:dyDescent="0.25">
      <c r="G9413" s="21"/>
    </row>
    <row r="9414" spans="7:7" x14ac:dyDescent="0.25">
      <c r="G9414" s="21"/>
    </row>
    <row r="9415" spans="7:7" x14ac:dyDescent="0.25">
      <c r="G9415" s="21"/>
    </row>
    <row r="9416" spans="7:7" x14ac:dyDescent="0.25">
      <c r="G9416" s="21"/>
    </row>
    <row r="9417" spans="7:7" x14ac:dyDescent="0.25">
      <c r="G9417" s="21"/>
    </row>
    <row r="9418" spans="7:7" x14ac:dyDescent="0.25">
      <c r="G9418" s="21"/>
    </row>
    <row r="9419" spans="7:7" x14ac:dyDescent="0.25">
      <c r="G9419" s="21"/>
    </row>
    <row r="9420" spans="7:7" x14ac:dyDescent="0.25">
      <c r="G9420" s="21"/>
    </row>
    <row r="9421" spans="7:7" x14ac:dyDescent="0.25">
      <c r="G9421" s="21"/>
    </row>
    <row r="9422" spans="7:7" x14ac:dyDescent="0.25">
      <c r="G9422" s="21"/>
    </row>
    <row r="9423" spans="7:7" x14ac:dyDescent="0.25">
      <c r="G9423" s="21"/>
    </row>
    <row r="9424" spans="7:7" x14ac:dyDescent="0.25">
      <c r="G9424" s="21"/>
    </row>
    <row r="9425" spans="7:7" x14ac:dyDescent="0.25">
      <c r="G9425" s="21"/>
    </row>
    <row r="9426" spans="7:7" x14ac:dyDescent="0.25">
      <c r="G9426" s="21"/>
    </row>
    <row r="9427" spans="7:7" x14ac:dyDescent="0.25">
      <c r="G9427" s="21"/>
    </row>
    <row r="9428" spans="7:7" x14ac:dyDescent="0.25">
      <c r="G9428" s="21"/>
    </row>
    <row r="9429" spans="7:7" x14ac:dyDescent="0.25">
      <c r="G9429" s="21"/>
    </row>
    <row r="9430" spans="7:7" x14ac:dyDescent="0.25">
      <c r="G9430" s="21"/>
    </row>
    <row r="9431" spans="7:7" x14ac:dyDescent="0.25">
      <c r="G9431" s="21"/>
    </row>
    <row r="9432" spans="7:7" x14ac:dyDescent="0.25">
      <c r="G9432" s="21"/>
    </row>
    <row r="9433" spans="7:7" x14ac:dyDescent="0.25">
      <c r="G9433" s="21"/>
    </row>
    <row r="9434" spans="7:7" x14ac:dyDescent="0.25">
      <c r="G9434" s="21"/>
    </row>
    <row r="9435" spans="7:7" x14ac:dyDescent="0.25">
      <c r="G9435" s="21"/>
    </row>
    <row r="9436" spans="7:7" x14ac:dyDescent="0.25">
      <c r="G9436" s="21"/>
    </row>
    <row r="9437" spans="7:7" x14ac:dyDescent="0.25">
      <c r="G9437" s="21"/>
    </row>
    <row r="9438" spans="7:7" x14ac:dyDescent="0.25">
      <c r="G9438" s="21"/>
    </row>
    <row r="9439" spans="7:7" x14ac:dyDescent="0.25">
      <c r="G9439" s="21"/>
    </row>
    <row r="9440" spans="7:7" x14ac:dyDescent="0.25">
      <c r="G9440" s="21"/>
    </row>
    <row r="9441" spans="7:7" x14ac:dyDescent="0.25">
      <c r="G9441" s="21"/>
    </row>
    <row r="9442" spans="7:7" x14ac:dyDescent="0.25">
      <c r="G9442" s="21"/>
    </row>
    <row r="9443" spans="7:7" x14ac:dyDescent="0.25">
      <c r="G9443" s="21"/>
    </row>
    <row r="9444" spans="7:7" x14ac:dyDescent="0.25">
      <c r="G9444" s="21"/>
    </row>
    <row r="9445" spans="7:7" x14ac:dyDescent="0.25">
      <c r="G9445" s="21"/>
    </row>
    <row r="9446" spans="7:7" x14ac:dyDescent="0.25">
      <c r="G9446" s="21"/>
    </row>
    <row r="9447" spans="7:7" x14ac:dyDescent="0.25">
      <c r="G9447" s="21"/>
    </row>
    <row r="9448" spans="7:7" x14ac:dyDescent="0.25">
      <c r="G9448" s="21"/>
    </row>
    <row r="9449" spans="7:7" x14ac:dyDescent="0.25">
      <c r="G9449" s="21"/>
    </row>
    <row r="9450" spans="7:7" x14ac:dyDescent="0.25">
      <c r="G9450" s="21"/>
    </row>
    <row r="9451" spans="7:7" x14ac:dyDescent="0.25">
      <c r="G9451" s="21"/>
    </row>
    <row r="9452" spans="7:7" x14ac:dyDescent="0.25">
      <c r="G9452" s="21"/>
    </row>
    <row r="9453" spans="7:7" x14ac:dyDescent="0.25">
      <c r="G9453" s="21"/>
    </row>
    <row r="9454" spans="7:7" x14ac:dyDescent="0.25">
      <c r="G9454" s="21"/>
    </row>
    <row r="9455" spans="7:7" x14ac:dyDescent="0.25">
      <c r="G9455" s="21"/>
    </row>
    <row r="9456" spans="7:7" x14ac:dyDescent="0.25">
      <c r="G9456" s="21"/>
    </row>
    <row r="9457" spans="7:7" x14ac:dyDescent="0.25">
      <c r="G9457" s="21"/>
    </row>
    <row r="9458" spans="7:7" x14ac:dyDescent="0.25">
      <c r="G9458" s="21"/>
    </row>
    <row r="9459" spans="7:7" x14ac:dyDescent="0.25">
      <c r="G9459" s="21"/>
    </row>
    <row r="9460" spans="7:7" x14ac:dyDescent="0.25">
      <c r="G9460" s="21"/>
    </row>
    <row r="9461" spans="7:7" x14ac:dyDescent="0.25">
      <c r="G9461" s="21"/>
    </row>
    <row r="9462" spans="7:7" x14ac:dyDescent="0.25">
      <c r="G9462" s="21"/>
    </row>
    <row r="9463" spans="7:7" x14ac:dyDescent="0.25">
      <c r="G9463" s="21"/>
    </row>
    <row r="9464" spans="7:7" x14ac:dyDescent="0.25">
      <c r="G9464" s="21"/>
    </row>
    <row r="9465" spans="7:7" x14ac:dyDescent="0.25">
      <c r="G9465" s="21"/>
    </row>
    <row r="9466" spans="7:7" x14ac:dyDescent="0.25">
      <c r="G9466" s="21"/>
    </row>
    <row r="9467" spans="7:7" x14ac:dyDescent="0.25">
      <c r="G9467" s="21"/>
    </row>
    <row r="9468" spans="7:7" x14ac:dyDescent="0.25">
      <c r="G9468" s="21"/>
    </row>
    <row r="9469" spans="7:7" x14ac:dyDescent="0.25">
      <c r="G9469" s="21"/>
    </row>
    <row r="9470" spans="7:7" x14ac:dyDescent="0.25">
      <c r="G9470" s="21"/>
    </row>
    <row r="9471" spans="7:7" x14ac:dyDescent="0.25">
      <c r="G9471" s="21"/>
    </row>
    <row r="9472" spans="7:7" x14ac:dyDescent="0.25">
      <c r="G9472" s="21"/>
    </row>
    <row r="9473" spans="7:7" x14ac:dyDescent="0.25">
      <c r="G9473" s="21"/>
    </row>
    <row r="9474" spans="7:7" x14ac:dyDescent="0.25">
      <c r="G9474" s="21"/>
    </row>
    <row r="9475" spans="7:7" x14ac:dyDescent="0.25">
      <c r="G9475" s="21"/>
    </row>
    <row r="9476" spans="7:7" x14ac:dyDescent="0.25">
      <c r="G9476" s="21"/>
    </row>
    <row r="9477" spans="7:7" x14ac:dyDescent="0.25">
      <c r="G9477" s="21"/>
    </row>
    <row r="9478" spans="7:7" x14ac:dyDescent="0.25">
      <c r="G9478" s="21"/>
    </row>
    <row r="9479" spans="7:7" x14ac:dyDescent="0.25">
      <c r="G9479" s="21"/>
    </row>
    <row r="9480" spans="7:7" x14ac:dyDescent="0.25">
      <c r="G9480" s="21"/>
    </row>
    <row r="9481" spans="7:7" x14ac:dyDescent="0.25">
      <c r="G9481" s="21"/>
    </row>
    <row r="9482" spans="7:7" x14ac:dyDescent="0.25">
      <c r="G9482" s="21"/>
    </row>
    <row r="9483" spans="7:7" x14ac:dyDescent="0.25">
      <c r="G9483" s="21"/>
    </row>
    <row r="9484" spans="7:7" x14ac:dyDescent="0.25">
      <c r="G9484" s="21"/>
    </row>
    <row r="9485" spans="7:7" x14ac:dyDescent="0.25">
      <c r="G9485" s="21"/>
    </row>
    <row r="9486" spans="7:7" x14ac:dyDescent="0.25">
      <c r="G9486" s="21"/>
    </row>
    <row r="9487" spans="7:7" x14ac:dyDescent="0.25">
      <c r="G9487" s="21"/>
    </row>
    <row r="9488" spans="7:7" x14ac:dyDescent="0.25">
      <c r="G9488" s="21"/>
    </row>
    <row r="9489" spans="7:7" x14ac:dyDescent="0.25">
      <c r="G9489" s="21"/>
    </row>
    <row r="9490" spans="7:7" x14ac:dyDescent="0.25">
      <c r="G9490" s="21"/>
    </row>
    <row r="9491" spans="7:7" x14ac:dyDescent="0.25">
      <c r="G9491" s="21"/>
    </row>
    <row r="9492" spans="7:7" x14ac:dyDescent="0.25">
      <c r="G9492" s="21"/>
    </row>
    <row r="9493" spans="7:7" x14ac:dyDescent="0.25">
      <c r="G9493" s="21"/>
    </row>
    <row r="9494" spans="7:7" x14ac:dyDescent="0.25">
      <c r="G9494" s="21"/>
    </row>
    <row r="9495" spans="7:7" x14ac:dyDescent="0.25">
      <c r="G9495" s="21"/>
    </row>
    <row r="9496" spans="7:7" x14ac:dyDescent="0.25">
      <c r="G9496" s="21"/>
    </row>
    <row r="9497" spans="7:7" x14ac:dyDescent="0.25">
      <c r="G9497" s="21"/>
    </row>
    <row r="9498" spans="7:7" x14ac:dyDescent="0.25">
      <c r="G9498" s="21"/>
    </row>
    <row r="9499" spans="7:7" x14ac:dyDescent="0.25">
      <c r="G9499" s="21"/>
    </row>
    <row r="9500" spans="7:7" x14ac:dyDescent="0.25">
      <c r="G9500" s="21"/>
    </row>
    <row r="9501" spans="7:7" x14ac:dyDescent="0.25">
      <c r="G9501" s="21"/>
    </row>
    <row r="9502" spans="7:7" x14ac:dyDescent="0.25">
      <c r="G9502" s="21"/>
    </row>
    <row r="9503" spans="7:7" x14ac:dyDescent="0.25">
      <c r="G9503" s="21"/>
    </row>
    <row r="9504" spans="7:7" x14ac:dyDescent="0.25">
      <c r="G9504" s="21"/>
    </row>
    <row r="9505" spans="7:7" x14ac:dyDescent="0.25">
      <c r="G9505" s="21"/>
    </row>
    <row r="9506" spans="7:7" x14ac:dyDescent="0.25">
      <c r="G9506" s="21"/>
    </row>
    <row r="9507" spans="7:7" x14ac:dyDescent="0.25">
      <c r="G9507" s="21"/>
    </row>
    <row r="9508" spans="7:7" x14ac:dyDescent="0.25">
      <c r="G9508" s="21"/>
    </row>
    <row r="9509" spans="7:7" x14ac:dyDescent="0.25">
      <c r="G9509" s="21"/>
    </row>
    <row r="9510" spans="7:7" x14ac:dyDescent="0.25">
      <c r="G9510" s="21"/>
    </row>
    <row r="9511" spans="7:7" x14ac:dyDescent="0.25">
      <c r="G9511" s="21"/>
    </row>
    <row r="9512" spans="7:7" x14ac:dyDescent="0.25">
      <c r="G9512" s="21"/>
    </row>
    <row r="9513" spans="7:7" x14ac:dyDescent="0.25">
      <c r="G9513" s="21"/>
    </row>
    <row r="9514" spans="7:7" x14ac:dyDescent="0.25">
      <c r="G9514" s="21"/>
    </row>
    <row r="9515" spans="7:7" x14ac:dyDescent="0.25">
      <c r="G9515" s="21"/>
    </row>
    <row r="9516" spans="7:7" x14ac:dyDescent="0.25">
      <c r="G9516" s="21"/>
    </row>
    <row r="9517" spans="7:7" x14ac:dyDescent="0.25">
      <c r="G9517" s="21"/>
    </row>
    <row r="9518" spans="7:7" x14ac:dyDescent="0.25">
      <c r="G9518" s="21"/>
    </row>
    <row r="9519" spans="7:7" x14ac:dyDescent="0.25">
      <c r="G9519" s="21"/>
    </row>
    <row r="9520" spans="7:7" x14ac:dyDescent="0.25">
      <c r="G9520" s="21"/>
    </row>
    <row r="9521" spans="7:7" x14ac:dyDescent="0.25">
      <c r="G9521" s="21"/>
    </row>
    <row r="9522" spans="7:7" x14ac:dyDescent="0.25">
      <c r="G9522" s="21"/>
    </row>
    <row r="9523" spans="7:7" x14ac:dyDescent="0.25">
      <c r="G9523" s="21"/>
    </row>
    <row r="9524" spans="7:7" x14ac:dyDescent="0.25">
      <c r="G9524" s="21"/>
    </row>
    <row r="9525" spans="7:7" x14ac:dyDescent="0.25">
      <c r="G9525" s="21"/>
    </row>
    <row r="9526" spans="7:7" x14ac:dyDescent="0.25">
      <c r="G9526" s="21"/>
    </row>
    <row r="9527" spans="7:7" x14ac:dyDescent="0.25">
      <c r="G9527" s="21"/>
    </row>
    <row r="9528" spans="7:7" x14ac:dyDescent="0.25">
      <c r="G9528" s="21"/>
    </row>
    <row r="9529" spans="7:7" x14ac:dyDescent="0.25">
      <c r="G9529" s="21"/>
    </row>
    <row r="9530" spans="7:7" x14ac:dyDescent="0.25">
      <c r="G9530" s="21"/>
    </row>
    <row r="9531" spans="7:7" x14ac:dyDescent="0.25">
      <c r="G9531" s="21"/>
    </row>
    <row r="9532" spans="7:7" x14ac:dyDescent="0.25">
      <c r="G9532" s="21"/>
    </row>
    <row r="9533" spans="7:7" x14ac:dyDescent="0.25">
      <c r="G9533" s="21"/>
    </row>
    <row r="9534" spans="7:7" x14ac:dyDescent="0.25">
      <c r="G9534" s="21"/>
    </row>
    <row r="9535" spans="7:7" x14ac:dyDescent="0.25">
      <c r="G9535" s="21"/>
    </row>
    <row r="9536" spans="7:7" x14ac:dyDescent="0.25">
      <c r="G9536" s="21"/>
    </row>
    <row r="9537" spans="7:7" x14ac:dyDescent="0.25">
      <c r="G9537" s="21"/>
    </row>
    <row r="9538" spans="7:7" x14ac:dyDescent="0.25">
      <c r="G9538" s="21"/>
    </row>
    <row r="9539" spans="7:7" x14ac:dyDescent="0.25">
      <c r="G9539" s="21"/>
    </row>
    <row r="9540" spans="7:7" x14ac:dyDescent="0.25">
      <c r="G9540" s="21"/>
    </row>
    <row r="9541" spans="7:7" x14ac:dyDescent="0.25">
      <c r="G9541" s="21"/>
    </row>
    <row r="9542" spans="7:7" x14ac:dyDescent="0.25">
      <c r="G9542" s="21"/>
    </row>
    <row r="9543" spans="7:7" x14ac:dyDescent="0.25">
      <c r="G9543" s="21"/>
    </row>
    <row r="9544" spans="7:7" x14ac:dyDescent="0.25">
      <c r="G9544" s="21"/>
    </row>
    <row r="9545" spans="7:7" x14ac:dyDescent="0.25">
      <c r="G9545" s="21"/>
    </row>
    <row r="9546" spans="7:7" x14ac:dyDescent="0.25">
      <c r="G9546" s="21"/>
    </row>
    <row r="9547" spans="7:7" x14ac:dyDescent="0.25">
      <c r="G9547" s="21"/>
    </row>
    <row r="9548" spans="7:7" x14ac:dyDescent="0.25">
      <c r="G9548" s="21"/>
    </row>
    <row r="9549" spans="7:7" x14ac:dyDescent="0.25">
      <c r="G9549" s="21"/>
    </row>
    <row r="9550" spans="7:7" x14ac:dyDescent="0.25">
      <c r="G9550" s="21"/>
    </row>
    <row r="9551" spans="7:7" x14ac:dyDescent="0.25">
      <c r="G9551" s="21"/>
    </row>
    <row r="9552" spans="7:7" x14ac:dyDescent="0.25">
      <c r="G9552" s="21"/>
    </row>
    <row r="9553" spans="7:7" x14ac:dyDescent="0.25">
      <c r="G9553" s="21"/>
    </row>
    <row r="9554" spans="7:7" x14ac:dyDescent="0.25">
      <c r="G9554" s="21"/>
    </row>
    <row r="9555" spans="7:7" x14ac:dyDescent="0.25">
      <c r="G9555" s="21"/>
    </row>
    <row r="9556" spans="7:7" x14ac:dyDescent="0.25">
      <c r="G9556" s="21"/>
    </row>
    <row r="9557" spans="7:7" x14ac:dyDescent="0.25">
      <c r="G9557" s="21"/>
    </row>
    <row r="9558" spans="7:7" x14ac:dyDescent="0.25">
      <c r="G9558" s="21"/>
    </row>
    <row r="9559" spans="7:7" x14ac:dyDescent="0.25">
      <c r="G9559" s="21"/>
    </row>
    <row r="9560" spans="7:7" x14ac:dyDescent="0.25">
      <c r="G9560" s="21"/>
    </row>
    <row r="9561" spans="7:7" x14ac:dyDescent="0.25">
      <c r="G9561" s="21"/>
    </row>
    <row r="9562" spans="7:7" x14ac:dyDescent="0.25">
      <c r="G9562" s="21"/>
    </row>
    <row r="9563" spans="7:7" x14ac:dyDescent="0.25">
      <c r="G9563" s="21"/>
    </row>
    <row r="9564" spans="7:7" x14ac:dyDescent="0.25">
      <c r="G9564" s="21"/>
    </row>
    <row r="9565" spans="7:7" x14ac:dyDescent="0.25">
      <c r="G9565" s="21"/>
    </row>
    <row r="9566" spans="7:7" x14ac:dyDescent="0.25">
      <c r="G9566" s="21"/>
    </row>
    <row r="9567" spans="7:7" x14ac:dyDescent="0.25">
      <c r="G9567" s="21"/>
    </row>
    <row r="9568" spans="7:7" x14ac:dyDescent="0.25">
      <c r="G9568" s="21"/>
    </row>
    <row r="9569" spans="7:7" x14ac:dyDescent="0.25">
      <c r="G9569" s="21"/>
    </row>
    <row r="9570" spans="7:7" x14ac:dyDescent="0.25">
      <c r="G9570" s="21"/>
    </row>
    <row r="9571" spans="7:7" x14ac:dyDescent="0.25">
      <c r="G9571" s="21"/>
    </row>
    <row r="9572" spans="7:7" x14ac:dyDescent="0.25">
      <c r="G9572" s="21"/>
    </row>
    <row r="9573" spans="7:7" x14ac:dyDescent="0.25">
      <c r="G9573" s="21"/>
    </row>
    <row r="9574" spans="7:7" x14ac:dyDescent="0.25">
      <c r="G9574" s="21"/>
    </row>
    <row r="9575" spans="7:7" x14ac:dyDescent="0.25">
      <c r="G9575" s="21"/>
    </row>
    <row r="9576" spans="7:7" x14ac:dyDescent="0.25">
      <c r="G9576" s="21"/>
    </row>
    <row r="9577" spans="7:7" x14ac:dyDescent="0.25">
      <c r="G9577" s="21"/>
    </row>
    <row r="9578" spans="7:7" x14ac:dyDescent="0.25">
      <c r="G9578" s="21"/>
    </row>
    <row r="9579" spans="7:7" x14ac:dyDescent="0.25">
      <c r="G9579" s="21"/>
    </row>
    <row r="9580" spans="7:7" x14ac:dyDescent="0.25">
      <c r="G9580" s="21"/>
    </row>
    <row r="9581" spans="7:7" x14ac:dyDescent="0.25">
      <c r="G9581" s="21"/>
    </row>
    <row r="9582" spans="7:7" x14ac:dyDescent="0.25">
      <c r="G9582" s="21"/>
    </row>
    <row r="9583" spans="7:7" x14ac:dyDescent="0.25">
      <c r="G9583" s="21"/>
    </row>
    <row r="9584" spans="7:7" x14ac:dyDescent="0.25">
      <c r="G9584" s="21"/>
    </row>
    <row r="9585" spans="7:7" x14ac:dyDescent="0.25">
      <c r="G9585" s="21"/>
    </row>
    <row r="9586" spans="7:7" x14ac:dyDescent="0.25">
      <c r="G9586" s="21"/>
    </row>
    <row r="9587" spans="7:7" x14ac:dyDescent="0.25">
      <c r="G9587" s="21"/>
    </row>
    <row r="9588" spans="7:7" x14ac:dyDescent="0.25">
      <c r="G9588" s="21"/>
    </row>
    <row r="9589" spans="7:7" x14ac:dyDescent="0.25">
      <c r="G9589" s="21"/>
    </row>
    <row r="9590" spans="7:7" x14ac:dyDescent="0.25">
      <c r="G9590" s="21"/>
    </row>
    <row r="9591" spans="7:7" x14ac:dyDescent="0.25">
      <c r="G9591" s="21"/>
    </row>
    <row r="9592" spans="7:7" x14ac:dyDescent="0.25">
      <c r="G9592" s="21"/>
    </row>
    <row r="9593" spans="7:7" x14ac:dyDescent="0.25">
      <c r="G9593" s="21"/>
    </row>
    <row r="9594" spans="7:7" x14ac:dyDescent="0.25">
      <c r="G9594" s="21"/>
    </row>
    <row r="9595" spans="7:7" x14ac:dyDescent="0.25">
      <c r="G9595" s="21"/>
    </row>
    <row r="9596" spans="7:7" x14ac:dyDescent="0.25">
      <c r="G9596" s="21"/>
    </row>
    <row r="9597" spans="7:7" x14ac:dyDescent="0.25">
      <c r="G9597" s="21"/>
    </row>
    <row r="9598" spans="7:7" x14ac:dyDescent="0.25">
      <c r="G9598" s="21"/>
    </row>
    <row r="9599" spans="7:7" x14ac:dyDescent="0.25">
      <c r="G9599" s="21"/>
    </row>
    <row r="9600" spans="7:7" x14ac:dyDescent="0.25">
      <c r="G9600" s="21"/>
    </row>
    <row r="9601" spans="7:7" x14ac:dyDescent="0.25">
      <c r="G9601" s="21"/>
    </row>
    <row r="9602" spans="7:7" x14ac:dyDescent="0.25">
      <c r="G9602" s="21"/>
    </row>
    <row r="9603" spans="7:7" x14ac:dyDescent="0.25">
      <c r="G9603" s="21"/>
    </row>
    <row r="9604" spans="7:7" x14ac:dyDescent="0.25">
      <c r="G9604" s="21"/>
    </row>
    <row r="9605" spans="7:7" x14ac:dyDescent="0.25">
      <c r="G9605" s="21"/>
    </row>
    <row r="9606" spans="7:7" x14ac:dyDescent="0.25">
      <c r="G9606" s="21"/>
    </row>
    <row r="9607" spans="7:7" x14ac:dyDescent="0.25">
      <c r="G9607" s="21"/>
    </row>
    <row r="9608" spans="7:7" x14ac:dyDescent="0.25">
      <c r="G9608" s="21"/>
    </row>
    <row r="9609" spans="7:7" x14ac:dyDescent="0.25">
      <c r="G9609" s="21"/>
    </row>
    <row r="9610" spans="7:7" x14ac:dyDescent="0.25">
      <c r="G9610" s="21"/>
    </row>
    <row r="9611" spans="7:7" x14ac:dyDescent="0.25">
      <c r="G9611" s="21"/>
    </row>
    <row r="9612" spans="7:7" x14ac:dyDescent="0.25">
      <c r="G9612" s="21"/>
    </row>
    <row r="9613" spans="7:7" x14ac:dyDescent="0.25">
      <c r="G9613" s="21"/>
    </row>
    <row r="9614" spans="7:7" x14ac:dyDescent="0.25">
      <c r="G9614" s="21"/>
    </row>
    <row r="9615" spans="7:7" x14ac:dyDescent="0.25">
      <c r="G9615" s="21"/>
    </row>
    <row r="9616" spans="7:7" x14ac:dyDescent="0.25">
      <c r="G9616" s="21"/>
    </row>
    <row r="9617" spans="7:7" x14ac:dyDescent="0.25">
      <c r="G9617" s="21"/>
    </row>
    <row r="9618" spans="7:7" x14ac:dyDescent="0.25">
      <c r="G9618" s="21"/>
    </row>
    <row r="9619" spans="7:7" x14ac:dyDescent="0.25">
      <c r="G9619" s="21"/>
    </row>
    <row r="9620" spans="7:7" x14ac:dyDescent="0.25">
      <c r="G9620" s="21"/>
    </row>
    <row r="9621" spans="7:7" x14ac:dyDescent="0.25">
      <c r="G9621" s="21"/>
    </row>
    <row r="9622" spans="7:7" x14ac:dyDescent="0.25">
      <c r="G9622" s="21"/>
    </row>
    <row r="9623" spans="7:7" x14ac:dyDescent="0.25">
      <c r="G9623" s="21"/>
    </row>
    <row r="9624" spans="7:7" x14ac:dyDescent="0.25">
      <c r="G9624" s="21"/>
    </row>
    <row r="9625" spans="7:7" x14ac:dyDescent="0.25">
      <c r="G9625" s="21"/>
    </row>
    <row r="9626" spans="7:7" x14ac:dyDescent="0.25">
      <c r="G9626" s="21"/>
    </row>
    <row r="9627" spans="7:7" x14ac:dyDescent="0.25">
      <c r="G9627" s="21"/>
    </row>
    <row r="9628" spans="7:7" x14ac:dyDescent="0.25">
      <c r="G9628" s="21"/>
    </row>
    <row r="9629" spans="7:7" x14ac:dyDescent="0.25">
      <c r="G9629" s="21"/>
    </row>
    <row r="9630" spans="7:7" x14ac:dyDescent="0.25">
      <c r="G9630" s="21"/>
    </row>
    <row r="9631" spans="7:7" x14ac:dyDescent="0.25">
      <c r="G9631" s="21"/>
    </row>
    <row r="9632" spans="7:7" x14ac:dyDescent="0.25">
      <c r="G9632" s="21"/>
    </row>
    <row r="9633" spans="7:7" x14ac:dyDescent="0.25">
      <c r="G9633" s="21"/>
    </row>
    <row r="9634" spans="7:7" x14ac:dyDescent="0.25">
      <c r="G9634" s="21"/>
    </row>
    <row r="9635" spans="7:7" x14ac:dyDescent="0.25">
      <c r="G9635" s="21"/>
    </row>
    <row r="9636" spans="7:7" x14ac:dyDescent="0.25">
      <c r="G9636" s="21"/>
    </row>
    <row r="9637" spans="7:7" x14ac:dyDescent="0.25">
      <c r="G9637" s="21"/>
    </row>
    <row r="9638" spans="7:7" x14ac:dyDescent="0.25">
      <c r="G9638" s="21"/>
    </row>
    <row r="9639" spans="7:7" x14ac:dyDescent="0.25">
      <c r="G9639" s="21"/>
    </row>
    <row r="9640" spans="7:7" x14ac:dyDescent="0.25">
      <c r="G9640" s="21"/>
    </row>
    <row r="9641" spans="7:7" x14ac:dyDescent="0.25">
      <c r="G9641" s="21"/>
    </row>
    <row r="9642" spans="7:7" x14ac:dyDescent="0.25">
      <c r="G9642" s="21"/>
    </row>
    <row r="9643" spans="7:7" x14ac:dyDescent="0.25">
      <c r="G9643" s="21"/>
    </row>
    <row r="9644" spans="7:7" x14ac:dyDescent="0.25">
      <c r="G9644" s="21"/>
    </row>
    <row r="9645" spans="7:7" x14ac:dyDescent="0.25">
      <c r="G9645" s="21"/>
    </row>
    <row r="9646" spans="7:7" x14ac:dyDescent="0.25">
      <c r="G9646" s="21"/>
    </row>
    <row r="9647" spans="7:7" x14ac:dyDescent="0.25">
      <c r="G9647" s="21"/>
    </row>
    <row r="9648" spans="7:7" x14ac:dyDescent="0.25">
      <c r="G9648" s="21"/>
    </row>
    <row r="9649" spans="7:7" x14ac:dyDescent="0.25">
      <c r="G9649" s="21"/>
    </row>
    <row r="9650" spans="7:7" x14ac:dyDescent="0.25">
      <c r="G9650" s="21"/>
    </row>
    <row r="9651" spans="7:7" x14ac:dyDescent="0.25">
      <c r="G9651" s="21"/>
    </row>
    <row r="9652" spans="7:7" x14ac:dyDescent="0.25">
      <c r="G9652" s="21"/>
    </row>
    <row r="9653" spans="7:7" x14ac:dyDescent="0.25">
      <c r="G9653" s="21"/>
    </row>
    <row r="9654" spans="7:7" x14ac:dyDescent="0.25">
      <c r="G9654" s="21"/>
    </row>
    <row r="9655" spans="7:7" x14ac:dyDescent="0.25">
      <c r="G9655" s="21"/>
    </row>
    <row r="9656" spans="7:7" x14ac:dyDescent="0.25">
      <c r="G9656" s="21"/>
    </row>
    <row r="9657" spans="7:7" x14ac:dyDescent="0.25">
      <c r="G9657" s="21"/>
    </row>
    <row r="9658" spans="7:7" x14ac:dyDescent="0.25">
      <c r="G9658" s="21"/>
    </row>
    <row r="9659" spans="7:7" x14ac:dyDescent="0.25">
      <c r="G9659" s="21"/>
    </row>
    <row r="9660" spans="7:7" x14ac:dyDescent="0.25">
      <c r="G9660" s="21"/>
    </row>
    <row r="9661" spans="7:7" x14ac:dyDescent="0.25">
      <c r="G9661" s="21"/>
    </row>
    <row r="9662" spans="7:7" x14ac:dyDescent="0.25">
      <c r="G9662" s="21"/>
    </row>
    <row r="9663" spans="7:7" x14ac:dyDescent="0.25">
      <c r="G9663" s="21"/>
    </row>
    <row r="9664" spans="7:7" x14ac:dyDescent="0.25">
      <c r="G9664" s="21"/>
    </row>
    <row r="9665" spans="7:7" x14ac:dyDescent="0.25">
      <c r="G9665" s="21"/>
    </row>
    <row r="9666" spans="7:7" x14ac:dyDescent="0.25">
      <c r="G9666" s="21"/>
    </row>
    <row r="9667" spans="7:7" x14ac:dyDescent="0.25">
      <c r="G9667" s="21"/>
    </row>
    <row r="9668" spans="7:7" x14ac:dyDescent="0.25">
      <c r="G9668" s="21"/>
    </row>
    <row r="9669" spans="7:7" x14ac:dyDescent="0.25">
      <c r="G9669" s="21"/>
    </row>
    <row r="9670" spans="7:7" x14ac:dyDescent="0.25">
      <c r="G9670" s="21"/>
    </row>
    <row r="9671" spans="7:7" x14ac:dyDescent="0.25">
      <c r="G9671" s="21"/>
    </row>
    <row r="9672" spans="7:7" x14ac:dyDescent="0.25">
      <c r="G9672" s="21"/>
    </row>
    <row r="9673" spans="7:7" x14ac:dyDescent="0.25">
      <c r="G9673" s="21"/>
    </row>
    <row r="9674" spans="7:7" x14ac:dyDescent="0.25">
      <c r="G9674" s="21"/>
    </row>
    <row r="9675" spans="7:7" x14ac:dyDescent="0.25">
      <c r="G9675" s="21"/>
    </row>
    <row r="9676" spans="7:7" x14ac:dyDescent="0.25">
      <c r="G9676" s="21"/>
    </row>
    <row r="9677" spans="7:7" x14ac:dyDescent="0.25">
      <c r="G9677" s="21"/>
    </row>
    <row r="9678" spans="7:7" x14ac:dyDescent="0.25">
      <c r="G9678" s="21"/>
    </row>
    <row r="9679" spans="7:7" x14ac:dyDescent="0.25">
      <c r="G9679" s="21"/>
    </row>
    <row r="9680" spans="7:7" x14ac:dyDescent="0.25">
      <c r="G9680" s="21"/>
    </row>
    <row r="9681" spans="7:7" x14ac:dyDescent="0.25">
      <c r="G9681" s="21"/>
    </row>
    <row r="9682" spans="7:7" x14ac:dyDescent="0.25">
      <c r="G9682" s="21"/>
    </row>
    <row r="9683" spans="7:7" x14ac:dyDescent="0.25">
      <c r="G9683" s="21"/>
    </row>
    <row r="9684" spans="7:7" x14ac:dyDescent="0.25">
      <c r="G9684" s="21"/>
    </row>
    <row r="9685" spans="7:7" x14ac:dyDescent="0.25">
      <c r="G9685" s="21"/>
    </row>
    <row r="9686" spans="7:7" x14ac:dyDescent="0.25">
      <c r="G9686" s="21"/>
    </row>
    <row r="9687" spans="7:7" x14ac:dyDescent="0.25">
      <c r="G9687" s="21"/>
    </row>
    <row r="9688" spans="7:7" x14ac:dyDescent="0.25">
      <c r="G9688" s="21"/>
    </row>
    <row r="9689" spans="7:7" x14ac:dyDescent="0.25">
      <c r="G9689" s="21"/>
    </row>
    <row r="9690" spans="7:7" x14ac:dyDescent="0.25">
      <c r="G9690" s="21"/>
    </row>
    <row r="9691" spans="7:7" x14ac:dyDescent="0.25">
      <c r="G9691" s="21"/>
    </row>
    <row r="9692" spans="7:7" x14ac:dyDescent="0.25">
      <c r="G9692" s="21"/>
    </row>
    <row r="9693" spans="7:7" x14ac:dyDescent="0.25">
      <c r="G9693" s="21"/>
    </row>
    <row r="9694" spans="7:7" x14ac:dyDescent="0.25">
      <c r="G9694" s="21"/>
    </row>
    <row r="9695" spans="7:7" x14ac:dyDescent="0.25">
      <c r="G9695" s="21"/>
    </row>
    <row r="9696" spans="7:7" x14ac:dyDescent="0.25">
      <c r="G9696" s="21"/>
    </row>
    <row r="9697" spans="7:7" x14ac:dyDescent="0.25">
      <c r="G9697" s="21"/>
    </row>
    <row r="9698" spans="7:7" x14ac:dyDescent="0.25">
      <c r="G9698" s="21"/>
    </row>
    <row r="9699" spans="7:7" x14ac:dyDescent="0.25">
      <c r="G9699" s="21"/>
    </row>
    <row r="9700" spans="7:7" x14ac:dyDescent="0.25">
      <c r="G9700" s="21"/>
    </row>
    <row r="9701" spans="7:7" x14ac:dyDescent="0.25">
      <c r="G9701" s="21"/>
    </row>
    <row r="9702" spans="7:7" x14ac:dyDescent="0.25">
      <c r="G9702" s="21"/>
    </row>
    <row r="9703" spans="7:7" x14ac:dyDescent="0.25">
      <c r="G9703" s="21"/>
    </row>
    <row r="9704" spans="7:7" x14ac:dyDescent="0.25">
      <c r="G9704" s="21"/>
    </row>
    <row r="9705" spans="7:7" x14ac:dyDescent="0.25">
      <c r="G9705" s="21"/>
    </row>
    <row r="9706" spans="7:7" x14ac:dyDescent="0.25">
      <c r="G9706" s="21"/>
    </row>
    <row r="9707" spans="7:7" x14ac:dyDescent="0.25">
      <c r="G9707" s="21"/>
    </row>
    <row r="9708" spans="7:7" x14ac:dyDescent="0.25">
      <c r="G9708" s="21"/>
    </row>
    <row r="9709" spans="7:7" x14ac:dyDescent="0.25">
      <c r="G9709" s="21"/>
    </row>
    <row r="9710" spans="7:7" x14ac:dyDescent="0.25">
      <c r="G9710" s="21"/>
    </row>
    <row r="9711" spans="7:7" x14ac:dyDescent="0.25">
      <c r="G9711" s="21"/>
    </row>
    <row r="9712" spans="7:7" x14ac:dyDescent="0.25">
      <c r="G9712" s="21"/>
    </row>
    <row r="9713" spans="7:7" x14ac:dyDescent="0.25">
      <c r="G9713" s="21"/>
    </row>
    <row r="9714" spans="7:7" x14ac:dyDescent="0.25">
      <c r="G9714" s="21"/>
    </row>
    <row r="9715" spans="7:7" x14ac:dyDescent="0.25">
      <c r="G9715" s="21"/>
    </row>
    <row r="9716" spans="7:7" x14ac:dyDescent="0.25">
      <c r="G9716" s="21"/>
    </row>
    <row r="9717" spans="7:7" x14ac:dyDescent="0.25">
      <c r="G9717" s="21"/>
    </row>
    <row r="9718" spans="7:7" x14ac:dyDescent="0.25">
      <c r="G9718" s="21"/>
    </row>
    <row r="9719" spans="7:7" x14ac:dyDescent="0.25">
      <c r="G9719" s="21"/>
    </row>
    <row r="9720" spans="7:7" x14ac:dyDescent="0.25">
      <c r="G9720" s="21"/>
    </row>
    <row r="9721" spans="7:7" x14ac:dyDescent="0.25">
      <c r="G9721" s="21"/>
    </row>
    <row r="9722" spans="7:7" x14ac:dyDescent="0.25">
      <c r="G9722" s="21"/>
    </row>
    <row r="9723" spans="7:7" x14ac:dyDescent="0.25">
      <c r="G9723" s="21"/>
    </row>
    <row r="9724" spans="7:7" x14ac:dyDescent="0.25">
      <c r="G9724" s="21"/>
    </row>
    <row r="9725" spans="7:7" x14ac:dyDescent="0.25">
      <c r="G9725" s="21"/>
    </row>
    <row r="9726" spans="7:7" x14ac:dyDescent="0.25">
      <c r="G9726" s="21"/>
    </row>
    <row r="9727" spans="7:7" x14ac:dyDescent="0.25">
      <c r="G9727" s="21"/>
    </row>
    <row r="9728" spans="7:7" x14ac:dyDescent="0.25">
      <c r="G9728" s="21"/>
    </row>
    <row r="9729" spans="7:7" x14ac:dyDescent="0.25">
      <c r="G9729" s="21"/>
    </row>
    <row r="9730" spans="7:7" x14ac:dyDescent="0.25">
      <c r="G9730" s="21"/>
    </row>
    <row r="9731" spans="7:7" x14ac:dyDescent="0.25">
      <c r="G9731" s="21"/>
    </row>
    <row r="9732" spans="7:7" x14ac:dyDescent="0.25">
      <c r="G9732" s="21"/>
    </row>
    <row r="9733" spans="7:7" x14ac:dyDescent="0.25">
      <c r="G9733" s="21"/>
    </row>
    <row r="9734" spans="7:7" x14ac:dyDescent="0.25">
      <c r="G9734" s="21"/>
    </row>
    <row r="9735" spans="7:7" x14ac:dyDescent="0.25">
      <c r="G9735" s="21"/>
    </row>
    <row r="9736" spans="7:7" x14ac:dyDescent="0.25">
      <c r="G9736" s="21"/>
    </row>
  </sheetData>
  <sheetProtection sort="0" autoFilter="0"/>
  <autoFilter ref="A6:R188"/>
  <mergeCells count="1">
    <mergeCell ref="A1:G4"/>
  </mergeCells>
  <conditionalFormatting sqref="A24:XFD46">
    <cfRule type="expression" dxfId="0" priority="1" stopIfTrue="1">
      <formula>AND(ROW()&gt;=24,ROW()&lt;=46)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5" zoomScaleNormal="85" workbookViewId="0">
      <selection activeCell="K10" sqref="K10"/>
    </sheetView>
  </sheetViews>
  <sheetFormatPr defaultRowHeight="15" x14ac:dyDescent="0.25"/>
  <sheetData/>
  <conditionalFormatting sqref="A10:XFD10">
    <cfRule type="expression" dxfId="6" priority="1" stopIfTrue="1">
      <formula>AND(ROW()&gt;=10,ROW()&lt;=10)</formula>
    </cfRule>
  </conditionalFormatting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2:K39"/>
  <sheetViews>
    <sheetView showGridLines="0" zoomScale="85" zoomScaleNormal="85" zoomScaleSheetLayoutView="85" workbookViewId="0">
      <selection activeCell="F33" sqref="F33:G33"/>
    </sheetView>
  </sheetViews>
  <sheetFormatPr defaultRowHeight="15" x14ac:dyDescent="0.25"/>
  <cols>
    <col min="1" max="1" width="1.85546875" style="22" customWidth="1"/>
    <col min="2" max="2" width="5.140625" style="22" bestFit="1" customWidth="1"/>
    <col min="3" max="3" width="12.42578125" style="22" bestFit="1" customWidth="1"/>
    <col min="4" max="4" width="38.7109375" style="22" bestFit="1" customWidth="1"/>
    <col min="5" max="5" width="15.5703125" style="22" bestFit="1" customWidth="1"/>
    <col min="6" max="6" width="8.42578125" style="22" bestFit="1" customWidth="1"/>
    <col min="7" max="7" width="15.5703125" style="22" bestFit="1" customWidth="1"/>
    <col min="8" max="8" width="17.7109375" style="22" bestFit="1" customWidth="1"/>
    <col min="9" max="9" width="24.5703125" style="22" bestFit="1" customWidth="1"/>
    <col min="10" max="10" width="19.5703125" style="22" customWidth="1"/>
    <col min="11" max="11" width="9.140625" style="102" customWidth="1"/>
    <col min="12" max="16384" width="9.140625" style="22"/>
  </cols>
  <sheetData>
    <row r="2" spans="2:11" ht="6" customHeight="1" x14ac:dyDescent="0.25"/>
    <row r="3" spans="2:11" ht="27" customHeight="1" x14ac:dyDescent="0.25">
      <c r="B3" s="100" t="s">
        <v>1</v>
      </c>
      <c r="C3" s="100" t="s">
        <v>657</v>
      </c>
      <c r="D3" s="99" t="s">
        <v>658</v>
      </c>
      <c r="E3" s="99" t="s">
        <v>645</v>
      </c>
      <c r="F3" s="99" t="s">
        <v>646</v>
      </c>
      <c r="G3" s="99" t="s">
        <v>655</v>
      </c>
      <c r="H3" s="99" t="s">
        <v>654</v>
      </c>
      <c r="I3" s="99" t="s">
        <v>656</v>
      </c>
      <c r="J3" s="99" t="s">
        <v>659</v>
      </c>
    </row>
    <row r="4" spans="2:11" ht="16.5" customHeight="1" x14ac:dyDescent="0.25">
      <c r="B4" s="97"/>
      <c r="C4" s="97"/>
      <c r="D4" s="98" t="s">
        <v>662</v>
      </c>
      <c r="E4" s="103">
        <f>SUMPRODUCT((E5:E21)*(K5:K21))/1000</f>
        <v>63205058.191360004</v>
      </c>
      <c r="F4" s="103"/>
      <c r="G4" s="103">
        <f>SUMPRODUCT((G5:G996)*(K5:K996))/1000</f>
        <v>736495.71600000001</v>
      </c>
      <c r="H4" s="103">
        <v>0</v>
      </c>
      <c r="I4" s="98"/>
      <c r="J4" s="98"/>
    </row>
    <row r="5" spans="2:11" ht="16.5" x14ac:dyDescent="0.25">
      <c r="B5" s="105">
        <v>1</v>
      </c>
      <c r="C5" s="105">
        <v>3000000840</v>
      </c>
      <c r="D5" s="106" t="s">
        <v>114</v>
      </c>
      <c r="E5" s="107">
        <v>25000</v>
      </c>
      <c r="F5" s="108" t="s">
        <v>648</v>
      </c>
      <c r="G5" s="108">
        <f>IFERROR(VLOOKUP('Amiral Project Jubail PKG - 4 '!C5,'SCAFFOLDING MATERIAL OVERALL'!B8:P181,14,FALSE),"-")</f>
        <v>250</v>
      </c>
      <c r="H5" s="107">
        <f t="shared" ref="H5:H20" si="0">E5-G5</f>
        <v>24750</v>
      </c>
      <c r="I5" s="108" t="s">
        <v>674</v>
      </c>
      <c r="J5" s="108" t="s">
        <v>660</v>
      </c>
      <c r="K5" s="102">
        <f>VLOOKUP(C5,'SCAFFOLDING MATERIAL OVERALL'!B7:S180,17,FALSE)</f>
        <v>272174</v>
      </c>
    </row>
    <row r="6" spans="2:11" ht="16.5" x14ac:dyDescent="0.25">
      <c r="B6" s="105">
        <v>2</v>
      </c>
      <c r="C6" s="105">
        <v>3000001229</v>
      </c>
      <c r="D6" s="106" t="s">
        <v>153</v>
      </c>
      <c r="E6" s="107">
        <v>4242</v>
      </c>
      <c r="F6" s="108" t="s">
        <v>647</v>
      </c>
      <c r="G6" s="108">
        <f>IFERROR(VLOOKUP('Amiral Project Jubail PKG - 4 '!C6,'SCAFFOLDING MATERIAL OVERALL'!B9:P182,14,FALSE),"-")</f>
        <v>250</v>
      </c>
      <c r="H6" s="107">
        <f t="shared" si="0"/>
        <v>3992</v>
      </c>
      <c r="I6" s="108" t="s">
        <v>674</v>
      </c>
      <c r="J6" s="108" t="s">
        <v>661</v>
      </c>
      <c r="K6" s="102">
        <f>VLOOKUP(C6,'SCAFFOLDING MATERIAL OVERALL'!B8:S181,17,FALSE)</f>
        <v>100789</v>
      </c>
    </row>
    <row r="7" spans="2:11" ht="16.5" x14ac:dyDescent="0.25">
      <c r="B7" s="105">
        <v>3</v>
      </c>
      <c r="C7" s="105">
        <v>3000000437</v>
      </c>
      <c r="D7" s="106" t="s">
        <v>62</v>
      </c>
      <c r="E7" s="107">
        <v>9000</v>
      </c>
      <c r="F7" s="108" t="s">
        <v>648</v>
      </c>
      <c r="G7" s="108">
        <f>IFERROR(VLOOKUP('Amiral Project Jubail PKG - 4 '!C7,'SCAFFOLDING MATERIAL OVERALL'!B10:P183,14,FALSE),"-")</f>
        <v>0</v>
      </c>
      <c r="H7" s="107">
        <f t="shared" si="0"/>
        <v>9000</v>
      </c>
      <c r="I7" s="108" t="s">
        <v>674</v>
      </c>
      <c r="J7" s="108" t="s">
        <v>660</v>
      </c>
      <c r="K7" s="102">
        <f>VLOOKUP(C7,'SCAFFOLDING MATERIAL OVERALL'!B9:S182,17,FALSE)</f>
        <v>107687</v>
      </c>
    </row>
    <row r="8" spans="2:11" ht="16.5" x14ac:dyDescent="0.25">
      <c r="B8" s="105">
        <v>4</v>
      </c>
      <c r="C8" s="105">
        <v>3000000061</v>
      </c>
      <c r="D8" s="106" t="s">
        <v>28</v>
      </c>
      <c r="E8" s="107">
        <v>19205</v>
      </c>
      <c r="F8" s="108" t="s">
        <v>648</v>
      </c>
      <c r="G8" s="108">
        <f>IFERROR(VLOOKUP('Amiral Project Jubail PKG - 4 '!C8,'SCAFFOLDING MATERIAL OVERALL'!B11:P184,14,FALSE),"-")</f>
        <v>0</v>
      </c>
      <c r="H8" s="107">
        <f t="shared" si="0"/>
        <v>19205</v>
      </c>
      <c r="I8" s="108" t="s">
        <v>674</v>
      </c>
      <c r="J8" s="108" t="s">
        <v>660</v>
      </c>
      <c r="K8" s="102">
        <f>VLOOKUP(C8,'SCAFFOLDING MATERIAL OVERALL'!B10:S183,17,FALSE)</f>
        <v>160232</v>
      </c>
    </row>
    <row r="9" spans="2:11" ht="16.5" x14ac:dyDescent="0.25">
      <c r="B9" s="105">
        <v>5</v>
      </c>
      <c r="C9" s="105">
        <v>3000000068</v>
      </c>
      <c r="D9" s="106" t="s">
        <v>34</v>
      </c>
      <c r="E9" s="107">
        <v>21716</v>
      </c>
      <c r="F9" s="108" t="s">
        <v>648</v>
      </c>
      <c r="G9" s="108">
        <f>IFERROR(VLOOKUP('Amiral Project Jubail PKG - 4 '!C9,'SCAFFOLDING MATERIAL OVERALL'!B12:P185,14,FALSE),"-")</f>
        <v>250</v>
      </c>
      <c r="H9" s="107">
        <f t="shared" si="0"/>
        <v>21466</v>
      </c>
      <c r="I9" s="108" t="s">
        <v>674</v>
      </c>
      <c r="J9" s="108" t="s">
        <v>660</v>
      </c>
      <c r="K9" s="102">
        <f>VLOOKUP(C9,'SCAFFOLDING MATERIAL OVERALL'!B11:S184,17,FALSE)</f>
        <v>320733</v>
      </c>
    </row>
    <row r="10" spans="2:11" ht="16.5" x14ac:dyDescent="0.25">
      <c r="B10" s="105">
        <v>6</v>
      </c>
      <c r="C10" s="105">
        <v>3000000062</v>
      </c>
      <c r="D10" s="106" t="s">
        <v>30</v>
      </c>
      <c r="E10" s="108">
        <v>250</v>
      </c>
      <c r="F10" s="108" t="s">
        <v>649</v>
      </c>
      <c r="G10" s="108">
        <f>IFERROR(VLOOKUP('Amiral Project Jubail PKG - 4 '!C10,'SCAFFOLDING MATERIAL OVERALL'!B13:P186,14,FALSE),"-")</f>
        <v>0</v>
      </c>
      <c r="H10" s="107">
        <f t="shared" si="0"/>
        <v>250</v>
      </c>
      <c r="I10" s="108" t="s">
        <v>674</v>
      </c>
      <c r="J10" s="108" t="s">
        <v>660</v>
      </c>
      <c r="K10" s="102">
        <f>VLOOKUP(C10,'SCAFFOLDING MATERIAL OVERALL'!B12:S185,17,FALSE)</f>
        <v>1815</v>
      </c>
    </row>
    <row r="11" spans="2:11" ht="16.5" x14ac:dyDescent="0.25">
      <c r="B11" s="105">
        <v>7</v>
      </c>
      <c r="C11" s="105">
        <v>3000000063</v>
      </c>
      <c r="D11" s="106" t="s">
        <v>31</v>
      </c>
      <c r="E11" s="108">
        <v>100</v>
      </c>
      <c r="F11" s="108" t="s">
        <v>649</v>
      </c>
      <c r="G11" s="108">
        <f>IFERROR(VLOOKUP('Amiral Project Jubail PKG - 4 '!C11,'SCAFFOLDING MATERIAL OVERALL'!B14:P187,14,FALSE),"-")</f>
        <v>0</v>
      </c>
      <c r="H11" s="107">
        <f t="shared" si="0"/>
        <v>100</v>
      </c>
      <c r="I11" s="108" t="s">
        <v>674</v>
      </c>
      <c r="J11" s="108" t="s">
        <v>660</v>
      </c>
      <c r="K11" s="102">
        <f>VLOOKUP(C11,'SCAFFOLDING MATERIAL OVERALL'!B13:S186,17,FALSE)</f>
        <v>2105</v>
      </c>
    </row>
    <row r="12" spans="2:11" ht="18" customHeight="1" x14ac:dyDescent="0.25">
      <c r="B12" s="105">
        <v>8</v>
      </c>
      <c r="C12" s="105">
        <v>3000002688</v>
      </c>
      <c r="D12" s="106" t="s">
        <v>32</v>
      </c>
      <c r="E12" s="107">
        <v>2500</v>
      </c>
      <c r="F12" s="108" t="s">
        <v>649</v>
      </c>
      <c r="G12" s="108">
        <f>IFERROR(VLOOKUP('Amiral Project Jubail PKG - 4 '!C12,'SCAFFOLDING MATERIAL OVERALL'!B15:P188,14,FALSE),"-")</f>
        <v>0</v>
      </c>
      <c r="H12" s="107">
        <f t="shared" si="0"/>
        <v>2500</v>
      </c>
      <c r="I12" s="108" t="s">
        <v>674</v>
      </c>
      <c r="J12" s="108" t="s">
        <v>660</v>
      </c>
      <c r="K12" s="102">
        <f>VLOOKUP(C12,'SCAFFOLDING MATERIAL OVERALL'!B14:S187,17,FALSE)</f>
        <v>9787</v>
      </c>
    </row>
    <row r="13" spans="2:11" ht="16.5" x14ac:dyDescent="0.25">
      <c r="B13" s="105">
        <v>9</v>
      </c>
      <c r="C13" s="105">
        <v>4000015244</v>
      </c>
      <c r="D13" s="106" t="s">
        <v>16</v>
      </c>
      <c r="E13" s="108">
        <v>50</v>
      </c>
      <c r="F13" s="108" t="s">
        <v>649</v>
      </c>
      <c r="G13" s="108">
        <v>50</v>
      </c>
      <c r="H13" s="107">
        <v>0</v>
      </c>
      <c r="I13" s="108" t="s">
        <v>674</v>
      </c>
      <c r="J13" s="108" t="s">
        <v>660</v>
      </c>
      <c r="K13" s="102">
        <v>26</v>
      </c>
    </row>
    <row r="14" spans="2:11" ht="16.5" x14ac:dyDescent="0.25">
      <c r="B14" s="105">
        <v>10</v>
      </c>
      <c r="C14" s="105">
        <v>4000015245</v>
      </c>
      <c r="D14" s="106" t="s">
        <v>18</v>
      </c>
      <c r="E14" s="108">
        <v>14</v>
      </c>
      <c r="F14" s="108" t="s">
        <v>649</v>
      </c>
      <c r="G14" s="108">
        <v>14</v>
      </c>
      <c r="H14" s="107">
        <f t="shared" si="0"/>
        <v>0</v>
      </c>
      <c r="I14" s="108" t="s">
        <v>674</v>
      </c>
      <c r="J14" s="108" t="s">
        <v>661</v>
      </c>
      <c r="K14" s="102">
        <v>32.5</v>
      </c>
    </row>
    <row r="15" spans="2:11" ht="16.5" x14ac:dyDescent="0.25">
      <c r="B15" s="105">
        <v>10</v>
      </c>
      <c r="C15" s="105">
        <v>3000000701</v>
      </c>
      <c r="D15" s="106" t="s">
        <v>26</v>
      </c>
      <c r="E15" s="108">
        <v>300</v>
      </c>
      <c r="F15" s="108" t="s">
        <v>650</v>
      </c>
      <c r="G15" s="108">
        <f>IFERROR(VLOOKUP('Amiral Project Jubail PKG - 4 '!C15,'SCAFFOLDING MATERIAL OVERALL'!B18:P190,14,FALSE),"-")</f>
        <v>124</v>
      </c>
      <c r="H15" s="107">
        <f t="shared" si="0"/>
        <v>176</v>
      </c>
      <c r="I15" s="108" t="s">
        <v>674</v>
      </c>
      <c r="J15" s="108" t="s">
        <v>660</v>
      </c>
      <c r="K15" s="102">
        <f>VLOOKUP(C15,'SCAFFOLDING MATERIAL OVERALL'!B17:S189,17,FALSE)</f>
        <v>11414</v>
      </c>
    </row>
    <row r="16" spans="2:11" ht="16.5" x14ac:dyDescent="0.25">
      <c r="B16" s="105">
        <v>11</v>
      </c>
      <c r="C16" s="105">
        <v>3000002340</v>
      </c>
      <c r="D16" s="106" t="s">
        <v>75</v>
      </c>
      <c r="E16" s="107">
        <v>4542</v>
      </c>
      <c r="F16" s="108" t="s">
        <v>648</v>
      </c>
      <c r="G16" s="108">
        <f>IFERROR(VLOOKUP('Amiral Project Jubail PKG - 4 '!C16,'SCAFFOLDING MATERIAL OVERALL'!B19:P191,14,FALSE),"-")</f>
        <v>0</v>
      </c>
      <c r="H16" s="107">
        <f t="shared" si="0"/>
        <v>4542</v>
      </c>
      <c r="I16" s="108" t="s">
        <v>674</v>
      </c>
      <c r="J16" s="108" t="s">
        <v>660</v>
      </c>
      <c r="K16" s="102">
        <v>4.83</v>
      </c>
    </row>
    <row r="17" spans="2:11" ht="16.5" x14ac:dyDescent="0.25">
      <c r="B17" s="105">
        <v>12</v>
      </c>
      <c r="C17" s="105">
        <v>3000001212</v>
      </c>
      <c r="D17" s="106" t="s">
        <v>77</v>
      </c>
      <c r="E17" s="107">
        <v>3936</v>
      </c>
      <c r="F17" s="108" t="s">
        <v>650</v>
      </c>
      <c r="G17" s="108">
        <f>IFERROR(VLOOKUP('Amiral Project Jubail PKG - 4 '!C17,'SCAFFOLDING MATERIAL OVERALL'!B20:P192,14,FALSE),"-")</f>
        <v>100</v>
      </c>
      <c r="H17" s="107">
        <f t="shared" si="0"/>
        <v>3836</v>
      </c>
      <c r="I17" s="108" t="s">
        <v>674</v>
      </c>
      <c r="J17" s="108" t="s">
        <v>661</v>
      </c>
      <c r="K17" s="102">
        <v>7.25</v>
      </c>
    </row>
    <row r="18" spans="2:11" ht="16.5" x14ac:dyDescent="0.25">
      <c r="B18" s="105">
        <v>13</v>
      </c>
      <c r="C18" s="105">
        <v>3000001214</v>
      </c>
      <c r="D18" s="106" t="s">
        <v>79</v>
      </c>
      <c r="E18" s="107">
        <v>5357</v>
      </c>
      <c r="F18" s="108" t="s">
        <v>650</v>
      </c>
      <c r="G18" s="108">
        <f>IFERROR(VLOOKUP('Amiral Project Jubail PKG - 4 '!C18,'SCAFFOLDING MATERIAL OVERALL'!B21:P193,14,FALSE),"-")</f>
        <v>200</v>
      </c>
      <c r="H18" s="107">
        <f t="shared" si="0"/>
        <v>5157</v>
      </c>
      <c r="I18" s="108" t="s">
        <v>674</v>
      </c>
      <c r="J18" s="108" t="s">
        <v>661</v>
      </c>
      <c r="K18" s="102">
        <v>12</v>
      </c>
    </row>
    <row r="19" spans="2:11" ht="16.5" x14ac:dyDescent="0.25">
      <c r="B19" s="105">
        <v>14</v>
      </c>
      <c r="C19" s="105">
        <v>3000001215</v>
      </c>
      <c r="D19" s="106" t="s">
        <v>80</v>
      </c>
      <c r="E19" s="107">
        <v>61545</v>
      </c>
      <c r="F19" s="108" t="s">
        <v>650</v>
      </c>
      <c r="G19" s="108">
        <f>IFERROR(VLOOKUP('Amiral Project Jubail PKG - 4 '!C19,'SCAFFOLDING MATERIAL OVERALL'!B22:P194,14,FALSE),"-")</f>
        <v>0</v>
      </c>
      <c r="H19" s="107">
        <f>E19-G19</f>
        <v>61545</v>
      </c>
      <c r="I19" s="108" t="s">
        <v>674</v>
      </c>
      <c r="J19" s="108" t="s">
        <v>661</v>
      </c>
      <c r="K19" s="102">
        <v>14.5</v>
      </c>
    </row>
    <row r="20" spans="2:11" x14ac:dyDescent="0.25">
      <c r="B20" s="108">
        <v>15</v>
      </c>
      <c r="C20" s="108">
        <v>3000000849</v>
      </c>
      <c r="D20" s="106" t="s">
        <v>117</v>
      </c>
      <c r="E20" s="107">
        <v>40000</v>
      </c>
      <c r="F20" s="108" t="s">
        <v>647</v>
      </c>
      <c r="G20" s="108">
        <f>IFERROR(VLOOKUP('Amiral Project Jubail PKG - 4 '!C20,'SCAFFOLDING MATERIAL OVERALL'!B23:P195,14,FALSE),"-")</f>
        <v>500</v>
      </c>
      <c r="H20" s="107">
        <f t="shared" si="0"/>
        <v>39500</v>
      </c>
      <c r="I20" s="108" t="s">
        <v>674</v>
      </c>
      <c r="J20" s="108" t="s">
        <v>661</v>
      </c>
      <c r="K20" s="102">
        <f>VLOOKUP(C20,'SCAFFOLDING MATERIAL OVERALL'!B22:S194,17,FALSE)</f>
        <v>1123303</v>
      </c>
    </row>
    <row r="22" spans="2:11" ht="34.5" x14ac:dyDescent="0.25">
      <c r="B22" s="100" t="s">
        <v>1</v>
      </c>
      <c r="C22" s="100" t="s">
        <v>657</v>
      </c>
      <c r="D22" s="99" t="s">
        <v>658</v>
      </c>
      <c r="E22" s="99" t="s">
        <v>989</v>
      </c>
      <c r="F22" s="168" t="s">
        <v>988</v>
      </c>
      <c r="G22" s="169"/>
    </row>
    <row r="23" spans="2:11" ht="16.5" x14ac:dyDescent="0.25">
      <c r="B23" s="97"/>
      <c r="C23" s="97"/>
      <c r="D23" s="98" t="s">
        <v>662</v>
      </c>
      <c r="E23" s="103">
        <f>SUMPRODUCT((E24:E1015)*(K24:K1015))/1000</f>
        <v>284.70446000000004</v>
      </c>
      <c r="F23" s="170">
        <f>SUMPRODUCT((F24:F1015)*(K24:K1015))/1000</f>
        <v>-278.32185999999996</v>
      </c>
      <c r="G23" s="170"/>
    </row>
    <row r="24" spans="2:11" ht="16.5" x14ac:dyDescent="0.25">
      <c r="B24" s="105">
        <v>1</v>
      </c>
      <c r="C24" s="105">
        <v>3000000840</v>
      </c>
      <c r="D24" s="106" t="s">
        <v>114</v>
      </c>
      <c r="E24" s="107">
        <v>25000</v>
      </c>
      <c r="F24" s="166">
        <f t="shared" ref="F24:F39" si="1">G5-E24</f>
        <v>-24750</v>
      </c>
      <c r="G24" s="167"/>
      <c r="K24" s="102">
        <v>0.6</v>
      </c>
    </row>
    <row r="25" spans="2:11" ht="16.5" x14ac:dyDescent="0.25">
      <c r="B25" s="105">
        <v>2</v>
      </c>
      <c r="C25" s="105">
        <v>3000001229</v>
      </c>
      <c r="D25" s="106" t="s">
        <v>153</v>
      </c>
      <c r="E25" s="107">
        <v>0</v>
      </c>
      <c r="F25" s="166">
        <f t="shared" si="1"/>
        <v>250</v>
      </c>
      <c r="G25" s="167"/>
      <c r="K25" s="102">
        <v>1.1000000000000001</v>
      </c>
    </row>
    <row r="26" spans="2:11" ht="16.5" x14ac:dyDescent="0.25">
      <c r="B26" s="105">
        <v>3</v>
      </c>
      <c r="C26" s="105">
        <v>3000000437</v>
      </c>
      <c r="D26" s="106" t="s">
        <v>62</v>
      </c>
      <c r="E26" s="22">
        <v>9000</v>
      </c>
      <c r="F26" s="166">
        <f t="shared" si="1"/>
        <v>-9000</v>
      </c>
      <c r="G26" s="167"/>
      <c r="K26" s="102">
        <v>1.05</v>
      </c>
    </row>
    <row r="27" spans="2:11" ht="16.5" x14ac:dyDescent="0.25">
      <c r="B27" s="105">
        <v>4</v>
      </c>
      <c r="C27" s="105">
        <v>3000000061</v>
      </c>
      <c r="D27" s="106" t="s">
        <v>28</v>
      </c>
      <c r="E27" s="107">
        <v>19205</v>
      </c>
      <c r="F27" s="166">
        <f t="shared" si="1"/>
        <v>-19205</v>
      </c>
      <c r="G27" s="167"/>
      <c r="K27" s="102">
        <v>1.4</v>
      </c>
    </row>
    <row r="28" spans="2:11" ht="16.5" x14ac:dyDescent="0.25">
      <c r="B28" s="105">
        <v>5</v>
      </c>
      <c r="C28" s="105">
        <v>3000000068</v>
      </c>
      <c r="D28" s="106" t="s">
        <v>34</v>
      </c>
      <c r="E28" s="22">
        <v>21716</v>
      </c>
      <c r="F28" s="166">
        <f t="shared" si="1"/>
        <v>-21466</v>
      </c>
      <c r="G28" s="167"/>
      <c r="K28" s="102">
        <v>0.6</v>
      </c>
    </row>
    <row r="29" spans="2:11" ht="16.5" x14ac:dyDescent="0.25">
      <c r="B29" s="105">
        <v>6</v>
      </c>
      <c r="C29" s="105">
        <v>3000000062</v>
      </c>
      <c r="D29" s="106" t="s">
        <v>30</v>
      </c>
      <c r="E29" s="108">
        <v>250</v>
      </c>
      <c r="F29" s="166">
        <f t="shared" si="1"/>
        <v>-250</v>
      </c>
      <c r="G29" s="167"/>
      <c r="K29" s="102">
        <v>31.3</v>
      </c>
    </row>
    <row r="30" spans="2:11" ht="16.5" x14ac:dyDescent="0.25">
      <c r="B30" s="105">
        <v>7</v>
      </c>
      <c r="C30" s="105">
        <v>3000000063</v>
      </c>
      <c r="D30" s="106" t="s">
        <v>31</v>
      </c>
      <c r="E30" s="108">
        <v>100</v>
      </c>
      <c r="F30" s="166">
        <f t="shared" si="1"/>
        <v>-100</v>
      </c>
      <c r="G30" s="167"/>
      <c r="K30" s="102">
        <v>41.8</v>
      </c>
    </row>
    <row r="31" spans="2:11" ht="16.5" x14ac:dyDescent="0.25">
      <c r="B31" s="105">
        <v>8</v>
      </c>
      <c r="C31" s="105">
        <v>3000002688</v>
      </c>
      <c r="D31" s="106" t="s">
        <v>32</v>
      </c>
      <c r="E31" s="107">
        <v>2500</v>
      </c>
      <c r="F31" s="166">
        <f t="shared" si="1"/>
        <v>-2500</v>
      </c>
      <c r="G31" s="167"/>
      <c r="K31" s="102">
        <v>62.5</v>
      </c>
    </row>
    <row r="32" spans="2:11" ht="16.5" x14ac:dyDescent="0.25">
      <c r="B32" s="105">
        <v>9</v>
      </c>
      <c r="C32" s="105">
        <v>4000015244</v>
      </c>
      <c r="D32" s="106" t="s">
        <v>16</v>
      </c>
      <c r="E32" s="108">
        <v>50</v>
      </c>
      <c r="F32" s="166">
        <f t="shared" si="1"/>
        <v>0</v>
      </c>
      <c r="G32" s="167"/>
      <c r="K32" s="102">
        <v>26</v>
      </c>
    </row>
    <row r="33" spans="2:11" ht="16.5" x14ac:dyDescent="0.25">
      <c r="B33" s="105">
        <v>10</v>
      </c>
      <c r="C33" s="105">
        <v>4000015245</v>
      </c>
      <c r="D33" s="106" t="s">
        <v>18</v>
      </c>
      <c r="E33" s="108">
        <v>0</v>
      </c>
      <c r="F33" s="166">
        <f t="shared" si="1"/>
        <v>14</v>
      </c>
      <c r="G33" s="167"/>
      <c r="K33" s="102">
        <v>32.5</v>
      </c>
    </row>
    <row r="34" spans="2:11" ht="16.5" x14ac:dyDescent="0.25">
      <c r="B34" s="105">
        <v>10</v>
      </c>
      <c r="C34" s="105">
        <v>3000000701</v>
      </c>
      <c r="D34" s="106" t="s">
        <v>26</v>
      </c>
      <c r="E34" s="108">
        <v>300</v>
      </c>
      <c r="F34" s="166">
        <f t="shared" si="1"/>
        <v>-176</v>
      </c>
      <c r="G34" s="167"/>
      <c r="K34" s="102">
        <v>3.65</v>
      </c>
    </row>
    <row r="35" spans="2:11" ht="16.5" x14ac:dyDescent="0.25">
      <c r="B35" s="105">
        <v>11</v>
      </c>
      <c r="C35" s="105">
        <v>3000002340</v>
      </c>
      <c r="D35" s="106" t="s">
        <v>75</v>
      </c>
      <c r="E35" s="22">
        <v>4542</v>
      </c>
      <c r="F35" s="166">
        <f t="shared" si="1"/>
        <v>-4542</v>
      </c>
      <c r="G35" s="167"/>
      <c r="K35" s="102">
        <v>4.83</v>
      </c>
    </row>
    <row r="36" spans="2:11" ht="16.5" x14ac:dyDescent="0.25">
      <c r="B36" s="105">
        <v>12</v>
      </c>
      <c r="C36" s="105">
        <v>3000001212</v>
      </c>
      <c r="D36" s="106" t="s">
        <v>77</v>
      </c>
      <c r="E36" s="107">
        <v>0</v>
      </c>
      <c r="F36" s="166">
        <f t="shared" si="1"/>
        <v>100</v>
      </c>
      <c r="G36" s="167"/>
      <c r="K36" s="102">
        <v>7.25</v>
      </c>
    </row>
    <row r="37" spans="2:11" ht="16.5" x14ac:dyDescent="0.25">
      <c r="B37" s="105">
        <v>13</v>
      </c>
      <c r="C37" s="105">
        <v>3000001214</v>
      </c>
      <c r="D37" s="106" t="s">
        <v>79</v>
      </c>
      <c r="E37" s="22">
        <v>1225</v>
      </c>
      <c r="F37" s="166">
        <f t="shared" si="1"/>
        <v>-1025</v>
      </c>
      <c r="G37" s="167"/>
      <c r="H37" s="22" t="s">
        <v>1406</v>
      </c>
      <c r="K37" s="102">
        <v>12</v>
      </c>
    </row>
    <row r="38" spans="2:11" ht="16.5" x14ac:dyDescent="0.25">
      <c r="B38" s="105">
        <v>14</v>
      </c>
      <c r="C38" s="105">
        <v>3000001215</v>
      </c>
      <c r="D38" s="106" t="s">
        <v>80</v>
      </c>
      <c r="E38" s="107">
        <v>900</v>
      </c>
      <c r="F38" s="166">
        <f t="shared" si="1"/>
        <v>-900</v>
      </c>
      <c r="G38" s="167"/>
      <c r="H38" s="22" t="s">
        <v>1406</v>
      </c>
      <c r="K38" s="102">
        <v>14.5</v>
      </c>
    </row>
    <row r="39" spans="2:11" x14ac:dyDescent="0.25">
      <c r="B39" s="108">
        <v>15</v>
      </c>
      <c r="C39" s="108">
        <v>3000000849</v>
      </c>
      <c r="D39" s="106" t="s">
        <v>117</v>
      </c>
      <c r="E39" s="107">
        <v>0</v>
      </c>
      <c r="F39" s="166">
        <f t="shared" si="1"/>
        <v>500</v>
      </c>
      <c r="G39" s="167"/>
      <c r="H39" s="116"/>
      <c r="K39" s="102">
        <v>0.95</v>
      </c>
    </row>
  </sheetData>
  <autoFilter ref="B23:G39">
    <filterColumn colId="4" showButton="0"/>
  </autoFilter>
  <mergeCells count="18">
    <mergeCell ref="F39:G39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7:G37"/>
    <mergeCell ref="F38:G38"/>
    <mergeCell ref="F27:G27"/>
    <mergeCell ref="F22:G22"/>
    <mergeCell ref="F23:G23"/>
    <mergeCell ref="F24:G24"/>
    <mergeCell ref="F25:G25"/>
    <mergeCell ref="F26:G26"/>
  </mergeCells>
  <conditionalFormatting sqref="A33:XFD33">
    <cfRule type="expression" dxfId="5" priority="1" stopIfTrue="1">
      <formula>AND(ROW()&gt;=33,ROW()&lt;=33)</formula>
    </cfRule>
  </conditionalFormatting>
  <pageMargins left="0.7" right="0.7" top="0.75" bottom="0.75" header="0.3" footer="0.3"/>
  <pageSetup paperSize="9" scale="54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D3:F3"/>
  <sheetViews>
    <sheetView workbookViewId="0">
      <selection activeCell="H9" sqref="H9"/>
    </sheetView>
  </sheetViews>
  <sheetFormatPr defaultRowHeight="15" x14ac:dyDescent="0.25"/>
  <sheetData>
    <row r="3" spans="4:6" x14ac:dyDescent="0.25">
      <c r="D3" t="s">
        <v>1663</v>
      </c>
      <c r="E3">
        <v>17</v>
      </c>
      <c r="F3">
        <v>18</v>
      </c>
    </row>
  </sheetData>
  <conditionalFormatting sqref="A9:XFD9">
    <cfRule type="expression" dxfId="4" priority="1" stopIfTrue="1">
      <formula>AND(ROW()&gt;=9,ROW()&lt;=9)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M. SEND FROM JUBAIL TO SITE</vt:lpstr>
      <vt:lpstr>MATERIAL FROM JUBAIL</vt:lpstr>
      <vt:lpstr>NEW PURCHASE MATERIAL</vt:lpstr>
      <vt:lpstr>CROSS CHECK EXCEL VS HILTI</vt:lpstr>
      <vt:lpstr>S015 JAFFURA IN check</vt:lpstr>
      <vt:lpstr>WEIGHT CHECKER</vt:lpstr>
      <vt:lpstr>S016 JAFFURA IN</vt:lpstr>
      <vt:lpstr>S016 JAFFURA OUT</vt:lpstr>
      <vt:lpstr>YARD IN (2)</vt:lpstr>
      <vt:lpstr>Sheet2</vt:lpstr>
      <vt:lpstr>RENTAL MATERIAL IN</vt:lpstr>
      <vt:lpstr>RENTAL MATERIAL OUT</vt:lpstr>
      <vt:lpstr>JAFFURA-NMP-01 IN</vt:lpstr>
      <vt:lpstr>JAFFURA-NMP-01 OUT</vt:lpstr>
      <vt:lpstr>ABU DHABI OUT (2)</vt:lpstr>
      <vt:lpstr>ABU DHABI IN</vt:lpstr>
      <vt:lpstr>ABU DHABI OUT</vt:lpstr>
      <vt:lpstr>TMP_PDF</vt:lpstr>
      <vt:lpstr>S019 JAFURRA IN</vt:lpstr>
      <vt:lpstr>S019 JAFURRA OUT</vt:lpstr>
      <vt:lpstr>Sheet1</vt:lpstr>
      <vt:lpstr>S012 OYUN IN</vt:lpstr>
      <vt:lpstr>S012 OYUN OUT</vt:lpstr>
      <vt:lpstr>S022 FADHALI IN</vt:lpstr>
      <vt:lpstr>S022 FADHALI OUT</vt:lpstr>
      <vt:lpstr>S015 JAFFURA IN</vt:lpstr>
      <vt:lpstr>S015 JAFFURA OUT</vt:lpstr>
      <vt:lpstr>S020 DAMMAM IN</vt:lpstr>
      <vt:lpstr>S020 DAMMAM OUT</vt:lpstr>
      <vt:lpstr>S013 MARJAN IN</vt:lpstr>
      <vt:lpstr>S013 MARJAN OUT</vt:lpstr>
      <vt:lpstr>YARD IN</vt:lpstr>
      <vt:lpstr>YARD OUT</vt:lpstr>
      <vt:lpstr>SCAFFOLDING MATERIAL OVERALL</vt:lpstr>
      <vt:lpstr>TONNAGE CHART</vt:lpstr>
      <vt:lpstr>Amiral Project Jubail PKG - 4 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 Mishra</dc:creator>
  <cp:lastModifiedBy>Mohammad Javed</cp:lastModifiedBy>
  <cp:lastPrinted>2026-02-10T11:55:04Z</cp:lastPrinted>
  <dcterms:created xsi:type="dcterms:W3CDTF">2025-08-10T13:26:27Z</dcterms:created>
  <dcterms:modified xsi:type="dcterms:W3CDTF">2026-02-14T07:02:28Z</dcterms:modified>
</cp:coreProperties>
</file>